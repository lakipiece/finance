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지출내역" sheetId="2" r:id="rId5"/>
    <sheet state="visible" name="현금입금" sheetId="3" r:id="rId6"/>
    <sheet state="visible" name="집계" sheetId="4" r:id="rId7"/>
    <sheet state="visible" name="변동비 집계" sheetId="5" r:id="rId8"/>
    <sheet state="visible" name="주택담보대출" sheetId="6" r:id="rId9"/>
    <sheet state="visible" name="주담대_이자율계산" sheetId="7" r:id="rId10"/>
    <sheet state="visible" name="info" sheetId="8" r:id="rId11"/>
    <sheet state="hidden" name="신용_이자율계산" sheetId="9" r:id="rId12"/>
    <sheet state="hidden" name="이자율계산" sheetId="10" r:id="rId13"/>
    <sheet state="hidden" name="수락리버 2단지 시뮬레이션" sheetId="11" r:id="rId14"/>
    <sheet state="hidden" name="수락리버 시뮬레이션" sheetId="12" r:id="rId15"/>
    <sheet state="hidden" name="수락리버 매물" sheetId="13" r:id="rId16"/>
    <sheet state="hidden" name="가격변동" sheetId="14" r:id="rId17"/>
  </sheets>
  <definedNames>
    <definedName hidden="1" localSheetId="1" name="_xlnm._FilterDatabase">'지출내역'!$B$1:$K$1193</definedName>
    <definedName hidden="1" localSheetId="12" name="_xlnm._FilterDatabase">'수락리버 매물'!$A$1:$G$64</definedName>
    <definedName hidden="1" localSheetId="1" name="Z_09676972_4913_420A_AAAF_4BE42E4D75D6_.wvu.FilterData">'지출내역'!$B$1:$L$1393</definedName>
    <definedName hidden="1" localSheetId="1" name="Z_C5ACA736_A56B_4C08_AE3C_460F8FB21ACF_.wvu.FilterData">'지출내역'!$B$1:$L$1393</definedName>
  </definedNames>
  <calcPr/>
  <customWorkbookViews>
    <customWorkbookView activeSheetId="0" maximized="1" windowHeight="0" windowWidth="0" guid="{09676972-4913-420A-AAAF-4BE42E4D75D6}" name="Laki - 사용자 보기"/>
    <customWorkbookView activeSheetId="0" maximized="1" windowHeight="0" windowWidth="0" guid="{C5ACA736-A56B-4C08-AE3C-460F8FB21ACF}" name="Piece - 사용자 보기"/>
  </customWorkbookViews>
  <pivotCaches>
    <pivotCache cacheId="0" r:id="rId18"/>
    <pivotCache cacheId="1" r:id="rId19"/>
    <pivotCache cacheId="2" r:id="rId20"/>
  </pivotCaches>
  <extLst>
    <ext uri="GoogleSheetsCustomDataVersion2">
      <go:sheetsCustomData xmlns:go="http://customooxmlschemas.google.com/" r:id="rId21" roundtripDataChecksum="P8tuvu2S9JfrAsse8JfpWXpdwhojJf7N26a+a/z6VLs="/>
    </ext>
  </extLst>
</workbook>
</file>

<file path=xl/sharedStrings.xml><?xml version="1.0" encoding="utf-8"?>
<sst xmlns="http://schemas.openxmlformats.org/spreadsheetml/2006/main" count="6974" uniqueCount="1217">
  <si>
    <r>
      <rPr>
        <rFont val="Malgun Gothic"/>
        <b/>
        <color theme="1"/>
        <sz val="9.0"/>
      </rPr>
      <t xml:space="preserve">1. 수입 </t>
    </r>
    <r>
      <rPr>
        <rFont val="맑은 고딕"/>
        <b/>
        <color rgb="FFA5A5A5"/>
        <sz val="8.0"/>
      </rPr>
      <t>from 현금입금</t>
    </r>
  </si>
  <si>
    <t>#0. 여행/공연비 계획</t>
  </si>
  <si>
    <t>잔여금액</t>
  </si>
  <si>
    <t>구분</t>
  </si>
  <si>
    <t>예상</t>
  </si>
  <si>
    <t>금액</t>
  </si>
  <si>
    <t>%</t>
  </si>
  <si>
    <t>\</t>
  </si>
  <si>
    <t>비고</t>
  </si>
  <si>
    <t>연간계획</t>
  </si>
  <si>
    <t>누적 사용금액</t>
  </si>
  <si>
    <t>잔액</t>
  </si>
  <si>
    <t>잔여기간</t>
  </si>
  <si>
    <t>Piece - 현금입금</t>
  </si>
  <si>
    <t>3월부터는 브랜디식대 현금입금없이 회사에서 정산</t>
  </si>
  <si>
    <t>여행</t>
  </si>
  <si>
    <t>Laki - 현금입금</t>
  </si>
  <si>
    <t>문화생활</t>
  </si>
  <si>
    <t>Laki - 교원공제회 고정</t>
  </si>
  <si>
    <t>월 9만원 고정</t>
  </si>
  <si>
    <r>
      <rPr>
        <rFont val="Malgun Gothic"/>
        <b/>
        <color theme="1"/>
        <sz val="9.0"/>
      </rPr>
      <t xml:space="preserve">2. 지출 </t>
    </r>
    <r>
      <rPr>
        <rFont val="맑은 고딕"/>
        <b val="0"/>
        <color rgb="FFA5A5A5"/>
        <sz val="8.0"/>
      </rPr>
      <t>from 지출내역</t>
    </r>
  </si>
  <si>
    <t>#1. 고정비 계획</t>
  </si>
  <si>
    <t>여행/공연비</t>
  </si>
  <si>
    <t>고정비 구분</t>
  </si>
  <si>
    <t>고정비</t>
  </si>
  <si>
    <t>경조사비</t>
  </si>
  <si>
    <t>변동비</t>
  </si>
  <si>
    <t>관리비</t>
  </si>
  <si>
    <t>월평균 27만원예상</t>
  </si>
  <si>
    <t>교통비</t>
  </si>
  <si>
    <t>대중교통/택시비</t>
  </si>
  <si>
    <t>#1. 수입 - 지출</t>
  </si>
  <si>
    <t>렌탈비</t>
  </si>
  <si>
    <t>정수기렌탈</t>
  </si>
  <si>
    <t>문경</t>
  </si>
  <si>
    <t>3. 저축/대출상환</t>
  </si>
  <si>
    <t>미용</t>
  </si>
  <si>
    <t>연간 예상</t>
  </si>
  <si>
    <t>세금</t>
  </si>
  <si>
    <t>재산세, 지방교육세, 도시계획세 / 주민세, 자동차세 등</t>
  </si>
  <si>
    <t>교원공제회</t>
  </si>
  <si>
    <t>보험</t>
  </si>
  <si>
    <t>자동차보험, 화재보험, 실손보험</t>
  </si>
  <si>
    <t>주택담보대출상환(원금)</t>
  </si>
  <si>
    <t>통신비</t>
  </si>
  <si>
    <t>신용대출상환(원금)</t>
  </si>
  <si>
    <t>자동차운행</t>
  </si>
  <si>
    <t>주유, 하이패스, 수리, 세차 등</t>
  </si>
  <si>
    <t>예적금/금융자산</t>
  </si>
  <si>
    <t>취미</t>
  </si>
  <si>
    <t>헬스/수영 등</t>
  </si>
  <si>
    <t>카드결제예정액</t>
  </si>
  <si>
    <t>비품 및 수선유지비</t>
  </si>
  <si>
    <t>주택담보대출 이자</t>
  </si>
  <si>
    <t>의료/건강</t>
  </si>
  <si>
    <t>기초</t>
  </si>
  <si>
    <t>기말</t>
  </si>
  <si>
    <t>예비비</t>
  </si>
  <si>
    <t>Laki KB</t>
  </si>
  <si>
    <t>교육비</t>
  </si>
  <si>
    <t>Piece KB</t>
  </si>
  <si>
    <t>브랜디식대</t>
  </si>
  <si>
    <t>월 18만원</t>
  </si>
  <si>
    <t>Piece SC</t>
  </si>
  <si>
    <t>Laki KB 외</t>
  </si>
  <si>
    <t>Laki 주식계좌</t>
  </si>
  <si>
    <t>#2. 변동비 계획</t>
  </si>
  <si>
    <t>Laki 제로페이</t>
  </si>
  <si>
    <t>변동비 구분</t>
  </si>
  <si>
    <t>Piece 제로페이</t>
  </si>
  <si>
    <t>기타구매</t>
  </si>
  <si>
    <t>2022.12.31.</t>
  </si>
  <si>
    <t>담배</t>
  </si>
  <si>
    <t>모임비</t>
  </si>
  <si>
    <t>연간 150만원예상</t>
  </si>
  <si>
    <t>piece KB</t>
  </si>
  <si>
    <t>식비</t>
  </si>
  <si>
    <t>연간 650만원예상</t>
  </si>
  <si>
    <t>laki-신한</t>
  </si>
  <si>
    <t>외식비</t>
  </si>
  <si>
    <t>연간 300만원예상</t>
  </si>
  <si>
    <t>laki 현대</t>
  </si>
  <si>
    <t>의류</t>
  </si>
  <si>
    <t>laki KB</t>
  </si>
  <si>
    <t>출근식대</t>
  </si>
  <si>
    <t>주 평균 9000원 x 5일 x 5주</t>
  </si>
  <si>
    <t xml:space="preserve"> </t>
  </si>
  <si>
    <t>커피</t>
  </si>
  <si>
    <t>원두 월 3만원 + a</t>
  </si>
  <si>
    <t>4. 미집계금액</t>
  </si>
  <si>
    <t>주 기준금액</t>
  </si>
  <si>
    <t>전년 이월, 지출기입누락으로 추정</t>
  </si>
  <si>
    <t>5. 자산현황</t>
  </si>
  <si>
    <t>자산</t>
  </si>
  <si>
    <t>1) 부동산 - 시세</t>
  </si>
  <si>
    <t>2019.05.09. 매매가 427,000,000원</t>
  </si>
  <si>
    <t xml:space="preserve">    ㄴ부동산 - 평가차익</t>
  </si>
  <si>
    <t>2021.11.27. 7.1억원, 2022.05.06. 7.05억원, 2022.09.01 7억원, 2022.10.01 6.9억원, 2022.10.29. 6.8억원. 2022.12.30 6.6억원</t>
  </si>
  <si>
    <t>2) 자동차</t>
  </si>
  <si>
    <t>3) 공무원연금</t>
  </si>
  <si>
    <t>3) 퇴직금예상</t>
  </si>
  <si>
    <t>2022.12.19 기준</t>
  </si>
  <si>
    <t>4) 교원공제회</t>
  </si>
  <si>
    <t>5) 기타예적금</t>
  </si>
  <si>
    <t>부채</t>
  </si>
  <si>
    <t>부동산 부채비율</t>
  </si>
  <si>
    <t>1) 주택담보대출</t>
  </si>
  <si>
    <t>2) 카드결제예정액</t>
  </si>
  <si>
    <t>순자산</t>
  </si>
  <si>
    <t>순자산(평가차익 제외)</t>
  </si>
  <si>
    <t>순자산(평가차익, 연금성 제외)</t>
  </si>
  <si>
    <t>날짜</t>
  </si>
  <si>
    <t>월</t>
  </si>
  <si>
    <t>요일</t>
  </si>
  <si>
    <t>주</t>
  </si>
  <si>
    <t>분류</t>
  </si>
  <si>
    <t>내역</t>
  </si>
  <si>
    <t>결제수단</t>
  </si>
  <si>
    <t>작성자</t>
  </si>
  <si>
    <t>대출상환</t>
  </si>
  <si>
    <t>주택담보대출 원금</t>
  </si>
  <si>
    <t>현금</t>
  </si>
  <si>
    <t>p</t>
  </si>
  <si>
    <t>중도상환</t>
  </si>
  <si>
    <t>카드</t>
  </si>
  <si>
    <t>L</t>
  </si>
  <si>
    <t>대학원 등록금</t>
  </si>
  <si>
    <t>롯데온: 맥북에어M1</t>
  </si>
  <si>
    <t>여행공연비</t>
  </si>
  <si>
    <t>해외여행</t>
  </si>
  <si>
    <t>에어서울 : 서울-나트랑 왕복 2인</t>
  </si>
  <si>
    <t>제주항공: 인천-보홀 왕복 2인</t>
  </si>
  <si>
    <t>네이버: 고고다이브 프리다이빙 초급강습</t>
  </si>
  <si>
    <t>트리플 : 나트랑 아미아나 리조트 3박</t>
  </si>
  <si>
    <t>아고다: 사우스팜 디럭스풀뷰(2/1/~2/4)</t>
  </si>
  <si>
    <t>양가 어버이날 용돈</t>
  </si>
  <si>
    <t>양가용돈</t>
  </si>
  <si>
    <t>고프로 gopro.com GoPro Hero 11 Black Bundle : $411.70</t>
  </si>
  <si>
    <t>$600 환전 (VND 5260k 29만원에 당근거래)</t>
  </si>
  <si>
    <t>롯데홈쇼핑: 애플워치7 41mm</t>
  </si>
  <si>
    <t>하이마트: 애플워치7 45mm(L포인트 48430 사용)</t>
  </si>
  <si>
    <t>DB 다이렉트 자동차보험</t>
  </si>
  <si>
    <t>세계주류마켓 : 가야BDM 99, 하트랜드+브로켈 32, 몬테스알파 26.5 x 2, 프레시넷 12.9, 몬테스M+라피우벨 199, 끌로뒤발+이니스프리 92</t>
  </si>
  <si>
    <t>티몬: 인텔 i5 12400F 엘더레이크 정품 2개</t>
  </si>
  <si>
    <t>달러 환전($300)</t>
  </si>
  <si>
    <t>건강검진</t>
  </si>
  <si>
    <t>녹십자 아이메드 강북의원 : 건강검진</t>
  </si>
  <si>
    <t>하이버: GIGABYTE B660M AORUS PRO D4 2개</t>
  </si>
  <si>
    <t>아고다: 헤난 알로나 2박($216.31)</t>
  </si>
  <si>
    <t>아고다: 헤난 타왈라 2박($225.08)</t>
  </si>
  <si>
    <t>명절 용돈</t>
  </si>
  <si>
    <t>코스트코</t>
  </si>
  <si>
    <t>티몬: 비스포크 슬림 무선 청소기(엄마 생신선물)</t>
  </si>
  <si>
    <t>하이마트: bose tv speaker</t>
  </si>
  <si>
    <t>트리플 : 쉐라톤 나트랑 2박</t>
  </si>
  <si>
    <t>롯데백화점: ANDZ 자켓</t>
  </si>
  <si>
    <t>쿠팡: 전동칫솔 소닉케어</t>
  </si>
  <si>
    <t>조양마트 와인구입(모바일 온누리 상품권)</t>
  </si>
  <si>
    <t>네이버쇼핑: 샌디스크 SSD Ultra 3D 2TB</t>
  </si>
  <si>
    <t>현중이 결혼식</t>
  </si>
  <si>
    <t>도봉 에이바헤어 선결제</t>
  </si>
  <si>
    <t>리안헤어 선결제</t>
  </si>
  <si>
    <t>하이버: 갤럭시워치4(매봉)</t>
  </si>
  <si>
    <t>재산세(주택)</t>
  </si>
  <si>
    <t xml:space="preserve">문경 초계한우 : 온누리사랑상품권 </t>
  </si>
  <si>
    <t>자동차정비(노원사랑상품권)</t>
  </si>
  <si>
    <t>11번가: PM9A1 M2 NVMe 병행수입(512GB) 2개</t>
  </si>
  <si>
    <t>롯데마트</t>
  </si>
  <si>
    <t>파주프리미엄아울렛 : 콜럼비아 패딩, 경량패딩</t>
  </si>
  <si>
    <t>이마트(상품권 5,000원 사용)</t>
  </si>
  <si>
    <t>코스트코 온라인: 와인셀러, 탄산수(M포인트 38,278사용)</t>
  </si>
  <si>
    <t>하이마트: 삼성 외장SSD T7 Shield 1TB</t>
  </si>
  <si>
    <t>국내여행</t>
  </si>
  <si>
    <t>아고다: 전주 라한호텔(4/22-23)</t>
  </si>
  <si>
    <t>안지민헤어샵 펌</t>
  </si>
  <si>
    <t>자동차세 연납</t>
  </si>
  <si>
    <t>쿠팡: 일렉트로룩스 청소기(WQ61-1OGG)</t>
  </si>
  <si>
    <t>서울-전주 KTX 예매(4/22 출발)</t>
  </si>
  <si>
    <t>선두외과의원 급성충수염수술 입원비(우체국실비 1,133,770원 환급)</t>
  </si>
  <si>
    <t>더케이몰: AT APPLITE 3.0S SPINNER 71/27 캐리어</t>
  </si>
  <si>
    <t>포천 갈비1987</t>
  </si>
  <si>
    <t>굿데이컴퍼니 - 응온갤러리 랍스터 뷔페</t>
  </si>
  <si>
    <t>탑텐몰: 청바지, 셔츠, 스커트</t>
  </si>
  <si>
    <t>이마트 민락</t>
  </si>
  <si>
    <t>나트랑 아미아나 리조트 저녁식사+머드스파(VND 2000k)</t>
  </si>
  <si>
    <t>부림인텍(테크노마트): BOSE 오디오 수리</t>
  </si>
  <si>
    <t>파주프리미엄아울렛: 아디다스 자켓, 슬리퍼, 레깅스</t>
  </si>
  <si>
    <t>무의도 자연휴양림 1박</t>
  </si>
  <si>
    <t>통영 포르투나 호텔 1박</t>
  </si>
  <si>
    <t>메이콴 도봉</t>
  </si>
  <si>
    <t>윤석이 개원 축하 화분 : 꽃집청년들</t>
  </si>
  <si>
    <t>조의금(정미쌤 모친상)</t>
  </si>
  <si>
    <t>부장회비</t>
  </si>
  <si>
    <t>동문회비</t>
  </si>
  <si>
    <t>전선영(재천삼촌 딸) 결혼</t>
  </si>
  <si>
    <t>최재식 결혼</t>
  </si>
  <si>
    <t>주유비</t>
  </si>
  <si>
    <t>오늘회: 킹크랩 2kg</t>
  </si>
  <si>
    <t>롯데온: 추석선물(홍삼)</t>
  </si>
  <si>
    <t>롯데마트 장암</t>
  </si>
  <si>
    <t>midasB 옷구매</t>
  </si>
  <si>
    <t>터치유어바디 : 잘로 베스</t>
  </si>
  <si>
    <t>민락 이마트(지류상품권 6,000원 사용)</t>
  </si>
  <si>
    <t>이마트 의정부점</t>
  </si>
  <si>
    <t>iHerb Muscletech, Nitro Tech, 100% 유청 골드, 더블 리치 초콜릿, 2.28kg(5.03lbs) + iherb 셰이커볼</t>
  </si>
  <si>
    <t>젠틀맨세차장 민락 스팀세차+발수코팅</t>
  </si>
  <si>
    <t>옥션 : 에어프라이어 422 요리는장비빨 AF6L9L (화이트)</t>
  </si>
  <si>
    <t>르노삼성중계: 엔진오일, 와이퍼 교체(노원사랑상품권)</t>
  </si>
  <si>
    <t>고대산 자연휴양림 1박(11/4)</t>
  </si>
  <si>
    <t>파주프리미엄아울렛: 콜럼비아 플리스 자켓 *2</t>
  </si>
  <si>
    <t>롯데온: 정관장 다보록 감사휘편 2개</t>
  </si>
  <si>
    <t>오늘회: 대게 2kg</t>
  </si>
  <si>
    <t>의정부 탑텐 청바지 2</t>
  </si>
  <si>
    <t>롯데마트중계 탑텐 청바지</t>
  </si>
  <si>
    <t>아이픽스: 아이폰 배터리교체*2(노원사랑상품권)</t>
  </si>
  <si>
    <t>상훈 수락산, 노래방/버니니</t>
  </si>
  <si>
    <t>민락 밀회관</t>
  </si>
  <si>
    <t>롯데홈쇼핑: 나이키스윔  스카이 스트라이프 레이서백 28, 카밀 핸드크림</t>
  </si>
  <si>
    <t>하이마트: ddr4 16gb</t>
  </si>
  <si>
    <t>나트랑 아미아나 리조트 마사지 60분(VND 1240k)</t>
  </si>
  <si>
    <t>교통범칙금 - 신호위반</t>
  </si>
  <si>
    <t>축의금(박시연선생님)</t>
  </si>
  <si>
    <t>롯데마트: 육수한알, 고춧가루 등</t>
  </si>
  <si>
    <t>쿠팡: 전기포트</t>
  </si>
  <si>
    <t>돈사돈</t>
  </si>
  <si>
    <t>스시웨이(노원사랑상품권)</t>
  </si>
  <si>
    <t>iHerb 마그네슘,아연,비오틴,루테인,프로폴리스, $결제 1200원기준계산</t>
  </si>
  <si>
    <t>나트랑 센스파(VND 1134k)</t>
  </si>
  <si>
    <t>깡통돌곱창 의정부점</t>
  </si>
  <si>
    <t>장안동 송학수산</t>
  </si>
  <si>
    <t>전주 한국집</t>
  </si>
  <si>
    <t>정원e샵, 종가집 포기김치 5kg X 2ea</t>
  </si>
  <si>
    <t>희진연지 삼성역 바락</t>
  </si>
  <si>
    <t>송화양꼬치</t>
  </si>
  <si>
    <t>네이버 : 이하연 포기김치 5KG(포인트5,114 사용)</t>
  </si>
  <si>
    <t>iherb, now foods 칼슘 및 마그네슘 250, 21st 종합비타민 300, california gold nutrition 프로폴리스 2x 500mg 240, california gold nutrition 루테인 10mg 120</t>
  </si>
  <si>
    <t>속초 - 한화리조트 설악 별관 디럭스룸</t>
  </si>
  <si>
    <t>강경불고기</t>
  </si>
  <si>
    <t>상훈 : 수락산 미가솥뚜껑</t>
  </si>
  <si>
    <t>쿠팡: LA갈비 1.5kg, 돈가스</t>
  </si>
  <si>
    <t>이마트(상품권 90,000원 사용)</t>
  </si>
  <si>
    <t>네이버쇼핑: 자전거페달</t>
  </si>
  <si>
    <t>한국화훼농협</t>
  </si>
  <si>
    <t>롯데홈쇼핑- 크리니크수분크림(125ml+75ml)</t>
  </si>
  <si>
    <t>롯데온: PC Cooler Paladin 400 2개(네이버포인트 1355 사용)</t>
  </si>
  <si>
    <t>고래섬다찌</t>
  </si>
  <si>
    <t>쿠팡: 햇반 36개, 우유, 닭갈비, 요거트</t>
  </si>
  <si>
    <t>쿠팡</t>
  </si>
  <si>
    <t>하이패스</t>
  </si>
  <si>
    <t>롯데홈쇼핑: 락토핏 유산균 7통(적립금 7500 사용)</t>
  </si>
  <si>
    <t>롯데온: 넥시 NX-U3TH324 변환 컨버터</t>
  </si>
  <si>
    <t>옥션 : 차바이오 유산균 6ea</t>
  </si>
  <si>
    <t>쿠팡: 리챔 120g*36개</t>
  </si>
  <si>
    <t>네이버: 트러플오일(네이버포인트 1919사용)</t>
  </si>
  <si>
    <t>위메프: 어도비</t>
  </si>
  <si>
    <t>의정부 깡통돌곱창</t>
  </si>
  <si>
    <t>쿠팡: 신발냄새제거제, 선글라스, 검가드</t>
  </si>
  <si>
    <t>베이킹스쿨: 식빵틀, 머핀틀, 마들렌틀, 이스트 등</t>
  </si>
  <si>
    <t>쿠팡: 이불세트*2</t>
  </si>
  <si>
    <t>브랜디</t>
  </si>
  <si>
    <t>쿠팡: 샴푸, 클렌징폼</t>
  </si>
  <si>
    <t>쿠팡: 버터, 치즈, 우유, 고구마, 대패 삼겹살, 냉동대파</t>
  </si>
  <si>
    <t>네이버페이 : 햄토피아 쥐밥</t>
  </si>
  <si>
    <t>쿠팡: 물걸레청소기</t>
  </si>
  <si>
    <t>중원(노원사랑상품권)</t>
  </si>
  <si>
    <t>SSG: 니콘 충전배터리 EN-EL 15b</t>
  </si>
  <si>
    <t>ST백승희 부친상</t>
  </si>
  <si>
    <t>김해연 선생님 부친상</t>
  </si>
  <si>
    <t>과학실무사님 자녀 결혼</t>
  </si>
  <si>
    <t>한석종님 부친상</t>
  </si>
  <si>
    <t>모리 이자까야</t>
  </si>
  <si>
    <t>황상원 선생님 축의금</t>
  </si>
  <si>
    <t>의정부역 아이엠 네이쳐 (태국음식점) - 그냥 그랬음</t>
  </si>
  <si>
    <t>오복진미생선찜</t>
  </si>
  <si>
    <t>모란칡냉면</t>
  </si>
  <si>
    <t>청정원 이벤트 제세공과금(LG틔움 미니)</t>
  </si>
  <si>
    <t>쿠팡: 참치, 햇반</t>
  </si>
  <si>
    <t>의정부지역화폐</t>
  </si>
  <si>
    <t>네이버 : 스쿠버프로 애프니아 스노클 x 2</t>
  </si>
  <si>
    <t>일산 K플라워</t>
  </si>
  <si>
    <t>프리다이빙 연습반(다이빙풀 입장료+핀, 수트 대여)</t>
  </si>
  <si>
    <t>롯데마트: 골든퀸 10kg</t>
  </si>
  <si>
    <t>이니스프리</t>
  </si>
  <si>
    <t>Hmall: 닥터 브로너스 바디워시*2</t>
  </si>
  <si>
    <t>수락산 족발야시장</t>
  </si>
  <si>
    <t>양주 사랑채 돼지갈비</t>
  </si>
  <si>
    <t>네이버플러스 연간 이용권</t>
  </si>
  <si>
    <t>만원집(의정부지역화폐)</t>
  </si>
  <si>
    <t>춘천 - 장호숯불닭갈비</t>
  </si>
  <si>
    <t>프리다이빙 연습반(다이빙풀 입장료+핀 대여)</t>
  </si>
  <si>
    <t>CJ더마켓: 사골곰탕*10, 전복내장영양밥*2, 치킨마요덮밥*2, 중화짬뽕, 왕교자, 특설렁탕, 함박스테이크(M포인트 5,000 사용)</t>
  </si>
  <si>
    <t>CJ더마켓</t>
  </si>
  <si>
    <t>롯데온: 무선주전자</t>
  </si>
  <si>
    <t>쿠팡프레시</t>
  </si>
  <si>
    <t>쿠팡: 메밀막국수, 케찹, 샤브샤브 냉동 등</t>
  </si>
  <si>
    <t>의정부 압구정와인마켓</t>
  </si>
  <si>
    <t>노원 스시웨이</t>
  </si>
  <si>
    <t>상훈 수락산 구름공방</t>
  </si>
  <si>
    <t>롯데마트 : 소고기, 계란, 아몬드</t>
  </si>
  <si>
    <t>하연옥 잠실점</t>
  </si>
  <si>
    <t>거해 수제두부짬뽕</t>
  </si>
  <si>
    <t>SSG: 샌디스크 익스트림 SDXC 128GB</t>
  </si>
  <si>
    <t>연장전(의정부지역화폐)</t>
  </si>
  <si>
    <t>ak몰: 에센스</t>
  </si>
  <si>
    <t>전주 노매딕한옥마을</t>
  </si>
  <si>
    <t>11번가: 샌디스크 익스트림 CF 64GB</t>
  </si>
  <si>
    <t>연희보쌈코다리찜</t>
  </si>
  <si>
    <t>컬리</t>
  </si>
  <si>
    <t>마켓컬리: 평양냉면, 부추전</t>
  </si>
  <si>
    <t>옥션 : 해피콜 몬드 프라이팬 24cm X 2ea</t>
  </si>
  <si>
    <t>팀 회식</t>
  </si>
  <si>
    <t>아직 할인미적용</t>
  </si>
  <si>
    <t xml:space="preserve">할인미적용 아직 </t>
  </si>
  <si>
    <t>SKT</t>
  </si>
  <si>
    <t>진주 하연옥 하대점</t>
  </si>
  <si>
    <t>브랜디: 니트, 원피스</t>
  </si>
  <si>
    <t>네이버: 하몽 이베리코 베요타 70g</t>
  </si>
  <si>
    <t>플레어 : 긴팔블라우스티, 에르망 플라워 가디건</t>
  </si>
  <si>
    <t>요기요: 마실 도시락 배달</t>
  </si>
  <si>
    <t>수락산 - 맥주정비소</t>
  </si>
  <si>
    <t>본가(노원사랑상품권)</t>
  </si>
  <si>
    <t>태양부양꼬치</t>
  </si>
  <si>
    <t>대학원 졸업시험 신청</t>
  </si>
  <si>
    <t>정장자켓수선(의정부신세계)</t>
  </si>
  <si>
    <t>다이빙풀 입장료</t>
  </si>
  <si>
    <t>승연: 외규장각 의궤 전시, 효뜨, 도토리 카페</t>
  </si>
  <si>
    <t>마켓컬리</t>
  </si>
  <si>
    <t>이차돌 수락점</t>
  </si>
  <si>
    <t>하이버 : JMW 드라이기 MG1800 PLUS</t>
  </si>
  <si>
    <t>인천공항 면세점</t>
  </si>
  <si>
    <t>마켓컬리: 순대국, 쭈꾸미, 떡갈비</t>
  </si>
  <si>
    <t>전주 1930한잔</t>
  </si>
  <si>
    <t>배민: 낙곱새녀석들</t>
  </si>
  <si>
    <t>청와정(서울페이)</t>
  </si>
  <si>
    <t>롯데온: 닥터브로너스 바디워시*2</t>
  </si>
  <si>
    <t>코스트코 가입비</t>
  </si>
  <si>
    <t>바나나몰</t>
  </si>
  <si>
    <t>네이버 : 유기농마루 브로콜리양배추즙 100팩</t>
  </si>
  <si>
    <t>배민: BHC</t>
  </si>
  <si>
    <t>장사도 왕복승선료</t>
  </si>
  <si>
    <t>전주 족떡이네</t>
  </si>
  <si>
    <t>강순의 프리미엄 포기김치 3kg X 2ea</t>
  </si>
  <si>
    <t>오쩜오 닭갈비</t>
  </si>
  <si>
    <t>쿠팡 : 애플워치 충전독 + 65W 어댑터</t>
  </si>
  <si>
    <t>롯데온: 락토핏 4입</t>
  </si>
  <si>
    <t>남도장터: 매생이 60봉</t>
  </si>
  <si>
    <t>속초 - 속초붉은대게수산 대게, 볶음밥</t>
  </si>
  <si>
    <t>민락 돈팬(의정부지역화폐)</t>
  </si>
  <si>
    <t>동오동 인생극장 쪽갈비</t>
  </si>
  <si>
    <t>닥터브로너스 퓨어 캐스틸 솝 - 티트리 + 유칼립투스, 946ml x 2</t>
  </si>
  <si>
    <t>하이버 : 뉴발란스 반팔티, 타미힐피거 반팔티</t>
  </si>
  <si>
    <t>11번가: 해피콜 프라이팬 3p</t>
  </si>
  <si>
    <t>네이버: 두다수모 2개(네이버포인트 478 사용)</t>
  </si>
  <si>
    <t>배민</t>
  </si>
  <si>
    <t>올림픽공원 다이빙풀 입장료</t>
  </si>
  <si>
    <t>올림픽공원 다이빙풀 입장료(불참 위약금)</t>
  </si>
  <si>
    <t>오늘회: 연어 400g, 참소라 1kg, 회간장</t>
  </si>
  <si>
    <t>춘천집닭갈비 수락산역</t>
  </si>
  <si>
    <t>무신사: 센티  플레르 선수용 숏사각 PL 100(XL)</t>
  </si>
  <si>
    <t>배민: 시골애</t>
  </si>
  <si>
    <t>11번가: 메이플트리 오메가3맥스 180캡슐*2통</t>
  </si>
  <si>
    <t>네이버: 양배추즙</t>
  </si>
  <si>
    <t>우체국 실손보험</t>
  </si>
  <si>
    <t>인터파크: 뉴발란스 반팔티</t>
  </si>
  <si>
    <t>나트랑 그랩 이용</t>
  </si>
  <si>
    <t>오늘회</t>
  </si>
  <si>
    <t>희정님 오발탄</t>
  </si>
  <si>
    <t>배민 : 족발야시장</t>
  </si>
  <si>
    <t>롯데온-래쉬가드세트</t>
  </si>
  <si>
    <t>샤부넘버원(노원사랑상품권)</t>
  </si>
  <si>
    <t>이차돌 회룡역점(의정부지역화폐)</t>
  </si>
  <si>
    <t>유니클로 : 파일베리쇼트삭스 28cm Navy 7ea, AIRism라인복서브리프(로라이즈) L 1ea</t>
  </si>
  <si>
    <t>쿠팡: 검가드 750ml*6</t>
  </si>
  <si>
    <t>승연 북서울미술관, 포앤시드니</t>
  </si>
  <si>
    <t>배달의민족: 족발</t>
  </si>
  <si>
    <t>네이버:마사지건</t>
  </si>
  <si>
    <t>비비큐 노원역점(노원사랑상품권)</t>
  </si>
  <si>
    <t>한촌설렁탕</t>
  </si>
  <si>
    <t>썸머타이(노원사랑상품권)</t>
  </si>
  <si>
    <t>11번가 : 올리 폴딩팬 : 사무실 선풍기</t>
  </si>
  <si>
    <t>송은철 신경과의원 : 두통/어지럼증</t>
  </si>
  <si>
    <t>조선곰탕 동두천점</t>
  </si>
  <si>
    <t>교촌치킨 녹양점</t>
  </si>
  <si>
    <t>상훈 공릉한촌</t>
  </si>
  <si>
    <t>롯데온: 햇반 36입</t>
  </si>
  <si>
    <t>네이버쇼핑 : 잉크메이드 - 호환잉크 6종</t>
  </si>
  <si>
    <t>민락 온센(의정부지역화폐)</t>
  </si>
  <si>
    <t>iHerb.com $21.51</t>
  </si>
  <si>
    <t>쿠팡: 핸드믹서, 펀칭볼 바구니</t>
  </si>
  <si>
    <t>11번가 : 고프로 Enduro 배터리</t>
  </si>
  <si>
    <t>청송얼음막걸리</t>
  </si>
  <si>
    <t>배민 : 원할머니보쌈</t>
  </si>
  <si>
    <t xml:space="preserve">수락산역 또바기 닭한마리 </t>
  </si>
  <si>
    <t>롯데면세점: 워터래깅스, 방수파우치</t>
  </si>
  <si>
    <t>풍성진 감자탕(노원사랑상품권)</t>
  </si>
  <si>
    <t>마들 - 680루프탑</t>
  </si>
  <si>
    <t>네이버: 프로쉬 식기세척기세제 4box(포인트 537 사용)</t>
  </si>
  <si>
    <t>롯데온: 치후 소모품</t>
  </si>
  <si>
    <t>본죽 포장(서울페이)</t>
  </si>
  <si>
    <t>디피랑 입장료</t>
  </si>
  <si>
    <t>우리나라</t>
  </si>
  <si>
    <t>어락 생선구이</t>
  </si>
  <si>
    <t>배민: 족발야시장</t>
  </si>
  <si>
    <t>대구 - 제비원식당</t>
  </si>
  <si>
    <t>클룩: 아이리조트 2인 머드스파(USD 22.3)</t>
  </si>
  <si>
    <t>수락솥뚜껑김치삼겹살(노원사랑상품권)</t>
  </si>
  <si>
    <t>쿠팡: 랠리 버드스킨 오리발</t>
  </si>
  <si>
    <t>녹양 교촌치킨</t>
  </si>
  <si>
    <t>엘페이 프리미엄 연간결제</t>
  </si>
  <si>
    <t>쿠팡: 잼, 두루마리휴지, 도시락김</t>
  </si>
  <si>
    <t>오한수우육면가(의정부신세계)</t>
  </si>
  <si>
    <t xml:space="preserve">퀵실버코리아 : 퀵실버 마풀 이너웨어 L </t>
  </si>
  <si>
    <t>요기요: 쿠마키친</t>
  </si>
  <si>
    <t>매봉제일마트</t>
  </si>
  <si>
    <t>아고다 : 르모어 호텔 1박(USD 21.15)</t>
  </si>
  <si>
    <t>전주 교동다원</t>
  </si>
  <si>
    <t>전주 더마시랑게</t>
  </si>
  <si>
    <t>롯데마트 배달</t>
  </si>
  <si>
    <t>의정부 한촌설렁탕</t>
  </si>
  <si>
    <t>오늘회 : 연어/광어 모듬(적립금 5500 사용)</t>
  </si>
  <si>
    <t>네이버 : 퀵실버 남성 레귤러핏 래쉬가드 겸용 나시 티셔츠</t>
  </si>
  <si>
    <t>네이버 : 데코밸런스 화분받침대 2개</t>
  </si>
  <si>
    <t>쿠팡 : 욕실방수시계 / 그라탕기</t>
  </si>
  <si>
    <t>배민 : 족발</t>
  </si>
  <si>
    <t>연안식당 의정부민락(의정부지역화폐)</t>
  </si>
  <si>
    <t>노원 오늘와인한잔</t>
  </si>
  <si>
    <t>롯데온: 프리메라 스킨</t>
  </si>
  <si>
    <t>다나아 이비인후과 - CT촬영</t>
  </si>
  <si>
    <t>배민: 교촌치킨</t>
  </si>
  <si>
    <t>양주 밀곳</t>
  </si>
  <si>
    <t>상훈 수락산</t>
  </si>
  <si>
    <t>배민 - 중식배달</t>
  </si>
  <si>
    <t>일산 소호정</t>
  </si>
  <si>
    <t>현대아울렛 우미학</t>
  </si>
  <si>
    <t>평양칼국수</t>
  </si>
  <si>
    <t>파주돌짜장</t>
  </si>
  <si>
    <t>인제 - 용바위식당</t>
  </si>
  <si>
    <t>쿠팡: 한돈 앞다리, 살치살 스테이크용</t>
  </si>
  <si>
    <t>화화담 의정부</t>
  </si>
  <si>
    <t>돈가스클럽 장암점</t>
  </si>
  <si>
    <t>춘천 - 통나무집닭갈비 포장</t>
  </si>
  <si>
    <t>쿠팡: 퍼실, 시스테마 스펀지 치실</t>
  </si>
  <si>
    <t>배민:첸첸</t>
  </si>
  <si>
    <t>하이마트: 샌디스크 SD메모리 128GB</t>
  </si>
  <si>
    <t>장암 돈까스클럽</t>
  </si>
  <si>
    <t>롯데온: 틔운 씨앗세트</t>
  </si>
  <si>
    <t>한촌설렁탕 의정부</t>
  </si>
  <si>
    <t>배민 : 피제이피자</t>
  </si>
  <si>
    <t>롯데온: 컴포트랩 브라탑*2</t>
  </si>
  <si>
    <t>미스터포보 민락점(의정부지역화폐)</t>
  </si>
  <si>
    <t>11번가: 데일리수세미 8box</t>
  </si>
  <si>
    <t>11번가: 프리메라 기초세트</t>
  </si>
  <si>
    <t>쿠팡: 우유, 버터</t>
  </si>
  <si>
    <t>쿠팡: 밀가루, 아몬드</t>
  </si>
  <si>
    <t>브랜디(포인트 1,921 사용)</t>
  </si>
  <si>
    <t>버니니</t>
  </si>
  <si>
    <t>밀곳</t>
  </si>
  <si>
    <t>배민 : 중식배달</t>
  </si>
  <si>
    <t>미가솥뚜껑삼겹살 : 윤석,상훈</t>
  </si>
  <si>
    <t>에어서울 사전 좌석지정</t>
  </si>
  <si>
    <t>속초 - 설악 워터피아 나이트 스파</t>
  </si>
  <si>
    <t>쿠팡 : 명란젓</t>
  </si>
  <si>
    <t>이니스프리: 에센스</t>
  </si>
  <si>
    <t>오늘회: 돈마호크*3, 표고버섯</t>
  </si>
  <si>
    <t>하이버 : 피그먼트 루즈핏 셔츠</t>
  </si>
  <si>
    <t>쿠팡: 안티포그, AAA건전지</t>
  </si>
  <si>
    <t>의정부 이마트</t>
  </si>
  <si>
    <t>동두천 호수식당 덕정점</t>
  </si>
  <si>
    <t>만석닭강정 온라인 주문</t>
  </si>
  <si>
    <t>쿠팡: 배양토, 밴드</t>
  </si>
  <si>
    <t>쿠팡: 칫솔, 폼클렌징</t>
  </si>
  <si>
    <t>쿠팡: 닭가슴살, 생칼국수, 짜파게티, 귤 3kg</t>
  </si>
  <si>
    <t>쿠팡: 콘푸로스트, 그릭요거트, 우유, 지퍼백 혼합팩</t>
  </si>
  <si>
    <t>통영 배말칼국수김밥 통영루지점</t>
  </si>
  <si>
    <t>요기요: 교촌 허니콤보 배달</t>
  </si>
  <si>
    <t>요기요: 교촌허니콤보 배달</t>
  </si>
  <si>
    <t>요기요: 교촌치킨 허니콤보</t>
  </si>
  <si>
    <t>아오리 라멘(의정부지역화페)</t>
  </si>
  <si>
    <t>롯데아이몰: 래쉬가드 민소매(적립금 10,000사용)</t>
  </si>
  <si>
    <t>쿠팡프레시 : 샤브샤브</t>
  </si>
  <si>
    <t>하이버: 덴탈마스크*200매</t>
  </si>
  <si>
    <t>촌짬뽕</t>
  </si>
  <si>
    <t>노원 풍미연 설렁탕</t>
  </si>
  <si>
    <t>속초 - 김정옥할머니순두부</t>
  </si>
  <si>
    <t>롯데온: 쌀누룽지 2kg</t>
  </si>
  <si>
    <t>쿠팡: 크림치즈, 우유, 요거트, 양상추</t>
  </si>
  <si>
    <t>롯데온: upTIME 멀티포트</t>
  </si>
  <si>
    <t>일신 참칼국수(의정부사랑카드)</t>
  </si>
  <si>
    <t>요기요-늘통큰감자탕(중)</t>
  </si>
  <si>
    <t>네이버 : 텔레신 고프로 3구 충전기</t>
  </si>
  <si>
    <t>쿠팡: 각티슈, 칫솔</t>
  </si>
  <si>
    <t>쿠팡: 각티슈, 루이보스 티백, 도시락김</t>
  </si>
  <si>
    <t>하이버 : 버버리 위크앤드</t>
  </si>
  <si>
    <t>쿠팡: 글레이즈, 키친타월, 생와사비</t>
  </si>
  <si>
    <t>나트랑 모조인(VND 367.2k)</t>
  </si>
  <si>
    <t>장사도 입장료</t>
  </si>
  <si>
    <t>베나자 보트투어 예약금 2인</t>
  </si>
  <si>
    <t>쿠팡: 습윤밴드, 치약</t>
  </si>
  <si>
    <t>배민 : 이어도 생선구이</t>
  </si>
  <si>
    <t>역전할머니맥주 수락산점</t>
  </si>
  <si>
    <t>쿠팡: 크림치즈, 달걀, 요거트</t>
  </si>
  <si>
    <t>스타벅스 원두</t>
  </si>
  <si>
    <t>네이버: 전복 1kg (네이버포인트 3688사용)</t>
  </si>
  <si>
    <t>쿠팡: 젓가락 2세트</t>
  </si>
  <si>
    <t>쿠팡 : 우유, 우유, 치즈, 어묵</t>
  </si>
  <si>
    <t>배민 : 엽떡</t>
  </si>
  <si>
    <t>통영 영빈관</t>
  </si>
  <si>
    <t>전주 전통술박물관</t>
  </si>
  <si>
    <t>롯데멤버스 연회비</t>
  </si>
  <si>
    <t>요기요: BBQ 반반치킨</t>
  </si>
  <si>
    <t>배민 : 동대문엽기떡볶이</t>
  </si>
  <si>
    <t>여민락 뼈해장국</t>
  </si>
  <si>
    <t>경희잘한다한의원 진단서 발급</t>
  </si>
  <si>
    <t>수락산 참이맛감자탕</t>
  </si>
  <si>
    <t>속초 - 만석닭강정 순살 보통맛 포장</t>
  </si>
  <si>
    <t>파주프리미엄아울렛: 와인앤모어 맥주</t>
  </si>
  <si>
    <t>스타벅스 원두 + 비아</t>
  </si>
  <si>
    <t>배민: 이어도 생선구이</t>
  </si>
  <si>
    <t>공항리무진(인천공항-의정부역)</t>
  </si>
  <si>
    <t>요기요: 교촌치킨 허니콤보(네이버포인트 3009사용)</t>
  </si>
  <si>
    <t>스타벅스 원두+샌드위치</t>
  </si>
  <si>
    <t>롯데온: 스탠리 맥주컵</t>
  </si>
  <si>
    <t>스타벅스 원두 + 커피</t>
  </si>
  <si>
    <t>쿠팡: 샤워커튼</t>
  </si>
  <si>
    <t>Klook 보홀 공항 ~ 숙소 픽업, 샌딩 예약 (lakirati naver)</t>
  </si>
  <si>
    <t>문경 카페오방지리</t>
  </si>
  <si>
    <t>쿠팡: 구연산, 카야잼</t>
  </si>
  <si>
    <t>쿠팡: 발사믹 글레이즈, 본조르노 치약</t>
  </si>
  <si>
    <t>하이버: 변기세정제 2</t>
  </si>
  <si>
    <t>배과장방문, 퇴사자인사차 커피</t>
  </si>
  <si>
    <t>쿠팡: 우삼겹, 요거트, 파마산 치즈가루</t>
  </si>
  <si>
    <t>서울테헤란치과 : 오른쪽아래어금니 통증 - 잇몸치료</t>
  </si>
  <si>
    <t>전주 금암면옥</t>
  </si>
  <si>
    <t>배민 : 수차이 탕수육+간짜장</t>
  </si>
  <si>
    <t>하이버: 프리메라 맨 오가니언스 에멀젼</t>
  </si>
  <si>
    <t>11번가 : 스탠리 클래식 트리거액션 트래블머그 473ml</t>
  </si>
  <si>
    <t>쿠팡: 우유, 닭갈비</t>
  </si>
  <si>
    <t>호수식당 동두천</t>
  </si>
  <si>
    <t>문경 등뼈감자탕</t>
  </si>
  <si>
    <t>스타벅스 원두, 티라미수</t>
  </si>
  <si>
    <t>11번가 : 태안 활 왕새우 1kg</t>
  </si>
  <si>
    <t>하이버 : 린넨 솔리드 기본 카라 썸머 여름 시원한 남방 셔츠(15color)</t>
  </si>
  <si>
    <t>카카오쇼핑: 꼬막 2kg</t>
  </si>
  <si>
    <t>쿠팡: 다우니</t>
  </si>
  <si>
    <t>도시락 : USIM - 베트남 10GB 후 저속무제한, 15일 음성40분 mobifone X 2ea</t>
  </si>
  <si>
    <t>편의점 주류</t>
  </si>
  <si>
    <t>서울테헤란치과 : 오른쪽아래어금이 통증 - 엑스레이, 스케일링</t>
  </si>
  <si>
    <t>네이버 : 포시엘라 규조토 발매트 2개</t>
  </si>
  <si>
    <t>카페다시</t>
  </si>
  <si>
    <t>안다미로 민락점(의정부지역화폐)</t>
  </si>
  <si>
    <t>네이버 : HDMI 셀렉터 + 케이블</t>
  </si>
  <si>
    <t>중계상록수약국: 상비약</t>
  </si>
  <si>
    <t>속초 - 궁잔기지떡</t>
  </si>
  <si>
    <t>속초 - 현태네튀김 오징어순대, 모듬튀김</t>
  </si>
  <si>
    <t>하이버: 슬리퍼 4개(포인트 1,888 사용)</t>
  </si>
  <si>
    <t>위메프: 홍진경 더김치 3kg</t>
  </si>
  <si>
    <t>브랜디: 민소매 래쉬가드</t>
  </si>
  <si>
    <t>네이버: 냉동 제주 은갈치 300g*3마리</t>
  </si>
  <si>
    <t>11번가 : 프리메라 오가니언스 워터</t>
  </si>
  <si>
    <t>알리익스프레스 : 애플워치 스트랩 구매</t>
  </si>
  <si>
    <t>강남사랑상품권</t>
  </si>
  <si>
    <t>쿠팡 : 티피링크 5포트 스위치허브</t>
  </si>
  <si>
    <t>하이버 : 코듀로이 골덴 셔츠</t>
  </si>
  <si>
    <t>배민 : 수차이</t>
  </si>
  <si>
    <t>요기요: 간짜장 2인</t>
  </si>
  <si>
    <t>누리약국 : 테라플루</t>
  </si>
  <si>
    <t>나트랑 롯데마트(VND 280.5k)</t>
  </si>
  <si>
    <t>skt</t>
  </si>
  <si>
    <t>롯데마트 중계점</t>
  </si>
  <si>
    <t>요기요: 엽떡 배달</t>
  </si>
  <si>
    <t>스타벅스 원두, 라떼</t>
  </si>
  <si>
    <t>Amazon_AWS : 프리티어만료후…EC2안꺼서</t>
  </si>
  <si>
    <t>21세기상계약국 : 누액 3box</t>
  </si>
  <si>
    <t>브랜디: 아르간 오일 헤어 에센스</t>
  </si>
  <si>
    <t>대구 - 재현이집</t>
  </si>
  <si>
    <t>롯데온: 사골곰탕 18봉</t>
  </si>
  <si>
    <t>문경 초계한우</t>
  </si>
  <si>
    <t>배민 : 차이나타운도봉점 중식 배달</t>
  </si>
  <si>
    <t>부용원: 쌍화차, 자몽차</t>
  </si>
  <si>
    <t>네이버 : 강순의명가 프리미엄 포기김치 3kg</t>
  </si>
  <si>
    <t>하이버: 덴탈마스크</t>
  </si>
  <si>
    <t>브랜디: 티셔츠, 양말</t>
  </si>
  <si>
    <t>편의점 숙취해소제</t>
  </si>
  <si>
    <t>마고플레인아양(대구)</t>
  </si>
  <si>
    <t>네이버 : 하비비 청개구리 자동 변기 세정제 클리너 3+3</t>
  </si>
  <si>
    <t>브랜디: 반팔티, 랩스커트</t>
  </si>
  <si>
    <t>쿠팡: 종이호일, 고형카레</t>
  </si>
  <si>
    <t>알리익스프레스 : 고프로11 호환 방수케이스 + 필터</t>
  </si>
  <si>
    <t>롯데온: 귤 5kg</t>
  </si>
  <si>
    <t>11번가 : 연구방법론 수업교재</t>
  </si>
  <si>
    <t>브랜디: 니트 조끼</t>
  </si>
  <si>
    <t>역전할머니맥주 민락점(의정부지역화폐)</t>
  </si>
  <si>
    <t>택시비</t>
  </si>
  <si>
    <t>하이버: 퓨마 슬리퍼</t>
  </si>
  <si>
    <t>전주 왱이집</t>
  </si>
  <si>
    <t>제주항공: 사전좌석지정(귀국편)</t>
  </si>
  <si>
    <t>홈익스프레스</t>
  </si>
  <si>
    <t>11번가 : 비비고 사골곰탕 500ml X 18ea</t>
  </si>
  <si>
    <t>지샥 전지교체(노원사랑상품권)</t>
  </si>
  <si>
    <t>삼오칼국수</t>
  </si>
  <si>
    <t>파주프리미엄아울렛: 나이키 모자</t>
  </si>
  <si>
    <t>SSG: 데스크매트</t>
  </si>
  <si>
    <t>알리익스프레스 : 고프로4 호환 배터리</t>
  </si>
  <si>
    <t>편의점 담배, 맥주</t>
  </si>
  <si>
    <t>서울역 - 아침식사 : 제주면장</t>
  </si>
  <si>
    <t>문경 이디야</t>
  </si>
  <si>
    <t>사쿠라 : 윤석,상훈</t>
  </si>
  <si>
    <t>쿠팡 : 다나 딸기잼, 오렌지마말레이드, 블루베리잼</t>
  </si>
  <si>
    <t>롯데홈쇼핑: 클렌징워터(적립금 13,070 사용)</t>
  </si>
  <si>
    <t>CJ더마켓: 비비고 만두 1.04*2</t>
  </si>
  <si>
    <t>브랜디 : 노트북 파우치</t>
  </si>
  <si>
    <t>브랜디: 마스크 100매</t>
  </si>
  <si>
    <t>도봉사랑상품권</t>
  </si>
  <si>
    <t>티몬: USB 2개</t>
  </si>
  <si>
    <t>윤석 - 편의점 맥주</t>
  </si>
  <si>
    <t>테그42중계점(서울페이)</t>
  </si>
  <si>
    <t>롯데온: 홍가리비 2kg</t>
  </si>
  <si>
    <t>롯데온: 화장솜 100매*6개</t>
  </si>
  <si>
    <t>문경 24시 콩나물국밥</t>
  </si>
  <si>
    <t>이삭토스트</t>
  </si>
  <si>
    <t>롯데온: 차렵이불 S</t>
  </si>
  <si>
    <t>브랜디: 샌들</t>
  </si>
  <si>
    <t>이디야 문경</t>
  </si>
  <si>
    <t>나트랑 롯데마트 : 물, 맥주 등</t>
  </si>
  <si>
    <t>띠아모 문경</t>
  </si>
  <si>
    <t>네이버 : 규조토 트레이 x 2</t>
  </si>
  <si>
    <t>그린오피스</t>
  </si>
  <si>
    <t>서울 테헤란치과 : 잇몸염증치료</t>
  </si>
  <si>
    <t>롯데온: 슬리퍼</t>
  </si>
  <si>
    <t>전주 전주수목원-한옥마을 택시비</t>
  </si>
  <si>
    <t>푸드코트 유부초밥(의정부신세계)</t>
  </si>
  <si>
    <t>정수기 렌탈</t>
  </si>
  <si>
    <t>위메프: 자연퐁 POP 샤인머스캣*3</t>
  </si>
  <si>
    <t>코스트코: 샐러드, 치킨베이크</t>
  </si>
  <si>
    <t>롯데온: 홍가리비 3kg</t>
  </si>
  <si>
    <t>이디야</t>
  </si>
  <si>
    <t>서울테헤란치과</t>
  </si>
  <si>
    <t>롯데온: 랩스커트</t>
  </si>
  <si>
    <t>브랜디: 반폴라 1+1</t>
  </si>
  <si>
    <t>전주 차미라미</t>
  </si>
  <si>
    <t>주민세</t>
  </si>
  <si>
    <t>편의점 맥주</t>
  </si>
  <si>
    <t>씨유 매봉 : 맥주</t>
  </si>
  <si>
    <t>요기요: 꼬꼬스토리 닭강정</t>
  </si>
  <si>
    <t>이디야 대구수성범어천로점</t>
  </si>
  <si>
    <t>쿠팡 : CH341A 롬라이터</t>
  </si>
  <si>
    <t>종량제봉투10L * 3</t>
  </si>
  <si>
    <t>종량제봉투 3set</t>
  </si>
  <si>
    <t>롯데온: 휴고프로쉬 물주머니</t>
  </si>
  <si>
    <t>무량사 기부금</t>
  </si>
  <si>
    <t>서울역 - 아침식사 : 북창동순두부</t>
  </si>
  <si>
    <t>베나자 공항 픽업 예약금</t>
  </si>
  <si>
    <t>롯데백화점 삼송빵집</t>
  </si>
  <si>
    <t>동행복권 예치금</t>
  </si>
  <si>
    <t>배달의민족 : 쟁반짜장</t>
  </si>
  <si>
    <t>놀숲 의정부민락점</t>
  </si>
  <si>
    <t>요기요: 탕짜면</t>
  </si>
  <si>
    <t>광장시장 순희네빈대떡(모바일 온누리 상품권)</t>
  </si>
  <si>
    <t>스타벅스 비아</t>
  </si>
  <si>
    <t>한촌설렁탕 : 윤석,상훈</t>
  </si>
  <si>
    <t xml:space="preserve">선두외과의원 </t>
  </si>
  <si>
    <t>네이버 : HDMI 2.1케이블 tv/사운드바 용</t>
  </si>
  <si>
    <t>11번가 : 쉬슬러 구스다운 세탁세제 650ml X 2ea</t>
  </si>
  <si>
    <t>DB손해보험 - 화재보험</t>
  </si>
  <si>
    <t>롯데온: 디퓨저 리드스틱</t>
  </si>
  <si>
    <t>자리 의정부민락(의정부지역화폐)</t>
  </si>
  <si>
    <t>SSG: 베개커버</t>
  </si>
  <si>
    <t>윤쉐프 정직한 제빵소</t>
  </si>
  <si>
    <t>브랜디: 선크림</t>
  </si>
  <si>
    <t>이니스프리: 아이브로우, 매니큐어</t>
  </si>
  <si>
    <t>하이버: 물통</t>
  </si>
  <si>
    <t>쿠팡 : 팬틴 극손상케어 트리트먼트</t>
  </si>
  <si>
    <t>브랜디: 블라우스</t>
  </si>
  <si>
    <t>브랜디: 원피스</t>
  </si>
  <si>
    <t>나트랑센터 스타벅스(VND 150k)</t>
  </si>
  <si>
    <t>누리약국</t>
  </si>
  <si>
    <t>엔젤리너스 음성휴게소</t>
  </si>
  <si>
    <t>롯데마트: 호박고구마, 바나나</t>
  </si>
  <si>
    <t>양자강</t>
  </si>
  <si>
    <t>오백국수 노원점(서울페이)</t>
  </si>
  <si>
    <t>전주 풍년제과</t>
  </si>
  <si>
    <t>밝은미래안과 진료</t>
  </si>
  <si>
    <t>파리바게뜨</t>
  </si>
  <si>
    <t>롯데온: 아레나 수영가방</t>
  </si>
  <si>
    <t>상훈 하이버 후드 선물</t>
  </si>
  <si>
    <t>요기요: 락궁 쟁반짜장2인(네이버 포인트 10580 사용)</t>
  </si>
  <si>
    <t>에어서울 기내 컵라면*2</t>
  </si>
  <si>
    <t>오니기리와이규동 교대점</t>
  </si>
  <si>
    <t>의정부스포츠센터 자유수영</t>
  </si>
  <si>
    <t>의정부 스포츠센터 자유수영 2</t>
  </si>
  <si>
    <t>고봉민김밥</t>
  </si>
  <si>
    <t>문경 띠아모</t>
  </si>
  <si>
    <t>여행자보험</t>
  </si>
  <si>
    <t>죠스떡볶이</t>
  </si>
  <si>
    <t>곳간하임(교대)</t>
  </si>
  <si>
    <t>예원분식 김밥 + 편의점 컵라면</t>
  </si>
  <si>
    <t>중도상환수수료 7,243원</t>
  </si>
  <si>
    <t>SSG닷컴- 베개커버</t>
  </si>
  <si>
    <t>하이버: 아르간오일</t>
  </si>
  <si>
    <t>네이버: 숯타벅스 숯 2kg/석쇠(네이버포인트 7575 사용)</t>
  </si>
  <si>
    <t>김밥천국 교대점</t>
  </si>
  <si>
    <t>롯데마트 타코야끼</t>
  </si>
  <si>
    <t>쿠팡: 맛선생</t>
  </si>
  <si>
    <t>롯데홈쇼핑: 치약</t>
  </si>
  <si>
    <t>서울 테헤란치과 : 크라운재부착</t>
  </si>
  <si>
    <t>알리익스프레스 : 스노클링 마스크 케이스 x 2</t>
  </si>
  <si>
    <t>탄</t>
  </si>
  <si>
    <t>고봉민김밥(서울페이)</t>
  </si>
  <si>
    <t>하이버: 아레나 수영가방</t>
  </si>
  <si>
    <t>롯데온: 뱅쇼키트</t>
  </si>
  <si>
    <t>롯데온: 아모스 컬링 에센스</t>
  </si>
  <si>
    <t>대구 - 편의점 커피</t>
  </si>
  <si>
    <t>알라딘중고서점</t>
  </si>
  <si>
    <t>알라딘 중고서점</t>
  </si>
  <si>
    <t>하이버 : 브레스 와이드핏 플리츠 밴딩 바지</t>
  </si>
  <si>
    <t>알리익스프레스 : 스노클링 마스크 스트랩 커버 x 2</t>
  </si>
  <si>
    <t>롯데마트: 파스타소스</t>
  </si>
  <si>
    <t>연돈볼카츠(의정부지역화폐)</t>
  </si>
  <si>
    <t>스타벅스</t>
  </si>
  <si>
    <t>소요 단팥빵</t>
  </si>
  <si>
    <t>쿠팡: 키친타월</t>
  </si>
  <si>
    <t>이디야커피 문경</t>
  </si>
  <si>
    <t>브랜디: 발목양말</t>
  </si>
  <si>
    <t>네이버 : 티빙 스탠다드</t>
  </si>
  <si>
    <t>쿠팡 : UTP 1m CAT6 케이블</t>
  </si>
  <si>
    <t>애플 : AutoSleep 앱구매</t>
  </si>
  <si>
    <t>홈플러스익스프레스 : 순두부, 양념, 애호박</t>
  </si>
  <si>
    <t>11번가: 귤 4.5kg</t>
  </si>
  <si>
    <t>하이버 : 브레스 릴렉스핏 포켓 반팔 티셔트 2ea</t>
  </si>
  <si>
    <t>파주프리미엄아울렛: 노브랜드 맥주, 라임맥주</t>
  </si>
  <si>
    <t>휴게소 닭강정</t>
  </si>
  <si>
    <t>편의점 : 소주, 맥주</t>
  </si>
  <si>
    <t>죠스떡볶이(서울페이)</t>
  </si>
  <si>
    <t>전주 팔복공장-전주수목원 택시비</t>
  </si>
  <si>
    <t>롯데홈쇼핑- 헤드 레깅스</t>
  </si>
  <si>
    <t>쿠팡: 콘푸로스트</t>
  </si>
  <si>
    <t>의정부 스포츠센터</t>
  </si>
  <si>
    <t>편의점 : 커피, 핫초코, 우유생크림빵</t>
  </si>
  <si>
    <t>전주역-한옥마을 택시비</t>
  </si>
  <si>
    <t>티빙 스탠다드 포인트 920사용</t>
  </si>
  <si>
    <t>브랜디 반품 배송비</t>
  </si>
  <si>
    <t>서울배내과의원 : 급성충수염진단</t>
  </si>
  <si>
    <t>올림픽공원 수영장 주차비</t>
  </si>
  <si>
    <t>속초 - 스타벅스</t>
  </si>
  <si>
    <t>쿠팡 로켓와우 월회비</t>
  </si>
  <si>
    <t>GS25: 우유</t>
  </si>
  <si>
    <t>전주 한옥마을-전주역 택시비</t>
  </si>
  <si>
    <t>롯데온: 이라이프 비닐 쇼핑 봉투 미니 90매*5</t>
  </si>
  <si>
    <t>카카오쇼핑 : 방충망청소용품</t>
  </si>
  <si>
    <t>편의점 : 김밥, 소시지</t>
  </si>
  <si>
    <t>롯데온: 화장솜 * 8</t>
  </si>
  <si>
    <t>쿠팡 : 애플워치 충전독</t>
  </si>
  <si>
    <t>스타벅스 커피</t>
  </si>
  <si>
    <t>고운얼굴치과 - 금연약처방</t>
  </si>
  <si>
    <t>롯데온: 오리발 가방</t>
  </si>
  <si>
    <t>브랜디: 티셔츠</t>
  </si>
  <si>
    <t>멜론 정기 결제</t>
  </si>
  <si>
    <t>알리익스프레스 : 고프로4 플로팅 핸드 그립</t>
  </si>
  <si>
    <t>현대아울렛 백미당</t>
  </si>
  <si>
    <t>쿠팡 : 다나 딸기잼</t>
  </si>
  <si>
    <t>잠실 종합운동장 수영장 주차비</t>
  </si>
  <si>
    <t>홈익스프레스: 순두부, 미니새송이버섯</t>
  </si>
  <si>
    <t>세차비(하부세차 추가)</t>
  </si>
  <si>
    <t>김밥까페 교대점</t>
  </si>
  <si>
    <t>세차비</t>
  </si>
  <si>
    <t>속초 - 속초해수욕장 치즈호떡</t>
  </si>
  <si>
    <t>쿠팡 : 생활도감 혀클리너</t>
  </si>
  <si>
    <t>의정부 스포츠센터 자유수영 1</t>
  </si>
  <si>
    <t>속초 - 한화리조트 설악 편의점</t>
  </si>
  <si>
    <t>더벤티 버블티</t>
  </si>
  <si>
    <t>전주 커피</t>
  </si>
  <si>
    <t>선릉수정약국</t>
  </si>
  <si>
    <t>다온약국 - 니코챔스 1주일분</t>
  </si>
  <si>
    <t>알리익스프레스 : 고프로4 다이빙필터</t>
  </si>
  <si>
    <t>김밥팩토리(서울페이)</t>
  </si>
  <si>
    <t>다나아 이비인후과 - 신속항원검사</t>
  </si>
  <si>
    <t>브랜디: 단추 니트(포인트 13131 사용)</t>
  </si>
  <si>
    <t>푸라닭치킨 배달비</t>
  </si>
  <si>
    <t>BBQ 배달비+소스추가</t>
  </si>
  <si>
    <t>서울테헤란치과 : 오른쪽아래어금니 통증 - 소독</t>
  </si>
  <si>
    <t>휴게소 핫바</t>
  </si>
  <si>
    <t>서울 테헤란치과</t>
  </si>
  <si>
    <t>하이버 - 데일리콤마 디퓨저 4ea</t>
  </si>
  <si>
    <t>편의점 반품택배비</t>
  </si>
  <si>
    <t>동방약국</t>
  </si>
  <si>
    <t>나트랑 응온갤러리 맥주(VND 57750)</t>
  </si>
  <si>
    <t>강남우리약국 : 항생제/소염제/헥사메딘</t>
  </si>
  <si>
    <t>애플 : iCloud+ 정기결제</t>
  </si>
  <si>
    <t>GS25: 컵라면, 삼각김밥</t>
  </si>
  <si>
    <t>애플 : iCloud+ 정기결제 200G변경</t>
  </si>
  <si>
    <t>빽다방 수락</t>
  </si>
  <si>
    <t>삼다연 - 식대카드 차액결제</t>
  </si>
  <si>
    <t>티빙 스탠다드 네이버 포인트 2,903사용</t>
  </si>
  <si>
    <t>다이소</t>
  </si>
  <si>
    <t>의류반품관련 배송비</t>
  </si>
  <si>
    <t>인천공상 생수, 음료</t>
  </si>
  <si>
    <t>브랜디 : 벨트</t>
  </si>
  <si>
    <t>고망고 의정부로데오점</t>
  </si>
  <si>
    <t>강남우리약국</t>
  </si>
  <si>
    <t>교대역 티라투티: 샌드위치</t>
  </si>
  <si>
    <t>어묵나라 중계역점 토스트</t>
  </si>
  <si>
    <t>홈익스프레스: 시금치</t>
  </si>
  <si>
    <t>생수</t>
  </si>
  <si>
    <t>편의점 커피</t>
  </si>
  <si>
    <t>전주 스타벅스</t>
  </si>
  <si>
    <t>하이버 : 에스트라 3종키트</t>
  </si>
  <si>
    <t>세븐일레븐: 커피&amp;핫식스(L포인트4500 사용)</t>
  </si>
  <si>
    <t>주차비</t>
  </si>
  <si>
    <t>경비실, 규조토발매트 폐기비용</t>
  </si>
  <si>
    <t>주차비(조양마트방문)</t>
  </si>
  <si>
    <t>수락리버시티 경비실 - 대형폐기물 (캐리어)</t>
  </si>
  <si>
    <t>편의점: 티슈</t>
  </si>
  <si>
    <t>씨유 매봉 : 우유</t>
  </si>
  <si>
    <t>편의점 컵라면</t>
  </si>
  <si>
    <t>네이버 : 프로크리에이트, 굿노트5 리딤코드, 네이버포인트 3027원사용</t>
  </si>
  <si>
    <t>미니스톱 교대점</t>
  </si>
  <si>
    <t>도노커피</t>
  </si>
  <si>
    <t>편의점 : 탄산수</t>
  </si>
  <si>
    <t>티빙 스탠다드 포인트 2,430사용</t>
  </si>
  <si>
    <t>전주 편의점 음료</t>
  </si>
  <si>
    <t>통영 공영주차장</t>
  </si>
  <si>
    <t>물티슈</t>
  </si>
  <si>
    <t>아이스크림</t>
  </si>
  <si>
    <t>배민: 엽떡(쿠폰 20000원 사용)</t>
  </si>
  <si>
    <t>속초 - 속초해수욕장 주차요금</t>
  </si>
  <si>
    <t>법원 등기부등본 열람</t>
  </si>
  <si>
    <t>밝은미래안과 방문 주차</t>
  </si>
  <si>
    <t>멜론 2개월 100원</t>
  </si>
  <si>
    <t>멜론 정기결제</t>
  </si>
  <si>
    <t>멜론 결제</t>
  </si>
  <si>
    <t>롯데온: 치실(L포인트6790사용)</t>
  </si>
  <si>
    <t>롯데온: 봉평촌 메밀막국수 850g*2(L포인트10770사용)</t>
  </si>
  <si>
    <t>롯데온:  방울다다기양배추씨앗(L포인트3570사용)</t>
  </si>
  <si>
    <t>아이바헤어도봉한신 컷 - 선결제금액 사용</t>
  </si>
  <si>
    <t>엄마 환갑 기념 여행비</t>
  </si>
  <si>
    <t>네이버 : 라치나타 트러플 올리브 오일 4병, 4/23 취소처리</t>
  </si>
  <si>
    <t>네이버 : 라치나타 트러플 올리브 오일 4병, 5/11취소처리</t>
  </si>
  <si>
    <t>삼척 달빛바다펜션 / 7/6 취소</t>
  </si>
  <si>
    <t>에이바헤어 컷, 포인트 10,000원사용, 정액권 2,000원사용</t>
  </si>
  <si>
    <t>네이버: 강릉 휴심 홍장암 1박 / 7/6 취소</t>
  </si>
  <si>
    <t>롯데온: 수딩젤(L포인트 3870 사용)</t>
  </si>
  <si>
    <t>롯데온: 샤워기필터(L포인트 16810 사용)</t>
  </si>
  <si>
    <t>베나자 공항 픽업 현지지불 $20</t>
  </si>
  <si>
    <t>베나자 보트투어 현지지불 2인 $80</t>
  </si>
  <si>
    <t>롯데마트(L포인트 20910 사용)</t>
  </si>
  <si>
    <t>카오디오디씨 : 후방센서 교체 - 사고 가해자 청구 / 입금완료</t>
  </si>
  <si>
    <t>르노삼성도봉 : 뒷범퍼교체 - 사고 가해자 청구 / 입금완료</t>
  </si>
  <si>
    <t>입금</t>
  </si>
  <si>
    <t>기프티스타</t>
  </si>
  <si>
    <t>기프티콘 판매</t>
  </si>
  <si>
    <t>1월 급여</t>
  </si>
  <si>
    <t>1월 정근수당, 명절 수당 포함</t>
  </si>
  <si>
    <t>적금 이자</t>
  </si>
  <si>
    <t>적금 만기 이자</t>
  </si>
  <si>
    <t>1월 식대</t>
  </si>
  <si>
    <t>국제과학영재학회</t>
  </si>
  <si>
    <t>문제출제 수당</t>
  </si>
  <si>
    <t>브랜디 처조부상 조의금</t>
  </si>
  <si>
    <t>세뱃돈</t>
  </si>
  <si>
    <t>월드와이드메모리</t>
  </si>
  <si>
    <t>i7-6770K,i5-3570,DDR3 메모리 판매</t>
  </si>
  <si>
    <t>파인테크캐시백</t>
  </si>
  <si>
    <t>예금 이자</t>
  </si>
  <si>
    <t>2월 급여</t>
  </si>
  <si>
    <t>연말정산 환급금 1/2 포함</t>
  </si>
  <si>
    <t>서울교대 영재원</t>
  </si>
  <si>
    <t>영재원 멘토링</t>
  </si>
  <si>
    <t>2월 식대</t>
  </si>
  <si>
    <t>현대카드</t>
  </si>
  <si>
    <t>연회비 캐시백</t>
  </si>
  <si>
    <t>연말정산 환급금(822,646원) 포함</t>
  </si>
  <si>
    <t>신한카드</t>
  </si>
  <si>
    <t>포인트 환급</t>
  </si>
  <si>
    <t>KB</t>
  </si>
  <si>
    <t>포인트리 환급</t>
  </si>
  <si>
    <t>마이샵 캐시백</t>
  </si>
  <si>
    <t>카카오 선물 환불</t>
  </si>
  <si>
    <t>파인테크 캐시백</t>
  </si>
  <si>
    <t>3월 식대</t>
  </si>
  <si>
    <t>개인카드 결제건</t>
  </si>
  <si>
    <t>3월 급여</t>
  </si>
  <si>
    <t>하나카드 결제건</t>
  </si>
  <si>
    <t>신한카드 캐시백</t>
  </si>
  <si>
    <t>성과상여금</t>
  </si>
  <si>
    <t>탐구과제 지도비</t>
  </si>
  <si>
    <t>맞춤형복지</t>
  </si>
  <si>
    <t>복지포인트 환급</t>
  </si>
  <si>
    <t>4월 급여</t>
  </si>
  <si>
    <t>과학교육총연합회</t>
  </si>
  <si>
    <t>회의참석비</t>
  </si>
  <si>
    <t>5월 급여</t>
  </si>
  <si>
    <t>구글</t>
  </si>
  <si>
    <t>애드센스 정산</t>
  </si>
  <si>
    <t>한국교육개발원</t>
  </si>
  <si>
    <t>KDI 영재선발 문항 검토</t>
  </si>
  <si>
    <t>6월 급여</t>
  </si>
  <si>
    <t>코웨이 아이콘 정수기, 상담 지원</t>
  </si>
  <si>
    <t>과학창의력대회 출제비</t>
  </si>
  <si>
    <t>캐시백</t>
  </si>
  <si>
    <t>7월 시간외수당</t>
  </si>
  <si>
    <t>7월분 선입금</t>
  </si>
  <si>
    <t>국고환급</t>
  </si>
  <si>
    <t>7월 급여</t>
  </si>
  <si>
    <t>창의력대회 보고서 채점</t>
  </si>
  <si>
    <t>KB체크카드 할인</t>
  </si>
  <si>
    <t>지방세 캐시백</t>
  </si>
  <si>
    <t>창의력대회 면접 심사</t>
  </si>
  <si>
    <t>KB 국민카드 이벤트</t>
  </si>
  <si>
    <t>결산이자</t>
  </si>
  <si>
    <t>8월 급여</t>
  </si>
  <si>
    <t>종이접기 강사비</t>
  </si>
  <si>
    <t>추석 상여금</t>
  </si>
  <si>
    <t>9월 급여</t>
  </si>
  <si>
    <t>을지초</t>
  </si>
  <si>
    <t>출장비</t>
  </si>
  <si>
    <t>10월 급여</t>
  </si>
  <si>
    <t>브랜디 외조모상 경조금</t>
  </si>
  <si>
    <t>교통사고 형사합의금</t>
  </si>
  <si>
    <t>현대해상</t>
  </si>
  <si>
    <t>교통사고 합의금</t>
  </si>
  <si>
    <t>영재원 선발시험 감독 및 채점</t>
  </si>
  <si>
    <t>11월 급여</t>
  </si>
  <si>
    <t>포인트리</t>
  </si>
  <si>
    <t>DB 자동차보험 주행거리 환급</t>
  </si>
  <si>
    <t>글로벌과학포럼 발표</t>
  </si>
  <si>
    <t>12월 급여</t>
  </si>
  <si>
    <t>브랜디 처외조부상 경조금</t>
  </si>
  <si>
    <t>서울시교육연수원</t>
  </si>
  <si>
    <t>온라인연수 검토</t>
  </si>
  <si>
    <t>지출 계</t>
  </si>
  <si>
    <t>53 총계</t>
  </si>
  <si>
    <t>52 총계</t>
  </si>
  <si>
    <t>51 총계</t>
  </si>
  <si>
    <t>50 총계</t>
  </si>
  <si>
    <t>49 총계</t>
  </si>
  <si>
    <t>48 총계</t>
  </si>
  <si>
    <t>47 총계</t>
  </si>
  <si>
    <t>46 총계</t>
  </si>
  <si>
    <t>45 총계</t>
  </si>
  <si>
    <t>44 총계</t>
  </si>
  <si>
    <t>43 총계</t>
  </si>
  <si>
    <t>42 총계</t>
  </si>
  <si>
    <t>41 총계</t>
  </si>
  <si>
    <t>40 총계</t>
  </si>
  <si>
    <t>39 총계</t>
  </si>
  <si>
    <t>38 총계</t>
  </si>
  <si>
    <t>37 총계</t>
  </si>
  <si>
    <t>36 총계</t>
  </si>
  <si>
    <t>35 총계</t>
  </si>
  <si>
    <t>34 총계</t>
  </si>
  <si>
    <t>33 총계</t>
  </si>
  <si>
    <t>32 총계</t>
  </si>
  <si>
    <t>31 총계</t>
  </si>
  <si>
    <t>30 총계</t>
  </si>
  <si>
    <t>29 총계</t>
  </si>
  <si>
    <t>28 총계</t>
  </si>
  <si>
    <t>27 총계</t>
  </si>
  <si>
    <t>26 총계</t>
  </si>
  <si>
    <t>25 총계</t>
  </si>
  <si>
    <t>24 총계</t>
  </si>
  <si>
    <t>23 총계</t>
  </si>
  <si>
    <t>22 총계</t>
  </si>
  <si>
    <t>21 총계</t>
  </si>
  <si>
    <t>20 총계</t>
  </si>
  <si>
    <t>19 총계</t>
  </si>
  <si>
    <t>18 총계</t>
  </si>
  <si>
    <t>17 총계</t>
  </si>
  <si>
    <t>16 총계</t>
  </si>
  <si>
    <t>15 총계</t>
  </si>
  <si>
    <t>14 총계</t>
  </si>
  <si>
    <t>13 총계</t>
  </si>
  <si>
    <t>12 총계</t>
  </si>
  <si>
    <t>11 총계</t>
  </si>
  <si>
    <t>10 총계</t>
  </si>
  <si>
    <t>9 총계</t>
  </si>
  <si>
    <t>8 총계</t>
  </si>
  <si>
    <t>7 총계</t>
  </si>
  <si>
    <t>6 총계</t>
  </si>
  <si>
    <t>5 총계</t>
  </si>
  <si>
    <t>4 총계</t>
  </si>
  <si>
    <t>3 총계</t>
  </si>
  <si>
    <t>2 총계</t>
  </si>
  <si>
    <t>1 총계</t>
  </si>
  <si>
    <t xml:space="preserve"> 총계</t>
  </si>
  <si>
    <t>총계</t>
  </si>
  <si>
    <t>고정비 총계</t>
  </si>
  <si>
    <t>대출상환 총계</t>
  </si>
  <si>
    <t>변동비 총계</t>
  </si>
  <si>
    <t>여행공연비 총계</t>
  </si>
  <si>
    <t>주차</t>
  </si>
  <si>
    <t>기준금액</t>
  </si>
  <si>
    <t>차액</t>
  </si>
  <si>
    <t>누적사용금액</t>
  </si>
  <si>
    <t>누적기준금액</t>
  </si>
  <si>
    <t>누적차액</t>
  </si>
  <si>
    <t>총 주수</t>
  </si>
  <si>
    <t>합계 : 누적차액</t>
  </si>
  <si>
    <t>합계 : 누적사용금액</t>
  </si>
  <si>
    <t>합계 : 누적기준금액</t>
  </si>
  <si>
    <t>누적 차액</t>
  </si>
  <si>
    <t>[최초 대출내역]</t>
  </si>
  <si>
    <t>[현재 대출내역]</t>
  </si>
  <si>
    <t>상환률</t>
  </si>
  <si>
    <t>연평균 상환원금</t>
  </si>
  <si>
    <t>대출액</t>
  </si>
  <si>
    <t>총 상환원금</t>
  </si>
  <si>
    <t>이율(%)</t>
  </si>
  <si>
    <t>총 지급이자</t>
  </si>
  <si>
    <t>상환기간(년)</t>
  </si>
  <si>
    <t>30년간 대출이자 감소</t>
  </si>
  <si>
    <t>총 대출이자</t>
  </si>
  <si>
    <t>월 상환액 감소</t>
  </si>
  <si>
    <t>월평균상환액</t>
  </si>
  <si>
    <t>월 상환액</t>
  </si>
  <si>
    <t>회차</t>
  </si>
  <si>
    <t>년월</t>
  </si>
  <si>
    <t>원금</t>
  </si>
  <si>
    <t>이자</t>
  </si>
  <si>
    <t>월불입금</t>
  </si>
  <si>
    <t>7/20 중도상환 160만원(수수료 11,509원), 7/27 중도상환 50만원(수수료 3,558+910원)</t>
  </si>
  <si>
    <t>8/24 중도상환 240만원(수수료 16344+3775원) / 8/25 중도상환 150만원 (수수료 10198+2483원)</t>
  </si>
  <si>
    <t>9/2 50만원+200만원, 9/17 200만원, 9/26 100만원</t>
  </si>
  <si>
    <t>10/26 2,250,000원 / 10/27 600,000원</t>
  </si>
  <si>
    <t>11/5 200,000원</t>
  </si>
  <si>
    <t>12/4 16,000,000원 + 100,000원</t>
  </si>
  <si>
    <t>1/1 1,354,839원, 1/18 1,500,000원</t>
  </si>
  <si>
    <t>2/14 1,600,000원, 2/17 1,000,000원</t>
  </si>
  <si>
    <t>3/5 1,150,000원, 3/8 1,000,000원, 3/15 2,000,000원, 3/18 2,000,000원, 3/31 4,000,000원</t>
  </si>
  <si>
    <t>4/8 2,000,000원, 4/19 2,000,000원, 4/20 2,000,000원, 4/30 1,654,504원</t>
  </si>
  <si>
    <t>5/21 1,110,000원</t>
  </si>
  <si>
    <t>6/13 1,700,000원 6/17 3,000,000원</t>
  </si>
  <si>
    <t>7/1 1,250,000원, 7/30 1,600,000원</t>
  </si>
  <si>
    <t>8/5 550,000원, 8/23 1,500,000원</t>
  </si>
  <si>
    <t>9/18 2,220,000원</t>
  </si>
  <si>
    <t>10/3 1,700,000원, 10/29 2,500,000원</t>
  </si>
  <si>
    <t>11/15 1,000,000원, 11/18 2,000,000원</t>
  </si>
  <si>
    <t>12/1 2,000,000원, 12/6 2,350,000원 12/10 1,000,000원, 12/17 2,500,000원</t>
  </si>
  <si>
    <t>1/1 2,000,000원, 1/27 3,700,000원, 1/28 1,800,000원</t>
  </si>
  <si>
    <t>2/23 1,100,000원, 2/28 2,200,000원</t>
  </si>
  <si>
    <t>3/30 1,100,000원, 3/31 6,200,000원</t>
  </si>
  <si>
    <t>4/5 200,000원, 4/15 2,500,000원</t>
  </si>
  <si>
    <t>5/1 2,350,000원, 5/6 1,000,000원, 5/12 1,200,000원, 5/21 1,000,000원</t>
  </si>
  <si>
    <t>6/3 2,800,000원. 6/11 900,000원, 6/20 3,000,000원</t>
  </si>
  <si>
    <t>7/2 2,400,000원, 7/22 1,007,589원, 7/31 1,000,000원</t>
  </si>
  <si>
    <t>8/2 1,000,000원, 8/22 1,750,014원</t>
  </si>
  <si>
    <t>9/5 452,926원</t>
  </si>
  <si>
    <t>10/5 1,480,000원</t>
  </si>
  <si>
    <t>상환기간(개월)</t>
  </si>
  <si>
    <t>변환회차</t>
  </si>
  <si>
    <t>1. 지출분류</t>
  </si>
  <si>
    <t>no.</t>
  </si>
  <si>
    <t>여행/공연비 구분</t>
  </si>
  <si>
    <t>저축/대출상환</t>
  </si>
  <si>
    <t>신용대출 원금</t>
  </si>
  <si>
    <t>신용대출 이자</t>
  </si>
  <si>
    <t>5년간 상환원금</t>
  </si>
  <si>
    <t>5년간 상환이자</t>
  </si>
  <si>
    <t>5년후 잔여원금</t>
  </si>
  <si>
    <t>월상환액</t>
  </si>
  <si>
    <t>주담대 MAX</t>
  </si>
  <si>
    <t>주택매매가(수락리버 107㎥)</t>
  </si>
  <si>
    <t>총상환액 - 매매가</t>
  </si>
  <si>
    <t>15년기준 월비용</t>
  </si>
  <si>
    <t>주택시세(LTV대상금액)</t>
  </si>
  <si>
    <t>주택가격 유지시</t>
  </si>
  <si>
    <t>취득세 (주택매매가 약 1.3%)</t>
  </si>
  <si>
    <t>주택가격 3천만원 상승기준</t>
  </si>
  <si>
    <t>중개수수료 (거래가 0.4%)</t>
  </si>
  <si>
    <t>주택가격 5천만원 상승기준</t>
  </si>
  <si>
    <t>추가비용 (이사, 가구 등)</t>
  </si>
  <si>
    <t>주택가격 3천만원 하락기준</t>
  </si>
  <si>
    <t>중개수수료 (거래가 0.3%, 전세)</t>
  </si>
  <si>
    <t>소계</t>
  </si>
  <si>
    <t>계</t>
  </si>
  <si>
    <t>대출금액</t>
  </si>
  <si>
    <t>인테리어</t>
  </si>
  <si>
    <t>페인트시공 전체</t>
  </si>
  <si>
    <t>비투기지역(서울 외)</t>
  </si>
  <si>
    <t>욕실인테리어 1개</t>
  </si>
  <si>
    <t>LTV70</t>
  </si>
  <si>
    <t>중문시공</t>
  </si>
  <si>
    <r>
      <rPr>
        <rFont val="Malgun Gothic"/>
        <color theme="1"/>
        <sz val="9.0"/>
      </rPr>
      <t>총 대출이자</t>
    </r>
    <r>
      <rPr>
        <rFont val="맑은 고딕"/>
        <color rgb="FF7F7F7F"/>
        <sz val="8.0"/>
      </rPr>
      <t xml:space="preserve"> (3.5% 기준)</t>
    </r>
  </si>
  <si>
    <t>조명설비</t>
  </si>
  <si>
    <r>
      <rPr>
        <rFont val="Malgun Gothic"/>
        <color theme="1"/>
        <sz val="9.0"/>
      </rPr>
      <t>월상환액</t>
    </r>
    <r>
      <rPr>
        <rFont val="맑은 고딕"/>
        <color rgb="FF7F7F7F"/>
        <sz val="8.0"/>
      </rPr>
      <t xml:space="preserve"> (15년 상환)</t>
    </r>
  </si>
  <si>
    <t>가전</t>
  </si>
  <si>
    <t>신용대출-교원공제회, 연금공단</t>
  </si>
  <si>
    <t>에어컨 2 in 1</t>
  </si>
  <si>
    <r>
      <rPr>
        <rFont val="Malgun Gothic"/>
        <color theme="1"/>
        <sz val="9.0"/>
      </rPr>
      <t xml:space="preserve">총 대출이자 </t>
    </r>
    <r>
      <rPr>
        <rFont val="맑은 고딕"/>
        <color rgb="FF7F7F7F"/>
        <sz val="8.0"/>
      </rPr>
      <t>(4%기준)</t>
    </r>
  </si>
  <si>
    <t>세탁기 + 건조기 (삼성 14kg + 9kg)</t>
  </si>
  <si>
    <r>
      <rPr>
        <rFont val="Malgun Gothic"/>
        <color theme="1"/>
        <sz val="9.0"/>
      </rPr>
      <t xml:space="preserve">월상환액 </t>
    </r>
    <r>
      <rPr>
        <rFont val="맑은 고딕"/>
        <color rgb="FF7F7F7F"/>
        <sz val="8.0"/>
      </rPr>
      <t>(10년 상환)</t>
    </r>
  </si>
  <si>
    <t>냉장고 (삼성 811L 3door)</t>
  </si>
  <si>
    <t>김치냉장고 (클라쎄 100L)</t>
  </si>
  <si>
    <t>전세자금대출</t>
  </si>
  <si>
    <t>전기밥솥</t>
  </si>
  <si>
    <r>
      <rPr>
        <rFont val="Malgun Gothic"/>
        <color theme="1"/>
        <sz val="9.0"/>
      </rPr>
      <t xml:space="preserve">총 대출이자 </t>
    </r>
    <r>
      <rPr>
        <rFont val="맑은 고딕"/>
        <color rgb="FF7F7F7F"/>
        <sz val="8.0"/>
      </rPr>
      <t>(6.3%기준)</t>
    </r>
  </si>
  <si>
    <r>
      <rPr>
        <rFont val="Malgun Gothic"/>
        <color theme="1"/>
        <sz val="9.0"/>
      </rPr>
      <t xml:space="preserve">월상환액 </t>
    </r>
    <r>
      <rPr>
        <rFont val="맑은 고딕"/>
        <color rgb="FF7F7F7F"/>
        <sz val="8.0"/>
      </rPr>
      <t>(8년 상환)</t>
    </r>
  </si>
  <si>
    <t>가구</t>
  </si>
  <si>
    <t>기타 대출</t>
  </si>
  <si>
    <t>침대 + 협탁</t>
  </si>
  <si>
    <t>드레스룸</t>
  </si>
  <si>
    <t>월상환액 계</t>
  </si>
  <si>
    <t>책상+책장</t>
  </si>
  <si>
    <r>
      <rPr>
        <rFont val="Malgun Gothic"/>
        <color theme="1"/>
        <sz val="9.0"/>
      </rPr>
      <t xml:space="preserve">DTI </t>
    </r>
    <r>
      <rPr>
        <rFont val="맑은 고딕"/>
        <color rgb="FF7F7F7F"/>
        <sz val="8.0"/>
      </rPr>
      <t>(연간원리금/연간세전수입(9천)</t>
    </r>
  </si>
  <si>
    <t>소파+테이블</t>
  </si>
  <si>
    <t>총 상환액 계</t>
  </si>
  <si>
    <r>
      <rPr>
        <rFont val="Malgun Gothic"/>
        <color theme="1"/>
        <sz val="9.0"/>
      </rPr>
      <t xml:space="preserve">총 소요금액 </t>
    </r>
    <r>
      <rPr>
        <rFont val="맑은 고딕"/>
        <color rgb="FF7F7F7F"/>
        <sz val="8.0"/>
      </rPr>
      <t>(현재자산+대출 등)</t>
    </r>
  </si>
  <si>
    <t>이사</t>
  </si>
  <si>
    <t>비교</t>
  </si>
  <si>
    <t>이사짐센터</t>
  </si>
  <si>
    <t>입주청소</t>
  </si>
  <si>
    <t>전세 만기전 입주 케이스</t>
  </si>
  <si>
    <t>3,4단지</t>
  </si>
  <si>
    <t>1,2단지</t>
  </si>
  <si>
    <t>주담대 MIN</t>
  </si>
  <si>
    <t>전세 3.5억</t>
  </si>
  <si>
    <t>주택매매가(수락리버 111㎥)</t>
  </si>
  <si>
    <t>주택전세가(수락리버 111㎥)</t>
  </si>
  <si>
    <t>투기지역(서울)</t>
  </si>
  <si>
    <t>LTV40</t>
  </si>
  <si>
    <t>전세자금대출 한도 80%</t>
  </si>
  <si>
    <r>
      <rPr>
        <rFont val="Malgun Gothic"/>
        <color theme="1"/>
        <sz val="9.0"/>
      </rPr>
      <t>총 대출이자</t>
    </r>
    <r>
      <rPr>
        <rFont val="맑은 고딕"/>
        <color rgb="FF7F7F7F"/>
        <sz val="8.0"/>
      </rPr>
      <t xml:space="preserve"> (4% 기준, 5년후 5% 기준)</t>
    </r>
  </si>
  <si>
    <r>
      <rPr>
        <rFont val="Malgun Gothic"/>
        <color theme="1"/>
        <sz val="9.0"/>
      </rPr>
      <t>총 대출이자</t>
    </r>
    <r>
      <rPr>
        <rFont val="맑은 고딕"/>
        <color rgb="FF7F7F7F"/>
        <sz val="8.0"/>
      </rPr>
      <t xml:space="preserve"> (3.5% 기준)</t>
    </r>
  </si>
  <si>
    <r>
      <rPr>
        <rFont val="Malgun Gothic"/>
        <color theme="1"/>
        <sz val="9.0"/>
      </rPr>
      <t xml:space="preserve">총 대출이자 </t>
    </r>
    <r>
      <rPr>
        <rFont val="맑은 고딕"/>
        <color rgb="FF7F7F7F"/>
        <sz val="8.0"/>
      </rPr>
      <t>(4%기준)</t>
    </r>
  </si>
  <si>
    <r>
      <rPr>
        <rFont val="Malgun Gothic"/>
        <color theme="1"/>
        <sz val="9.0"/>
      </rPr>
      <t>총 대출이자</t>
    </r>
    <r>
      <rPr>
        <rFont val="맑은 고딕"/>
        <color rgb="FF7F7F7F"/>
        <sz val="8.0"/>
      </rPr>
      <t xml:space="preserve"> (4% 기준, 5년후 5% 기준)</t>
    </r>
  </si>
  <si>
    <r>
      <rPr>
        <rFont val="Malgun Gothic"/>
        <color theme="1"/>
        <sz val="9.0"/>
      </rPr>
      <t>월상환액</t>
    </r>
    <r>
      <rPr>
        <rFont val="맑은 고딕"/>
        <color rgb="FF7F7F7F"/>
        <sz val="8.0"/>
      </rPr>
      <t xml:space="preserve"> (15년 상환)</t>
    </r>
  </si>
  <si>
    <r>
      <rPr>
        <rFont val="Malgun Gothic"/>
        <color theme="1"/>
        <sz val="9.0"/>
      </rPr>
      <t>월상환액</t>
    </r>
    <r>
      <rPr>
        <rFont val="맑은 고딕"/>
        <color rgb="FF7F7F7F"/>
        <sz val="8.0"/>
      </rPr>
      <t xml:space="preserve"> (15년 상환)</t>
    </r>
  </si>
  <si>
    <r>
      <rPr>
        <rFont val="Malgun Gothic"/>
        <color theme="1"/>
        <sz val="9.0"/>
      </rPr>
      <t xml:space="preserve">월상환액 </t>
    </r>
    <r>
      <rPr>
        <rFont val="맑은 고딕"/>
        <color rgb="FF7F7F7F"/>
        <sz val="8.0"/>
      </rPr>
      <t>(15년 상환)</t>
    </r>
  </si>
  <si>
    <r>
      <rPr>
        <rFont val="Malgun Gothic"/>
        <color theme="1"/>
        <sz val="9.0"/>
      </rPr>
      <t>월상환액</t>
    </r>
    <r>
      <rPr>
        <rFont val="맑은 고딕"/>
        <color rgb="FF7F7F7F"/>
        <sz val="8.0"/>
      </rPr>
      <t xml:space="preserve"> (15년 상환)</t>
    </r>
  </si>
  <si>
    <r>
      <rPr>
        <rFont val="Malgun Gothic"/>
        <color theme="1"/>
        <sz val="9.0"/>
      </rPr>
      <t xml:space="preserve">총 대출이자 </t>
    </r>
    <r>
      <rPr>
        <rFont val="맑은 고딕"/>
        <color rgb="FF7F7F7F"/>
        <sz val="8.0"/>
      </rPr>
      <t>(3.7%기준)</t>
    </r>
  </si>
  <si>
    <r>
      <rPr>
        <rFont val="Malgun Gothic"/>
        <color theme="1"/>
        <sz val="9.0"/>
      </rPr>
      <t xml:space="preserve">총 대출이자 </t>
    </r>
    <r>
      <rPr>
        <rFont val="맑은 고딕"/>
        <color rgb="FF7F7F7F"/>
        <sz val="8.0"/>
      </rPr>
      <t>(4%기준)</t>
    </r>
  </si>
  <si>
    <r>
      <rPr>
        <rFont val="Malgun Gothic"/>
        <color theme="1"/>
        <sz val="9.0"/>
      </rPr>
      <t xml:space="preserve">총 대출이자 </t>
    </r>
    <r>
      <rPr>
        <rFont val="맑은 고딕"/>
        <color rgb="FF7F7F7F"/>
        <sz val="8.0"/>
      </rPr>
      <t>(3.7%기준)</t>
    </r>
  </si>
  <si>
    <r>
      <rPr>
        <rFont val="Malgun Gothic"/>
        <color theme="1"/>
        <sz val="9.0"/>
      </rPr>
      <t xml:space="preserve">월상환액 </t>
    </r>
    <r>
      <rPr>
        <rFont val="맑은 고딕"/>
        <color rgb="FF7F7F7F"/>
        <sz val="8.0"/>
      </rPr>
      <t>(10년 상환)</t>
    </r>
  </si>
  <si>
    <r>
      <rPr>
        <rFont val="Malgun Gothic"/>
        <color theme="1"/>
        <sz val="9.0"/>
      </rPr>
      <t xml:space="preserve">월상환액 </t>
    </r>
    <r>
      <rPr>
        <rFont val="맑은 고딕"/>
        <color rgb="FF7F7F7F"/>
        <sz val="8.0"/>
      </rPr>
      <t>(10년 상환)</t>
    </r>
  </si>
  <si>
    <r>
      <rPr>
        <rFont val="Malgun Gothic"/>
        <color theme="1"/>
        <sz val="9.0"/>
      </rPr>
      <t xml:space="preserve">월상환액 </t>
    </r>
    <r>
      <rPr>
        <rFont val="맑은 고딕"/>
        <color rgb="FF7F7F7F"/>
        <sz val="8.0"/>
      </rPr>
      <t>(10년 상환)</t>
    </r>
  </si>
  <si>
    <t>추가 신용대출</t>
  </si>
  <si>
    <r>
      <rPr>
        <rFont val="Malgun Gothic"/>
        <color theme="1"/>
        <sz val="9.0"/>
      </rPr>
      <t xml:space="preserve">총 대출이자 </t>
    </r>
    <r>
      <rPr>
        <rFont val="맑은 고딕"/>
        <color rgb="FF7F7F7F"/>
        <sz val="8.0"/>
      </rPr>
      <t>(4%기준)</t>
    </r>
  </si>
  <si>
    <r>
      <rPr>
        <rFont val="Malgun Gothic"/>
        <color theme="1"/>
        <sz val="9.0"/>
      </rPr>
      <t xml:space="preserve">총 대출이자 </t>
    </r>
    <r>
      <rPr>
        <rFont val="맑은 고딕"/>
        <color rgb="FF7F7F7F"/>
        <sz val="8.0"/>
      </rPr>
      <t>(6.3%기준)</t>
    </r>
  </si>
  <si>
    <r>
      <rPr>
        <rFont val="Malgun Gothic"/>
        <color theme="1"/>
        <sz val="9.0"/>
      </rPr>
      <t xml:space="preserve">총 대출이자 </t>
    </r>
    <r>
      <rPr>
        <rFont val="맑은 고딕"/>
        <color rgb="FF7F7F7F"/>
        <sz val="8.0"/>
      </rPr>
      <t>(4%기준)</t>
    </r>
  </si>
  <si>
    <r>
      <rPr>
        <rFont val="Malgun Gothic"/>
        <color theme="1"/>
        <sz val="9.0"/>
      </rPr>
      <t xml:space="preserve">월상환액 </t>
    </r>
    <r>
      <rPr>
        <rFont val="맑은 고딕"/>
        <color rgb="FF7F7F7F"/>
        <sz val="8.0"/>
      </rPr>
      <t>(10년 상환)</t>
    </r>
  </si>
  <si>
    <r>
      <rPr>
        <rFont val="Malgun Gothic"/>
        <color theme="1"/>
        <sz val="9.0"/>
      </rPr>
      <t xml:space="preserve">월상환액 </t>
    </r>
    <r>
      <rPr>
        <rFont val="맑은 고딕"/>
        <color rgb="FF7F7F7F"/>
        <sz val="8.0"/>
      </rPr>
      <t>(8년 상환)</t>
    </r>
  </si>
  <si>
    <r>
      <rPr>
        <rFont val="Malgun Gothic"/>
        <color theme="1"/>
        <sz val="9.0"/>
      </rPr>
      <t xml:space="preserve">월상환액 </t>
    </r>
    <r>
      <rPr>
        <rFont val="맑은 고딕"/>
        <color rgb="FF7F7F7F"/>
        <sz val="8.0"/>
      </rPr>
      <t>(10년 상환)</t>
    </r>
  </si>
  <si>
    <r>
      <rPr>
        <rFont val="Malgun Gothic"/>
        <color theme="1"/>
        <sz val="9.0"/>
      </rPr>
      <t xml:space="preserve">DTI </t>
    </r>
    <r>
      <rPr>
        <rFont val="맑은 고딕"/>
        <color rgb="FF7F7F7F"/>
        <sz val="8.0"/>
      </rPr>
      <t>(연간원리금/연간세전수입(9천)</t>
    </r>
  </si>
  <si>
    <r>
      <rPr>
        <rFont val="Malgun Gothic"/>
        <color theme="1"/>
        <sz val="9.0"/>
      </rPr>
      <t xml:space="preserve">DTI </t>
    </r>
    <r>
      <rPr>
        <rFont val="맑은 고딕"/>
        <color rgb="FF7F7F7F"/>
        <sz val="8.0"/>
      </rPr>
      <t>(연간원리금/연간세전수입(9천)</t>
    </r>
  </si>
  <si>
    <r>
      <rPr>
        <rFont val="Malgun Gothic"/>
        <color theme="1"/>
        <sz val="9.0"/>
      </rPr>
      <t xml:space="preserve">DTI </t>
    </r>
    <r>
      <rPr>
        <rFont val="맑은 고딕"/>
        <color rgb="FF7F7F7F"/>
        <sz val="8.0"/>
      </rPr>
      <t>(연간원리금/연간세전수입(9천)</t>
    </r>
  </si>
  <si>
    <r>
      <rPr>
        <rFont val="Malgun Gothic"/>
        <color theme="1"/>
        <sz val="9.0"/>
      </rPr>
      <t xml:space="preserve">DTI </t>
    </r>
    <r>
      <rPr>
        <rFont val="맑은 고딕"/>
        <color rgb="FF7F7F7F"/>
        <sz val="8.0"/>
      </rPr>
      <t>(연간원리금/연간세전수입(9천)</t>
    </r>
  </si>
  <si>
    <r>
      <rPr>
        <rFont val="Malgun Gothic"/>
        <color theme="1"/>
        <sz val="9.0"/>
      </rPr>
      <t xml:space="preserve">총 소요금액 </t>
    </r>
    <r>
      <rPr>
        <rFont val="맑은 고딕"/>
        <color rgb="FF7F7F7F"/>
        <sz val="8.0"/>
      </rPr>
      <t>(현재자산+대출 등)</t>
    </r>
  </si>
  <si>
    <r>
      <rPr>
        <rFont val="Malgun Gothic"/>
        <color theme="1"/>
        <sz val="9.0"/>
      </rPr>
      <t xml:space="preserve">총 소요금액 </t>
    </r>
    <r>
      <rPr>
        <rFont val="맑은 고딕"/>
        <color rgb="FF7F7F7F"/>
        <sz val="8.0"/>
      </rPr>
      <t>(현재자산+대출 등)</t>
    </r>
  </si>
  <si>
    <r>
      <rPr>
        <rFont val="Malgun Gothic"/>
        <color theme="1"/>
        <sz val="9.0"/>
      </rPr>
      <t xml:space="preserve">총 소요금액 </t>
    </r>
    <r>
      <rPr>
        <rFont val="맑은 고딕"/>
        <color rgb="FF7F7F7F"/>
        <sz val="8.0"/>
      </rPr>
      <t>(현재자산+대출 등)</t>
    </r>
  </si>
  <si>
    <r>
      <rPr>
        <rFont val="Malgun Gothic"/>
        <color theme="1"/>
        <sz val="9.0"/>
      </rPr>
      <t xml:space="preserve">총 소요금액 </t>
    </r>
    <r>
      <rPr>
        <rFont val="맑은 고딕"/>
        <color rgb="FF7F7F7F"/>
        <sz val="8.0"/>
      </rPr>
      <t>(현재자산+대출 등)</t>
    </r>
  </si>
  <si>
    <t>주택가격 유지시 추가 비용</t>
  </si>
  <si>
    <t>총 비용</t>
  </si>
  <si>
    <t>15년 기준 월비용</t>
  </si>
  <si>
    <t>주택가격 3천만원 상승기준 추가비용</t>
  </si>
  <si>
    <t>주택가격 5천만원 상승기준 추가비용</t>
  </si>
  <si>
    <t>주택가격 3천만원 하락기준 추가비용</t>
  </si>
  <si>
    <t>등록일</t>
  </si>
  <si>
    <t>단지</t>
  </si>
  <si>
    <t>동</t>
  </si>
  <si>
    <t>층</t>
  </si>
  <si>
    <t>층분류</t>
  </si>
  <si>
    <t>가격</t>
  </si>
  <si>
    <t>매물</t>
  </si>
  <si>
    <t>최대</t>
  </si>
  <si>
    <t>최소</t>
  </si>
  <si>
    <t>평균</t>
  </si>
  <si>
    <t>고</t>
  </si>
  <si>
    <t>최근거래</t>
  </si>
  <si>
    <t>중</t>
  </si>
  <si>
    <t>저</t>
  </si>
  <si>
    <t>2017-05</t>
  </si>
  <si>
    <t>2019-03</t>
  </si>
  <si>
    <t>증감율</t>
  </si>
  <si>
    <t>수락</t>
  </si>
  <si>
    <t>1단지</t>
  </si>
  <si>
    <t>2단지</t>
  </si>
  <si>
    <t>4단지</t>
  </si>
  <si>
    <t>도봉</t>
  </si>
  <si>
    <t>한신</t>
  </si>
  <si>
    <t>도봉래미안</t>
  </si>
  <si>
    <t>도봉파크빌</t>
  </si>
  <si>
    <t>방학</t>
  </si>
  <si>
    <t>방학래미안</t>
  </si>
  <si>
    <t>노원</t>
  </si>
  <si>
    <t>노원 동양</t>
  </si>
  <si>
    <t>녹천</t>
  </si>
  <si>
    <t>녹천 두산위브</t>
  </si>
  <si>
    <t>월계</t>
  </si>
  <si>
    <t>롯데루나</t>
  </si>
  <si>
    <t>중랑</t>
  </si>
  <si>
    <t>망우 금호어울림</t>
  </si>
  <si>
    <t>중랑숲리가</t>
  </si>
  <si>
    <t>중랑 청광</t>
  </si>
  <si>
    <t>성수</t>
  </si>
  <si>
    <t>성수두산위브</t>
  </si>
  <si>
    <t>강변아이파크</t>
  </si>
  <si>
    <t>청담</t>
  </si>
  <si>
    <t>미켈라147</t>
  </si>
  <si>
    <t>청담아이파크</t>
  </si>
  <si>
    <t>청담자이</t>
  </si>
  <si>
    <t>잠실</t>
  </si>
  <si>
    <t>잠실 파크리오</t>
  </si>
  <si>
    <t>화곡</t>
  </si>
  <si>
    <t>신정뉴타운두산위브</t>
  </si>
  <si>
    <t>구로</t>
  </si>
  <si>
    <t>동부 2차</t>
  </si>
  <si>
    <t>광명</t>
  </si>
  <si>
    <t>두산위브</t>
  </si>
  <si>
    <t>부천</t>
  </si>
  <si>
    <t>중동대림</t>
  </si>
  <si>
    <t>래미안부천중동</t>
  </si>
  <si>
    <t>코아루</t>
  </si>
  <si>
    <t>수락산벨리체</t>
  </si>
  <si>
    <t>마들</t>
  </si>
  <si>
    <t>상계주공16 105</t>
  </si>
  <si>
    <t>대림</t>
  </si>
  <si>
    <t>중계</t>
  </si>
  <si>
    <t>건영3차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</si>
</sst>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-* #,##0_-;\-* #,##0_-;_-* &quot;-&quot;_-;_-@"/>
    <numFmt numFmtId="165" formatCode="0.0%"/>
    <numFmt numFmtId="166" formatCode="_-* #,##0.00_-;\-* #,##0.00_-;_-* &quot;-&quot;??_-;_-@"/>
    <numFmt numFmtId="167" formatCode="yyyy-mm-dd"/>
    <numFmt numFmtId="168" formatCode="yyyy/mm"/>
    <numFmt numFmtId="169" formatCode="aaa"/>
    <numFmt numFmtId="170" formatCode="mm&quot;월&quot;\ dd&quot;일&quot;"/>
    <numFmt numFmtId="171" formatCode="#,##0_ "/>
    <numFmt numFmtId="172" formatCode="[DBNum4][$-412]General"/>
    <numFmt numFmtId="173" formatCode="_-* #,##0_-&quot;개&quot;&quot;월&quot;;\-* #,##0_-;_-* &quot;-&quot;_-;_-@"/>
    <numFmt numFmtId="174" formatCode="&quot;₩&quot;#,##0;[Red]\-&quot;₩&quot;#,##0"/>
    <numFmt numFmtId="175" formatCode="0_);[Red]\(0\)"/>
    <numFmt numFmtId="176" formatCode="_-* #,##0.0_-;\-* #,##0.0_-;_-* &quot;-&quot;?_-;_-@"/>
  </numFmts>
  <fonts count="46">
    <font>
      <sz val="9.0"/>
      <color theme="1"/>
      <name val="Calibri"/>
      <scheme val="minor"/>
    </font>
    <font>
      <sz val="8.0"/>
      <color theme="1"/>
      <name val="Malgun Gothic"/>
    </font>
    <font>
      <sz val="7.0"/>
      <color theme="1"/>
      <name val="Malgun Gothic"/>
    </font>
    <font>
      <sz val="9.0"/>
      <color theme="1"/>
      <name val="Malgun Gothic"/>
    </font>
    <font>
      <b/>
      <sz val="9.0"/>
      <color theme="1"/>
      <name val="Malgun Gothic"/>
    </font>
    <font>
      <b/>
      <sz val="9.0"/>
      <color rgb="FF595959"/>
      <name val="Malgun Gothic"/>
    </font>
    <font>
      <b/>
      <sz val="8.0"/>
      <color rgb="FF595959"/>
      <name val="Malgun Gothic"/>
    </font>
    <font>
      <sz val="9.0"/>
      <color rgb="FF595959"/>
      <name val="Malgun Gothic"/>
    </font>
    <font>
      <sz val="7.0"/>
      <color rgb="FFFF0066"/>
      <name val="Malgun Gothic"/>
    </font>
    <font>
      <sz val="9.0"/>
      <color theme="0"/>
      <name val="Malgun Gothic"/>
    </font>
    <font>
      <sz val="8.0"/>
      <color theme="0"/>
      <name val="Malgun Gothic"/>
    </font>
    <font>
      <sz val="7.0"/>
      <color theme="0"/>
      <name val="Malgun Gothic"/>
    </font>
    <font>
      <b/>
      <sz val="9.0"/>
      <color rgb="FF3F3F3F"/>
      <name val="Malgun Gothic"/>
    </font>
    <font>
      <sz val="7.0"/>
      <color rgb="FF3333FF"/>
      <name val="Malgun Gothic"/>
    </font>
    <font>
      <color theme="1"/>
      <name val="Calibri"/>
      <scheme val="minor"/>
    </font>
    <font>
      <sz val="8.0"/>
      <color rgb="FFA5A5A5"/>
      <name val="Malgun Gothic"/>
    </font>
    <font>
      <sz val="6.0"/>
      <color rgb="FFA5A5A5"/>
      <name val="Malgun Gothic"/>
    </font>
    <font>
      <sz val="9.0"/>
      <color rgb="FF3F3F3F"/>
      <name val="Malgun Gothic"/>
    </font>
    <font>
      <sz val="7.0"/>
      <color rgb="FFD8D8D8"/>
      <name val="Malgun Gothic"/>
    </font>
    <font>
      <sz val="7.0"/>
      <color rgb="FF7F7F7F"/>
      <name val="Malgun Gothic"/>
    </font>
    <font>
      <sz val="7.0"/>
      <color rgb="FF595959"/>
      <name val="Malgun Gothic"/>
    </font>
    <font>
      <sz val="9.0"/>
      <color rgb="FFA5A5A5"/>
      <name val="Malgun Gothic"/>
    </font>
    <font>
      <b/>
      <sz val="9.0"/>
      <color theme="0"/>
      <name val="Malgun Gothic"/>
    </font>
    <font>
      <b/>
      <sz val="8.0"/>
      <color theme="0"/>
      <name val="Malgun Gothic"/>
    </font>
    <font>
      <b/>
      <sz val="6.0"/>
      <color rgb="FF7F7F7F"/>
      <name val="Malgun Gothic"/>
    </font>
    <font>
      <sz val="6.0"/>
      <color theme="1"/>
      <name val="Malgun Gothic"/>
    </font>
    <font>
      <b/>
      <sz val="6.0"/>
      <color rgb="FF595959"/>
      <name val="Malgun Gothic"/>
    </font>
    <font>
      <b/>
      <sz val="6.0"/>
      <color theme="0"/>
      <name val="Malgun Gothic"/>
    </font>
    <font>
      <sz val="6.0"/>
      <color rgb="FF595959"/>
      <name val="Malgun Gothic"/>
    </font>
    <font>
      <sz val="6.0"/>
      <color rgb="FF7F7F7F"/>
      <name val="Malgun Gothic"/>
    </font>
    <font>
      <sz val="6.0"/>
      <color rgb="FF262626"/>
      <name val="Malgun Gothic"/>
    </font>
    <font>
      <b/>
      <sz val="9.0"/>
      <color rgb="FF3333FF"/>
      <name val="Malgun Gothic"/>
    </font>
    <font>
      <sz val="7.0"/>
      <color rgb="FFA5A5A5"/>
      <name val="Malgun Gothic"/>
    </font>
    <font>
      <b/>
      <sz val="8.0"/>
      <color theme="1"/>
      <name val="Malgun Gothic"/>
    </font>
    <font>
      <sz val="8.0"/>
      <color rgb="FF595959"/>
      <name val="Malgun Gothic"/>
    </font>
    <font>
      <b/>
      <sz val="10.0"/>
      <color theme="0"/>
      <name val="Malgun Gothic"/>
    </font>
    <font>
      <sz val="10.0"/>
      <color theme="0"/>
      <name val="Malgun Gothic"/>
    </font>
    <font>
      <b/>
      <sz val="7.0"/>
      <color theme="0"/>
      <name val="Malgun Gothic"/>
    </font>
    <font>
      <b/>
      <sz val="14.0"/>
      <color theme="8"/>
      <name val="Malgun Gothic"/>
    </font>
    <font/>
    <font>
      <b/>
      <sz val="7.0"/>
      <color theme="1"/>
      <name val="Malgun Gothic"/>
    </font>
    <font>
      <sz val="9.0"/>
      <color rgb="FFBFBFBF"/>
      <name val="Malgun Gothic"/>
    </font>
    <font>
      <b/>
      <sz val="9.0"/>
      <color rgb="FF262626"/>
      <name val="Malgun Gothic"/>
    </font>
    <font>
      <b/>
      <sz val="8.0"/>
      <color rgb="FF3F3F3F"/>
      <name val="Malgun Gothic"/>
    </font>
    <font>
      <b/>
      <sz val="9.0"/>
      <color rgb="FFD8D8D8"/>
      <name val="Malgun Gothic"/>
    </font>
    <font>
      <sz val="8.0"/>
      <color rgb="FF7F7F7F"/>
      <name val="Malgun Gothic"/>
    </font>
  </fonts>
  <fills count="31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theme="8"/>
        <bgColor theme="8"/>
      </patternFill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rgb="FF3333FF"/>
        <bgColor rgb="FF3333FF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BE5F1"/>
        <bgColor rgb="FFDBE5F1"/>
      </patternFill>
    </fill>
    <fill>
      <patternFill patternType="solid">
        <fgColor rgb="FFFF0066"/>
        <bgColor rgb="FFFF0066"/>
      </patternFill>
    </fill>
    <fill>
      <patternFill patternType="solid">
        <fgColor rgb="FFCC0066"/>
        <bgColor rgb="FFCC0066"/>
      </patternFill>
    </fill>
    <fill>
      <patternFill patternType="solid">
        <fgColor rgb="FF7030A0"/>
        <bgColor rgb="FF7030A0"/>
      </patternFill>
    </fill>
    <fill>
      <patternFill patternType="solid">
        <fgColor rgb="FF3F3F3F"/>
        <bgColor rgb="FF3F3F3F"/>
      </patternFill>
    </fill>
    <fill>
      <patternFill patternType="solid">
        <fgColor rgb="FFE5DFEC"/>
        <bgColor rgb="FFE5DFEC"/>
      </patternFill>
    </fill>
    <fill>
      <patternFill patternType="solid">
        <fgColor rgb="FF0000FF"/>
        <bgColor rgb="FF0000FF"/>
      </patternFill>
    </fill>
    <fill>
      <patternFill patternType="solid">
        <fgColor rgb="FFBFBFBF"/>
        <bgColor rgb="FFBFBFBF"/>
      </patternFill>
    </fill>
    <fill>
      <patternFill patternType="solid">
        <fgColor rgb="FFCCFF33"/>
        <bgColor rgb="FFCCFF33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17365D"/>
        <bgColor rgb="FF17365D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  <fill>
      <patternFill patternType="solid">
        <fgColor rgb="FF0070C0"/>
        <bgColor rgb="FF0070C0"/>
      </patternFill>
    </fill>
    <fill>
      <patternFill patternType="solid">
        <fgColor rgb="FF5F497A"/>
        <bgColor rgb="FF5F497A"/>
      </patternFill>
    </fill>
    <fill>
      <patternFill patternType="solid">
        <fgColor rgb="FF4F6128"/>
        <bgColor rgb="FF4F6128"/>
      </patternFill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</fills>
  <borders count="45">
    <border/>
    <border>
      <left/>
      <right/>
      <top/>
      <bottom/>
    </border>
    <border>
      <left style="thin">
        <color rgb="FF7F7F7F"/>
      </left>
      <right/>
      <top style="thin">
        <color rgb="FF7F7F7F"/>
      </top>
      <bottom/>
    </border>
    <border>
      <left/>
      <right/>
      <top style="thin">
        <color rgb="FF7F7F7F"/>
      </top>
      <bottom/>
    </border>
    <border>
      <left/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/>
      <top/>
      <bottom style="thin">
        <color rgb="FF7F7F7F"/>
      </bottom>
    </border>
    <border>
      <left/>
      <right/>
      <top/>
      <bottom style="thin">
        <color rgb="FF7F7F7F"/>
      </bottom>
    </border>
    <border>
      <left/>
      <right style="thin">
        <color rgb="FF7F7F7F"/>
      </right>
      <top/>
      <bottom style="thin">
        <color rgb="FF7F7F7F"/>
      </bottom>
    </border>
    <border>
      <bottom style="thin">
        <color rgb="FF3333FF"/>
      </bottom>
    </border>
    <border>
      <left/>
      <right/>
      <top/>
      <bottom style="thin">
        <color rgb="FF000000"/>
      </bottom>
    </border>
    <border>
      <bottom style="thin">
        <color rgb="FFBFBFBF"/>
      </bottom>
    </border>
    <border>
      <left/>
      <right/>
      <top/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top style="thin">
        <color rgb="FFBFBFBF"/>
      </top>
    </border>
    <border>
      <left style="thin">
        <color rgb="FF000000"/>
      </left>
    </border>
    <border>
      <left/>
      <right/>
      <top style="thin">
        <color rgb="FFBFBFBF"/>
      </top>
      <bottom/>
    </border>
    <border>
      <left/>
      <top/>
      <bottom style="thin">
        <color rgb="FFBFBFBF"/>
      </bottom>
    </border>
    <border>
      <right/>
      <top/>
      <bottom style="thin">
        <color rgb="FFBFBFBF"/>
      </bottom>
    </border>
    <border>
      <left/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/>
      <top style="thin">
        <color rgb="FFBFBFBF"/>
      </top>
      <bottom/>
    </border>
    <border>
      <right/>
      <top style="thin">
        <color rgb="FFBFBFBF"/>
      </top>
      <bottom/>
    </border>
    <border>
      <left/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C00000"/>
      </left>
      <right style="medium">
        <color rgb="FFC00000"/>
      </right>
      <top style="medium">
        <color rgb="FFC00000"/>
      </top>
      <bottom/>
    </border>
    <border>
      <left style="medium">
        <color rgb="FFC00000"/>
      </left>
      <right style="medium">
        <color rgb="FFC00000"/>
      </right>
      <top/>
      <bottom style="thin">
        <color rgb="FF000000"/>
      </bottom>
    </border>
    <border>
      <left style="medium">
        <color rgb="FFC00000"/>
      </left>
      <right style="medium">
        <color rgb="FFC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C00000"/>
      </left>
      <right style="medium">
        <color rgb="FFC00000"/>
      </right>
      <top style="thin">
        <color rgb="FF000000"/>
      </top>
      <bottom style="thin">
        <color rgb="FF000000"/>
      </bottom>
    </border>
    <border>
      <left style="medium">
        <color rgb="FFC00000"/>
      </left>
      <right style="medium">
        <color rgb="FFC00000"/>
      </right>
      <top/>
      <bottom style="medium">
        <color rgb="FFC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C00000"/>
      </left>
      <right style="medium">
        <color rgb="FFC00000"/>
      </right>
    </border>
    <border>
      <left style="medium">
        <color rgb="FFC00000"/>
      </left>
      <right style="medium">
        <color rgb="FFC00000"/>
      </right>
      <bottom style="medium">
        <color rgb="FFC00000"/>
      </bottom>
    </border>
    <border>
      <left/>
      <right/>
      <top/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0" fillId="0" fontId="6" numFmtId="164" xfId="0" applyAlignment="1" applyFont="1" applyNumberFormat="1">
      <alignment horizontal="right" vertical="center"/>
    </xf>
    <xf borderId="0" fillId="0" fontId="6" numFmtId="164" xfId="0" applyAlignment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8" numFmtId="0" xfId="0" applyAlignment="1" applyFont="1">
      <alignment horizontal="right" vertical="center"/>
    </xf>
    <xf borderId="0" fillId="0" fontId="8" numFmtId="165" xfId="0" applyAlignment="1" applyFont="1" applyNumberFormat="1">
      <alignment vertical="center"/>
    </xf>
    <xf borderId="1" fillId="2" fontId="9" numFmtId="0" xfId="0" applyAlignment="1" applyBorder="1" applyFill="1" applyFont="1">
      <alignment vertical="center"/>
    </xf>
    <xf borderId="1" fillId="2" fontId="10" numFmtId="0" xfId="0" applyAlignment="1" applyBorder="1" applyFont="1">
      <alignment horizontal="right" vertical="center"/>
    </xf>
    <xf borderId="1" fillId="2" fontId="10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" fillId="2" fontId="11" numFmtId="0" xfId="0" applyAlignment="1" applyBorder="1" applyFont="1">
      <alignment vertical="center"/>
    </xf>
    <xf borderId="1" fillId="3" fontId="12" numFmtId="0" xfId="0" applyAlignment="1" applyBorder="1" applyFill="1" applyFont="1">
      <alignment horizontal="right" vertical="center"/>
    </xf>
    <xf borderId="1" fillId="3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right" vertical="center"/>
    </xf>
    <xf borderId="0" fillId="0" fontId="13" numFmtId="165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1" numFmtId="165" xfId="0" applyAlignment="1" applyFont="1" applyNumberFormat="1">
      <alignment horizontal="right" vertical="center"/>
    </xf>
    <xf borderId="0" fillId="0" fontId="15" numFmtId="164" xfId="0" applyAlignment="1" applyFont="1" applyNumberFormat="1">
      <alignment horizontal="right" vertical="center"/>
    </xf>
    <xf borderId="0" fillId="0" fontId="16" numFmtId="164" xfId="0" applyAlignment="1" applyFont="1" applyNumberFormat="1">
      <alignment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7" numFmtId="164" xfId="0" applyAlignment="1" applyFont="1" applyNumberFormat="1">
      <alignment vertical="center"/>
    </xf>
    <xf borderId="0" fillId="0" fontId="12" numFmtId="164" xfId="0" applyAlignment="1" applyFont="1" applyNumberFormat="1">
      <alignment vertical="center"/>
    </xf>
    <xf borderId="0" fillId="0" fontId="19" numFmtId="165" xfId="0" applyAlignment="1" applyFont="1" applyNumberFormat="1">
      <alignment vertical="center"/>
    </xf>
    <xf borderId="0" fillId="0" fontId="15" numFmtId="164" xfId="0" applyAlignment="1" applyFont="1" applyNumberFormat="1">
      <alignment vertical="center"/>
    </xf>
    <xf borderId="0" fillId="0" fontId="20" numFmtId="165" xfId="0" applyAlignment="1" applyFont="1" applyNumberForma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ill="1" applyFont="1">
      <alignment vertical="center"/>
    </xf>
    <xf borderId="1" fillId="4" fontId="22" numFmtId="164" xfId="0" applyAlignment="1" applyBorder="1" applyFont="1" applyNumberFormat="1">
      <alignment vertical="center"/>
    </xf>
    <xf borderId="1" fillId="4" fontId="10" numFmtId="165" xfId="0" applyAlignment="1" applyBorder="1" applyFont="1" applyNumberFormat="1">
      <alignment horizontal="right" vertical="center"/>
    </xf>
    <xf borderId="1" fillId="4" fontId="23" numFmtId="0" xfId="0" applyAlignment="1" applyBorder="1" applyFont="1">
      <alignment horizontal="right" vertical="center"/>
    </xf>
    <xf borderId="1" fillId="4" fontId="23" numFmtId="0" xfId="0" applyAlignment="1" applyBorder="1" applyFont="1">
      <alignment vertical="center"/>
    </xf>
    <xf borderId="0" fillId="0" fontId="21" numFmtId="164" xfId="0" applyAlignment="1" applyFont="1" applyNumberFormat="1">
      <alignment vertical="center"/>
    </xf>
    <xf borderId="0" fillId="0" fontId="15" numFmtId="0" xfId="0" applyAlignment="1" applyFont="1">
      <alignment horizontal="right" vertical="center"/>
    </xf>
    <xf borderId="1" fillId="5" fontId="17" numFmtId="0" xfId="0" applyAlignment="1" applyBorder="1" applyFill="1" applyFont="1">
      <alignment vertical="center"/>
    </xf>
    <xf borderId="1" fillId="5" fontId="18" numFmtId="0" xfId="0" applyAlignment="1" applyBorder="1" applyFont="1">
      <alignment vertical="center"/>
    </xf>
    <xf borderId="1" fillId="5" fontId="12" numFmtId="164" xfId="0" applyAlignment="1" applyBorder="1" applyFont="1" applyNumberFormat="1">
      <alignment vertical="center"/>
    </xf>
    <xf borderId="1" fillId="5" fontId="17" numFmtId="164" xfId="0" applyAlignment="1" applyBorder="1" applyFont="1" applyNumberFormat="1">
      <alignment vertical="center"/>
    </xf>
    <xf borderId="2" fillId="6" fontId="24" numFmtId="0" xfId="0" applyAlignment="1" applyBorder="1" applyFill="1" applyFont="1">
      <alignment horizontal="left" vertical="center"/>
    </xf>
    <xf borderId="3" fillId="6" fontId="25" numFmtId="164" xfId="0" applyAlignment="1" applyBorder="1" applyFont="1" applyNumberFormat="1">
      <alignment vertical="center"/>
    </xf>
    <xf borderId="4" fillId="6" fontId="26" numFmtId="164" xfId="0" applyAlignment="1" applyBorder="1" applyFont="1" applyNumberFormat="1">
      <alignment vertical="center"/>
    </xf>
    <xf borderId="5" fillId="7" fontId="27" numFmtId="0" xfId="0" applyAlignment="1" applyBorder="1" applyFill="1" applyFont="1">
      <alignment horizontal="right" vertical="center"/>
    </xf>
    <xf borderId="1" fillId="7" fontId="27" numFmtId="0" xfId="0" applyAlignment="1" applyBorder="1" applyFont="1">
      <alignment horizontal="right" vertical="center"/>
    </xf>
    <xf borderId="5" fillId="6" fontId="25" numFmtId="164" xfId="0" applyAlignment="1" applyBorder="1" applyFont="1" applyNumberFormat="1">
      <alignment horizontal="left" vertical="center"/>
    </xf>
    <xf borderId="1" fillId="6" fontId="6" numFmtId="164" xfId="0" applyAlignment="1" applyBorder="1" applyFont="1" applyNumberFormat="1">
      <alignment horizontal="right" vertical="center"/>
    </xf>
    <xf borderId="1" fillId="6" fontId="28" numFmtId="0" xfId="0" applyAlignment="1" applyBorder="1" applyFont="1">
      <alignment horizontal="right" vertical="center"/>
    </xf>
    <xf borderId="6" fillId="6" fontId="28" numFmtId="164" xfId="0" applyAlignment="1" applyBorder="1" applyFont="1" applyNumberFormat="1">
      <alignment horizontal="right" vertical="center"/>
    </xf>
    <xf borderId="5" fillId="6" fontId="3" numFmtId="0" xfId="0" applyAlignment="1" applyBorder="1" applyFont="1">
      <alignment vertical="center"/>
    </xf>
    <xf borderId="0" fillId="0" fontId="3" numFmtId="166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7" numFmtId="164" xfId="0" applyAlignment="1" applyFont="1" applyNumberFormat="1">
      <alignment horizontal="center" vertical="center"/>
    </xf>
    <xf borderId="1" fillId="8" fontId="9" numFmtId="0" xfId="0" applyAlignment="1" applyBorder="1" applyFill="1" applyFont="1">
      <alignment vertical="center"/>
    </xf>
    <xf borderId="1" fillId="8" fontId="11" numFmtId="0" xfId="0" applyAlignment="1" applyBorder="1" applyFont="1">
      <alignment vertical="center"/>
    </xf>
    <xf borderId="0" fillId="0" fontId="4" numFmtId="164" xfId="0" applyAlignment="1" applyFont="1" applyNumberFormat="1">
      <alignment vertical="center"/>
    </xf>
    <xf borderId="7" fillId="6" fontId="29" numFmtId="0" xfId="0" applyAlignment="1" applyBorder="1" applyFont="1">
      <alignment vertical="center"/>
    </xf>
    <xf borderId="8" fillId="6" fontId="28" numFmtId="0" xfId="0" applyAlignment="1" applyBorder="1" applyFont="1">
      <alignment horizontal="right" vertical="center"/>
    </xf>
    <xf borderId="9" fillId="6" fontId="28" numFmtId="164" xfId="0" applyAlignment="1" applyBorder="1" applyFont="1" applyNumberFormat="1">
      <alignment horizontal="right" vertical="center"/>
    </xf>
    <xf borderId="0" fillId="0" fontId="30" numFmtId="0" xfId="0" applyAlignment="1" applyFont="1">
      <alignment horizontal="right" vertical="top"/>
    </xf>
    <xf borderId="3" fillId="6" fontId="3" numFmtId="0" xfId="0" applyAlignment="1" applyBorder="1" applyFont="1">
      <alignment vertical="center"/>
    </xf>
    <xf borderId="3" fillId="6" fontId="28" numFmtId="0" xfId="0" applyAlignment="1" applyBorder="1" applyFont="1">
      <alignment horizontal="right" vertical="center"/>
    </xf>
    <xf borderId="4" fillId="6" fontId="28" numFmtId="164" xfId="0" applyAlignment="1" applyBorder="1" applyFont="1" applyNumberFormat="1">
      <alignment horizontal="right" vertical="center"/>
    </xf>
    <xf borderId="0" fillId="0" fontId="2" numFmtId="167" xfId="0" applyAlignment="1" applyFont="1" applyNumberFormat="1">
      <alignment vertical="center"/>
    </xf>
    <xf borderId="8" fillId="6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10" fillId="0" fontId="17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0" fillId="0" fontId="3" numFmtId="164" xfId="0" applyAlignment="1" applyBorder="1" applyFont="1" applyNumberFormat="1">
      <alignment vertical="center"/>
    </xf>
    <xf borderId="1" fillId="7" fontId="9" numFmtId="0" xfId="0" applyAlignment="1" applyBorder="1" applyFont="1">
      <alignment vertical="center"/>
    </xf>
    <xf borderId="1" fillId="7" fontId="10" numFmtId="0" xfId="0" applyAlignment="1" applyBorder="1" applyFont="1">
      <alignment horizontal="right" vertical="center"/>
    </xf>
    <xf borderId="1" fillId="7" fontId="10" numFmtId="0" xfId="0" applyAlignment="1" applyBorder="1" applyFont="1">
      <alignment vertical="center"/>
    </xf>
    <xf borderId="1" fillId="9" fontId="31" numFmtId="164" xfId="0" applyAlignment="1" applyBorder="1" applyFill="1" applyFont="1" applyNumberFormat="1">
      <alignment vertical="center"/>
    </xf>
    <xf borderId="1" fillId="9" fontId="31" numFmtId="166" xfId="0" applyAlignment="1" applyBorder="1" applyFont="1" applyNumberFormat="1">
      <alignment vertical="center"/>
    </xf>
    <xf borderId="0" fillId="0" fontId="32" numFmtId="0" xfId="0" applyAlignment="1" applyFont="1">
      <alignment vertical="center"/>
    </xf>
    <xf borderId="1" fillId="10" fontId="9" numFmtId="0" xfId="0" applyAlignment="1" applyBorder="1" applyFill="1" applyFont="1">
      <alignment vertical="center"/>
    </xf>
    <xf borderId="1" fillId="10" fontId="10" numFmtId="0" xfId="0" applyAlignment="1" applyBorder="1" applyFont="1">
      <alignment horizontal="right" vertical="center"/>
    </xf>
    <xf borderId="1" fillId="10" fontId="10" numFmtId="0" xfId="0" applyAlignment="1" applyBorder="1" applyFont="1">
      <alignment vertical="center"/>
    </xf>
    <xf borderId="1" fillId="11" fontId="4" numFmtId="0" xfId="0" applyAlignment="1" applyBorder="1" applyFill="1" applyFont="1">
      <alignment horizontal="left" vertical="center"/>
    </xf>
    <xf borderId="1" fillId="11" fontId="3" numFmtId="164" xfId="0" applyAlignment="1" applyBorder="1" applyFont="1" applyNumberFormat="1">
      <alignment horizontal="center" vertical="center"/>
    </xf>
    <xf borderId="1" fillId="11" fontId="33" numFmtId="164" xfId="0" applyAlignment="1" applyBorder="1" applyFont="1" applyNumberFormat="1">
      <alignment horizontal="right" vertical="center"/>
    </xf>
    <xf borderId="1" fillId="11" fontId="1" numFmtId="164" xfId="0" applyAlignment="1" applyBorder="1" applyFont="1" applyNumberFormat="1">
      <alignment horizontal="right" vertical="center"/>
    </xf>
    <xf borderId="1" fillId="11" fontId="2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0" fontId="34" numFmtId="165" xfId="0" applyAlignment="1" applyFont="1" applyNumberFormat="1">
      <alignment horizontal="right" vertical="center"/>
    </xf>
    <xf borderId="0" fillId="0" fontId="34" numFmtId="164" xfId="0" applyAlignment="1" applyFont="1" applyNumberFormat="1">
      <alignment horizontal="right" vertical="center"/>
    </xf>
    <xf borderId="0" fillId="0" fontId="20" numFmtId="164" xfId="0" applyAlignment="1" applyFont="1" applyNumberFormat="1">
      <alignment vertical="center"/>
    </xf>
    <xf borderId="1" fillId="6" fontId="7" numFmtId="0" xfId="0" applyAlignment="1" applyBorder="1" applyFont="1">
      <alignment horizontal="left" vertical="center"/>
    </xf>
    <xf borderId="1" fillId="6" fontId="7" numFmtId="164" xfId="0" applyAlignment="1" applyBorder="1" applyFont="1" applyNumberFormat="1">
      <alignment vertical="center"/>
    </xf>
    <xf borderId="1" fillId="6" fontId="34" numFmtId="165" xfId="0" applyAlignment="1" applyBorder="1" applyFont="1" applyNumberFormat="1">
      <alignment horizontal="right" vertical="center"/>
    </xf>
    <xf borderId="1" fillId="6" fontId="34" numFmtId="164" xfId="0" applyAlignment="1" applyBorder="1" applyFont="1" applyNumberFormat="1">
      <alignment horizontal="right" vertical="center"/>
    </xf>
    <xf borderId="1" fillId="6" fontId="28" numFmtId="164" xfId="0" applyAlignment="1" applyBorder="1" applyFont="1" applyNumberFormat="1">
      <alignment vertical="center"/>
    </xf>
    <xf borderId="0" fillId="0" fontId="28" numFmtId="164" xfId="0" applyAlignment="1" applyFont="1" applyNumberFormat="1">
      <alignment vertical="center"/>
    </xf>
    <xf borderId="0" fillId="0" fontId="34" numFmtId="0" xfId="0" applyAlignment="1" applyFont="1">
      <alignment horizontal="right" vertical="center"/>
    </xf>
    <xf borderId="0" fillId="0" fontId="20" numFmtId="0" xfId="0" applyAlignment="1" applyFont="1">
      <alignment vertical="center"/>
    </xf>
    <xf borderId="1" fillId="11" fontId="4" numFmtId="164" xfId="0" applyAlignment="1" applyBorder="1" applyFont="1" applyNumberFormat="1">
      <alignment horizontal="center" vertical="center"/>
    </xf>
    <xf borderId="1" fillId="11" fontId="2" numFmtId="164" xfId="0" applyAlignment="1" applyBorder="1" applyFont="1" applyNumberFormat="1">
      <alignment horizontal="right" vertical="center"/>
    </xf>
    <xf borderId="0" fillId="0" fontId="20" numFmtId="10" xfId="0" applyAlignment="1" applyFont="1" applyNumberFormat="1">
      <alignment vertical="center"/>
    </xf>
    <xf borderId="1" fillId="12" fontId="35" numFmtId="0" xfId="0" applyAlignment="1" applyBorder="1" applyFill="1" applyFont="1">
      <alignment horizontal="center" vertical="center"/>
    </xf>
    <xf borderId="1" fillId="12" fontId="36" numFmtId="164" xfId="0" applyAlignment="1" applyBorder="1" applyFont="1" applyNumberFormat="1">
      <alignment horizontal="center" vertical="center"/>
    </xf>
    <xf borderId="1" fillId="12" fontId="35" numFmtId="164" xfId="0" applyAlignment="1" applyBorder="1" applyFont="1" applyNumberFormat="1">
      <alignment horizontal="center" vertical="center"/>
    </xf>
    <xf borderId="1" fillId="12" fontId="36" numFmtId="165" xfId="0" applyAlignment="1" applyBorder="1" applyFont="1" applyNumberFormat="1">
      <alignment horizontal="right" vertical="center"/>
    </xf>
    <xf borderId="1" fillId="12" fontId="35" numFmtId="164" xfId="0" applyAlignment="1" applyBorder="1" applyFont="1" applyNumberFormat="1">
      <alignment horizontal="right" vertical="center"/>
    </xf>
    <xf borderId="1" fillId="12" fontId="37" numFmtId="164" xfId="0" applyAlignment="1" applyBorder="1" applyFont="1" applyNumberFormat="1">
      <alignment horizontal="center" vertical="center"/>
    </xf>
    <xf borderId="1" fillId="13" fontId="35" numFmtId="0" xfId="0" applyAlignment="1" applyBorder="1" applyFill="1" applyFont="1">
      <alignment horizontal="center" vertical="center"/>
    </xf>
    <xf borderId="1" fillId="13" fontId="36" numFmtId="164" xfId="0" applyAlignment="1" applyBorder="1" applyFont="1" applyNumberFormat="1">
      <alignment horizontal="center" vertical="center"/>
    </xf>
    <xf borderId="1" fillId="13" fontId="35" numFmtId="164" xfId="0" applyAlignment="1" applyBorder="1" applyFont="1" applyNumberFormat="1">
      <alignment horizontal="center" vertical="center"/>
    </xf>
    <xf borderId="1" fillId="13" fontId="36" numFmtId="165" xfId="0" applyAlignment="1" applyBorder="1" applyFont="1" applyNumberFormat="1">
      <alignment horizontal="right" vertical="center"/>
    </xf>
    <xf borderId="1" fillId="13" fontId="37" numFmtId="164" xfId="0" applyAlignment="1" applyBorder="1" applyFont="1" applyNumberFormat="1">
      <alignment horizontal="center" vertical="center"/>
    </xf>
    <xf borderId="1" fillId="14" fontId="35" numFmtId="0" xfId="0" applyAlignment="1" applyBorder="1" applyFill="1" applyFont="1">
      <alignment horizontal="center" vertical="center"/>
    </xf>
    <xf borderId="1" fillId="14" fontId="36" numFmtId="164" xfId="0" applyAlignment="1" applyBorder="1" applyFont="1" applyNumberFormat="1">
      <alignment horizontal="center" vertical="center"/>
    </xf>
    <xf borderId="1" fillId="14" fontId="35" numFmtId="164" xfId="0" applyAlignment="1" applyBorder="1" applyFont="1" applyNumberFormat="1">
      <alignment horizontal="center" vertical="center"/>
    </xf>
    <xf borderId="1" fillId="14" fontId="35" numFmtId="165" xfId="0" applyAlignment="1" applyBorder="1" applyFont="1" applyNumberFormat="1">
      <alignment horizontal="right" vertical="center"/>
    </xf>
    <xf borderId="1" fillId="14" fontId="37" numFmtId="164" xfId="0" applyAlignment="1" applyBorder="1" applyFont="1" applyNumberFormat="1">
      <alignment horizontal="center" vertical="center"/>
    </xf>
    <xf borderId="11" fillId="15" fontId="22" numFmtId="167" xfId="0" applyAlignment="1" applyBorder="1" applyFill="1" applyFont="1" applyNumberFormat="1">
      <alignment horizontal="center" vertical="center"/>
    </xf>
    <xf borderId="11" fillId="15" fontId="22" numFmtId="168" xfId="0" applyAlignment="1" applyBorder="1" applyFont="1" applyNumberFormat="1">
      <alignment horizontal="center" vertical="center"/>
    </xf>
    <xf borderId="11" fillId="15" fontId="9" numFmtId="0" xfId="0" applyAlignment="1" applyBorder="1" applyFont="1">
      <alignment horizontal="center" vertical="center"/>
    </xf>
    <xf borderId="11" fillId="15" fontId="9" numFmtId="0" xfId="0" applyAlignment="1" applyBorder="1" applyFont="1">
      <alignment horizontal="left" vertical="center"/>
    </xf>
    <xf borderId="11" fillId="15" fontId="22" numFmtId="0" xfId="0" applyAlignment="1" applyBorder="1" applyFont="1">
      <alignment vertical="center"/>
    </xf>
    <xf borderId="11" fillId="15" fontId="22" numFmtId="164" xfId="0" applyAlignment="1" applyBorder="1" applyFont="1" applyNumberFormat="1">
      <alignment vertical="center"/>
    </xf>
    <xf borderId="11" fillId="15" fontId="9" numFmtId="164" xfId="0" applyAlignment="1" applyBorder="1" applyFont="1" applyNumberFormat="1">
      <alignment horizontal="center" vertical="center"/>
    </xf>
    <xf borderId="11" fillId="15" fontId="9" numFmtId="0" xfId="0" applyAlignment="1" applyBorder="1" applyFont="1">
      <alignment vertical="center"/>
    </xf>
    <xf borderId="12" fillId="0" fontId="12" numFmtId="167" xfId="0" applyAlignment="1" applyBorder="1" applyFont="1" applyNumberFormat="1">
      <alignment horizontal="center" vertical="center"/>
    </xf>
    <xf borderId="12" fillId="0" fontId="17" numFmtId="168" xfId="0" applyAlignment="1" applyBorder="1" applyFont="1" applyNumberFormat="1">
      <alignment horizontal="center" vertical="center"/>
    </xf>
    <xf borderId="13" fillId="6" fontId="17" numFmtId="169" xfId="0" applyAlignment="1" applyBorder="1" applyFont="1" applyNumberFormat="1">
      <alignment horizontal="center" vertical="center"/>
    </xf>
    <xf borderId="13" fillId="6" fontId="17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left" vertical="center"/>
    </xf>
    <xf borderId="12" fillId="0" fontId="12" numFmtId="0" xfId="0" applyAlignment="1" applyBorder="1" applyFont="1">
      <alignment vertical="center"/>
    </xf>
    <xf borderId="13" fillId="16" fontId="5" numFmtId="164" xfId="0" applyAlignment="1" applyBorder="1" applyFill="1" applyFont="1" applyNumberFormat="1">
      <alignment vertical="center"/>
    </xf>
    <xf borderId="12" fillId="0" fontId="17" numFmtId="164" xfId="0" applyAlignment="1" applyBorder="1" applyFont="1" applyNumberFormat="1">
      <alignment horizontal="center" vertical="center"/>
    </xf>
    <xf borderId="12" fillId="0" fontId="17" numFmtId="0" xfId="0" applyAlignment="1" applyBorder="1" applyFont="1">
      <alignment vertical="center"/>
    </xf>
    <xf borderId="0" fillId="0" fontId="17" numFmtId="170" xfId="0" applyAlignment="1" applyFont="1" applyNumberFormat="1">
      <alignment vertical="center"/>
    </xf>
    <xf borderId="12" fillId="0" fontId="17" numFmtId="0" xfId="0" applyAlignment="1" applyBorder="1" applyFont="1">
      <alignment readingOrder="0" vertical="center"/>
    </xf>
    <xf borderId="0" fillId="0" fontId="17" numFmtId="166" xfId="0" applyAlignment="1" applyFont="1" applyNumberFormat="1">
      <alignment vertical="center"/>
    </xf>
    <xf borderId="12" fillId="0" fontId="17" numFmtId="170" xfId="0" applyAlignment="1" applyBorder="1" applyFont="1" applyNumberFormat="1">
      <alignment horizontal="left" vertical="center"/>
    </xf>
    <xf borderId="12" fillId="0" fontId="17" numFmtId="170" xfId="0" applyAlignment="1" applyBorder="1" applyFont="1" applyNumberFormat="1">
      <alignment vertical="center"/>
    </xf>
    <xf borderId="12" fillId="0" fontId="12" numFmtId="168" xfId="0" applyAlignment="1" applyBorder="1" applyFont="1" applyNumberFormat="1">
      <alignment horizontal="center" vertical="center"/>
    </xf>
    <xf borderId="12" fillId="0" fontId="12" numFmtId="164" xfId="0" applyAlignment="1" applyBorder="1" applyFont="1" applyNumberFormat="1">
      <alignment horizontal="center" vertical="center"/>
    </xf>
    <xf borderId="0" fillId="0" fontId="12" numFmtId="167" xfId="0" applyAlignment="1" applyFont="1" applyNumberFormat="1">
      <alignment horizontal="center" vertical="center"/>
    </xf>
    <xf borderId="0" fillId="0" fontId="12" numFmtId="168" xfId="0" applyAlignment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7" numFmtId="164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3" numFmtId="167" xfId="0" applyAlignment="1" applyFont="1" applyNumberFormat="1">
      <alignment vertical="center"/>
    </xf>
    <xf borderId="0" fillId="0" fontId="3" numFmtId="171" xfId="0" applyAlignment="1" applyFont="1" applyNumberFormat="1">
      <alignment vertical="center"/>
    </xf>
    <xf borderId="0" fillId="0" fontId="4" numFmtId="171" xfId="0" applyAlignment="1" applyFont="1" applyNumberFormat="1">
      <alignment vertical="center"/>
    </xf>
    <xf borderId="1" fillId="3" fontId="3" numFmtId="0" xfId="0" applyAlignment="1" applyBorder="1" applyFont="1">
      <alignment vertical="center"/>
    </xf>
    <xf borderId="1" fillId="3" fontId="3" numFmtId="171" xfId="0" applyAlignment="1" applyBorder="1" applyFont="1" applyNumberFormat="1">
      <alignment vertical="center"/>
    </xf>
    <xf borderId="1" fillId="3" fontId="4" numFmtId="171" xfId="0" applyAlignment="1" applyBorder="1" applyFont="1" applyNumberFormat="1">
      <alignment vertical="center"/>
    </xf>
    <xf borderId="1" fillId="8" fontId="9" numFmtId="171" xfId="0" applyAlignment="1" applyBorder="1" applyFont="1" applyNumberFormat="1">
      <alignment vertical="center"/>
    </xf>
    <xf borderId="1" fillId="8" fontId="22" numFmtId="171" xfId="0" applyAlignment="1" applyBorder="1" applyFont="1" applyNumberFormat="1">
      <alignment vertical="center"/>
    </xf>
    <xf borderId="1" fillId="4" fontId="9" numFmtId="0" xfId="0" applyAlignment="1" applyBorder="1" applyFont="1">
      <alignment vertical="center"/>
    </xf>
    <xf borderId="1" fillId="4" fontId="9" numFmtId="171" xfId="0" applyAlignment="1" applyBorder="1" applyFont="1" applyNumberFormat="1">
      <alignment vertical="center"/>
    </xf>
    <xf borderId="1" fillId="4" fontId="22" numFmtId="171" xfId="0" applyAlignment="1" applyBorder="1" applyFont="1" applyNumberFormat="1">
      <alignment vertical="center"/>
    </xf>
    <xf borderId="1" fillId="15" fontId="9" numFmtId="0" xfId="0" applyAlignment="1" applyBorder="1" applyFont="1">
      <alignment vertical="center"/>
    </xf>
    <xf borderId="1" fillId="15" fontId="9" numFmtId="171" xfId="0" applyAlignment="1" applyBorder="1" applyFont="1" applyNumberFormat="1">
      <alignment vertical="center"/>
    </xf>
    <xf borderId="1" fillId="15" fontId="22" numFmtId="171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1" fillId="8" fontId="22" numFmtId="164" xfId="0" applyAlignment="1" applyBorder="1" applyFont="1" applyNumberFormat="1">
      <alignment vertical="center"/>
    </xf>
    <xf borderId="1" fillId="8" fontId="22" numFmtId="0" xfId="0" applyAlignment="1" applyBorder="1" applyFont="1">
      <alignment vertical="center"/>
    </xf>
    <xf borderId="1" fillId="8" fontId="9" numFmtId="0" xfId="0" applyAlignment="1" applyBorder="1" applyFont="1">
      <alignment horizontal="center" vertical="center"/>
    </xf>
    <xf borderId="13" fillId="15" fontId="22" numFmtId="0" xfId="0" applyAlignment="1" applyBorder="1" applyFont="1">
      <alignment vertical="center"/>
    </xf>
    <xf borderId="12" fillId="0" fontId="5" numFmtId="164" xfId="0" applyAlignment="1" applyBorder="1" applyFont="1" applyNumberFormat="1">
      <alignment vertical="center"/>
    </xf>
    <xf borderId="0" fillId="0" fontId="5" numFmtId="171" xfId="0" applyAlignment="1" applyFont="1" applyNumberFormat="1">
      <alignment vertical="center"/>
    </xf>
    <xf borderId="1" fillId="6" fontId="5" numFmtId="164" xfId="0" applyAlignment="1" applyBorder="1" applyFont="1" applyNumberFormat="1">
      <alignment vertical="center"/>
    </xf>
    <xf borderId="14" fillId="15" fontId="22" numFmtId="0" xfId="0" applyAlignment="1" applyBorder="1" applyFont="1">
      <alignment vertical="center"/>
    </xf>
    <xf borderId="15" fillId="0" fontId="5" numFmtId="164" xfId="0" applyAlignment="1" applyBorder="1" applyFont="1" applyNumberFormat="1">
      <alignment vertical="center"/>
    </xf>
    <xf borderId="0" fillId="0" fontId="3" numFmtId="164" xfId="0" applyAlignment="1" applyFont="1" applyNumberFormat="1">
      <alignment horizontal="left" vertical="center"/>
    </xf>
    <xf borderId="16" fillId="0" fontId="38" numFmtId="0" xfId="0" applyAlignment="1" applyBorder="1" applyFont="1">
      <alignment horizontal="center" vertical="center"/>
    </xf>
    <xf borderId="16" fillId="0" fontId="39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0" fillId="0" fontId="3" numFmtId="167" xfId="0" applyAlignment="1" applyFont="1" applyNumberFormat="1">
      <alignment horizontal="center" vertical="center"/>
    </xf>
    <xf borderId="13" fillId="6" fontId="40" numFmtId="164" xfId="0" applyAlignment="1" applyBorder="1" applyFont="1" applyNumberFormat="1">
      <alignment horizontal="right" vertical="center"/>
    </xf>
    <xf borderId="18" fillId="17" fontId="9" numFmtId="0" xfId="0" applyAlignment="1" applyBorder="1" applyFill="1" applyFont="1">
      <alignment vertical="center"/>
    </xf>
    <xf borderId="13" fillId="6" fontId="3" numFmtId="164" xfId="0" applyAlignment="1" applyBorder="1" applyFont="1" applyNumberFormat="1">
      <alignment vertical="center"/>
    </xf>
    <xf borderId="0" fillId="0" fontId="3" numFmtId="0" xfId="0" applyAlignment="1" applyFont="1">
      <alignment horizontal="left" vertical="center"/>
    </xf>
    <xf borderId="19" fillId="3" fontId="5" numFmtId="0" xfId="0" applyAlignment="1" applyBorder="1" applyFont="1">
      <alignment vertical="center"/>
    </xf>
    <xf borderId="20" fillId="0" fontId="39" numFmtId="0" xfId="0" applyAlignment="1" applyBorder="1" applyFont="1">
      <alignment vertical="center"/>
    </xf>
    <xf borderId="13" fillId="6" fontId="5" numFmtId="164" xfId="0" applyAlignment="1" applyBorder="1" applyFont="1" applyNumberFormat="1">
      <alignment vertical="center"/>
    </xf>
    <xf borderId="0" fillId="0" fontId="41" numFmtId="172" xfId="0" applyAlignment="1" applyFont="1" applyNumberFormat="1">
      <alignment vertical="center"/>
    </xf>
    <xf borderId="13" fillId="3" fontId="42" numFmtId="0" xfId="0" applyAlignment="1" applyBorder="1" applyFont="1">
      <alignment vertical="center"/>
    </xf>
    <xf borderId="13" fillId="6" fontId="4" numFmtId="164" xfId="0" applyAlignment="1" applyBorder="1" applyFont="1" applyNumberFormat="1">
      <alignment vertical="center"/>
    </xf>
    <xf borderId="15" fillId="0" fontId="43" numFmtId="10" xfId="0" applyAlignment="1" applyBorder="1" applyFont="1" applyNumberFormat="1">
      <alignment vertical="center"/>
    </xf>
    <xf borderId="18" fillId="8" fontId="22" numFmtId="0" xfId="0" applyAlignment="1" applyBorder="1" applyFont="1">
      <alignment vertical="center"/>
    </xf>
    <xf borderId="21" fillId="3" fontId="5" numFmtId="0" xfId="0" applyAlignment="1" applyBorder="1" applyFont="1">
      <alignment vertical="center"/>
    </xf>
    <xf borderId="22" fillId="0" fontId="39" numFmtId="0" xfId="0" applyAlignment="1" applyBorder="1" applyFont="1">
      <alignment vertical="center"/>
    </xf>
    <xf borderId="15" fillId="0" fontId="5" numFmtId="10" xfId="0" applyAlignment="1" applyBorder="1" applyFont="1" applyNumberFormat="1">
      <alignment vertical="center"/>
    </xf>
    <xf borderId="14" fillId="3" fontId="42" numFmtId="0" xfId="0" applyAlignment="1" applyBorder="1" applyFont="1">
      <alignment vertical="center"/>
    </xf>
    <xf borderId="15" fillId="0" fontId="12" numFmtId="10" xfId="0" applyAlignment="1" applyBorder="1" applyFont="1" applyNumberFormat="1">
      <alignment vertical="center"/>
    </xf>
    <xf borderId="14" fillId="12" fontId="22" numFmtId="0" xfId="0" applyAlignment="1" applyBorder="1" applyFont="1">
      <alignment vertical="center"/>
    </xf>
    <xf borderId="0" fillId="0" fontId="41" numFmtId="173" xfId="0" applyAlignment="1" applyFont="1" applyNumberFormat="1">
      <alignment horizontal="left" readingOrder="1" vertical="center"/>
    </xf>
    <xf borderId="15" fillId="0" fontId="12" numFmtId="164" xfId="0" applyAlignment="1" applyBorder="1" applyFont="1" applyNumberFormat="1">
      <alignment vertical="center"/>
    </xf>
    <xf borderId="14" fillId="2" fontId="9" numFmtId="0" xfId="0" applyAlignment="1" applyBorder="1" applyFont="1">
      <alignment vertical="center"/>
    </xf>
    <xf borderId="21" fillId="12" fontId="44" numFmtId="0" xfId="0" applyAlignment="1" applyBorder="1" applyFont="1">
      <alignment vertical="center"/>
    </xf>
    <xf borderId="13" fillId="12" fontId="44" numFmtId="164" xfId="0" applyAlignment="1" applyBorder="1" applyFont="1" applyNumberFormat="1">
      <alignment vertical="center"/>
    </xf>
    <xf borderId="13" fillId="12" fontId="22" numFmtId="164" xfId="0" applyAlignment="1" applyBorder="1" applyFont="1" applyNumberFormat="1">
      <alignment vertical="center"/>
    </xf>
    <xf borderId="23" fillId="8" fontId="44" numFmtId="0" xfId="0" applyAlignment="1" applyBorder="1" applyFont="1">
      <alignment vertical="center"/>
    </xf>
    <xf borderId="24" fillId="0" fontId="39" numFmtId="0" xfId="0" applyAlignment="1" applyBorder="1" applyFont="1">
      <alignment vertical="center"/>
    </xf>
    <xf borderId="1" fillId="8" fontId="44" numFmtId="164" xfId="0" applyAlignment="1" applyBorder="1" applyFont="1" applyNumberFormat="1">
      <alignment vertical="center"/>
    </xf>
    <xf borderId="13" fillId="7" fontId="22" numFmtId="164" xfId="0" applyAlignment="1" applyBorder="1" applyFont="1" applyNumberFormat="1">
      <alignment horizontal="center" vertical="center"/>
    </xf>
    <xf borderId="13" fillId="7" fontId="22" numFmtId="168" xfId="0" applyAlignment="1" applyBorder="1" applyFont="1" applyNumberFormat="1">
      <alignment horizontal="center" vertical="center"/>
    </xf>
    <xf borderId="13" fillId="7" fontId="22" numFmtId="174" xfId="0" applyAlignment="1" applyBorder="1" applyFont="1" applyNumberFormat="1">
      <alignment horizontal="center" vertical="center"/>
    </xf>
    <xf borderId="13" fillId="15" fontId="22" numFmtId="164" xfId="0" applyAlignment="1" applyBorder="1" applyFont="1" applyNumberFormat="1">
      <alignment horizontal="center" vertical="center"/>
    </xf>
    <xf borderId="13" fillId="15" fontId="22" numFmtId="168" xfId="0" applyAlignment="1" applyBorder="1" applyFont="1" applyNumberFormat="1">
      <alignment horizontal="center" vertical="center"/>
    </xf>
    <xf borderId="13" fillId="15" fontId="22" numFmtId="174" xfId="0" applyAlignment="1" applyBorder="1" applyFont="1" applyNumberFormat="1">
      <alignment horizontal="center" vertical="center"/>
    </xf>
    <xf borderId="13" fillId="15" fontId="22" numFmtId="164" xfId="0" applyAlignment="1" applyBorder="1" applyFont="1" applyNumberFormat="1">
      <alignment horizontal="left" vertical="center"/>
    </xf>
    <xf borderId="15" fillId="0" fontId="7" numFmtId="164" xfId="0" applyAlignment="1" applyBorder="1" applyFont="1" applyNumberFormat="1">
      <alignment vertical="center"/>
    </xf>
    <xf borderId="15" fillId="0" fontId="5" numFmtId="168" xfId="0" applyAlignment="1" applyBorder="1" applyFont="1" applyNumberFormat="1">
      <alignment vertical="center"/>
    </xf>
    <xf borderId="14" fillId="18" fontId="3" numFmtId="164" xfId="0" applyAlignment="1" applyBorder="1" applyFill="1" applyFont="1" applyNumberFormat="1">
      <alignment vertical="center"/>
    </xf>
    <xf borderId="14" fillId="18" fontId="4" numFmtId="168" xfId="0" applyAlignment="1" applyBorder="1" applyFont="1" applyNumberFormat="1">
      <alignment vertical="center"/>
    </xf>
    <xf borderId="14" fillId="18" fontId="4" numFmtId="164" xfId="0" applyAlignment="1" applyBorder="1" applyFont="1" applyNumberFormat="1">
      <alignment vertical="center"/>
    </xf>
    <xf borderId="14" fillId="18" fontId="3" numFmtId="164" xfId="0" applyAlignment="1" applyBorder="1" applyFont="1" applyNumberFormat="1">
      <alignment horizontal="left" vertical="center"/>
    </xf>
    <xf borderId="14" fillId="18" fontId="3" numFmtId="164" xfId="0" applyAlignment="1" applyBorder="1" applyFont="1" applyNumberFormat="1">
      <alignment horizontal="center" vertical="center"/>
    </xf>
    <xf borderId="14" fillId="18" fontId="4" numFmtId="164" xfId="0" applyAlignment="1" applyBorder="1" applyFont="1" applyNumberFormat="1">
      <alignment horizontal="center" vertical="center"/>
    </xf>
    <xf borderId="14" fillId="19" fontId="3" numFmtId="164" xfId="0" applyAlignment="1" applyBorder="1" applyFill="1" applyFont="1" applyNumberFormat="1">
      <alignment vertical="center"/>
    </xf>
    <xf borderId="14" fillId="19" fontId="4" numFmtId="168" xfId="0" applyAlignment="1" applyBorder="1" applyFont="1" applyNumberFormat="1">
      <alignment vertical="center"/>
    </xf>
    <xf borderId="14" fillId="19" fontId="4" numFmtId="164" xfId="0" applyAlignment="1" applyBorder="1" applyFont="1" applyNumberFormat="1">
      <alignment vertical="center"/>
    </xf>
    <xf borderId="14" fillId="19" fontId="3" numFmtId="164" xfId="0" applyAlignment="1" applyBorder="1" applyFont="1" applyNumberFormat="1">
      <alignment horizontal="left" vertical="center"/>
    </xf>
    <xf borderId="15" fillId="0" fontId="3" numFmtId="164" xfId="0" applyAlignment="1" applyBorder="1" applyFont="1" applyNumberFormat="1">
      <alignment vertical="center"/>
    </xf>
    <xf borderId="15" fillId="0" fontId="4" numFmtId="168" xfId="0" applyAlignment="1" applyBorder="1" applyFont="1" applyNumberFormat="1">
      <alignment vertical="center"/>
    </xf>
    <xf borderId="15" fillId="0" fontId="4" numFmtId="164" xfId="0" applyAlignment="1" applyBorder="1" applyFont="1" applyNumberFormat="1">
      <alignment vertical="center"/>
    </xf>
    <xf borderId="15" fillId="0" fontId="3" numFmtId="164" xfId="0" applyAlignment="1" applyBorder="1" applyFont="1" applyNumberFormat="1">
      <alignment horizontal="left" vertical="center"/>
    </xf>
    <xf borderId="19" fillId="3" fontId="42" numFmtId="0" xfId="0" applyAlignment="1" applyBorder="1" applyFont="1">
      <alignment vertical="center"/>
    </xf>
    <xf borderId="13" fillId="6" fontId="4" numFmtId="164" xfId="0" applyAlignment="1" applyBorder="1" applyFont="1" applyNumberFormat="1">
      <alignment horizontal="center" vertical="center"/>
    </xf>
    <xf borderId="21" fillId="3" fontId="42" numFmtId="0" xfId="0" applyAlignment="1" applyBorder="1" applyFont="1">
      <alignment vertical="center"/>
    </xf>
    <xf borderId="21" fillId="12" fontId="22" numFmtId="0" xfId="0" applyAlignment="1" applyBorder="1" applyFont="1">
      <alignment vertical="center"/>
    </xf>
    <xf borderId="23" fillId="8" fontId="22" numFmtId="0" xfId="0" applyAlignment="1" applyBorder="1" applyFont="1">
      <alignment vertical="center"/>
    </xf>
    <xf borderId="15" fillId="0" fontId="4" numFmtId="175" xfId="0" applyAlignment="1" applyBorder="1" applyFont="1" applyNumberFormat="1">
      <alignment vertical="center"/>
    </xf>
    <xf borderId="1" fillId="20" fontId="9" numFmtId="0" xfId="0" applyAlignment="1" applyBorder="1" applyFill="1" applyFont="1">
      <alignment vertical="center"/>
    </xf>
    <xf borderId="1" fillId="21" fontId="9" numFmtId="0" xfId="0" applyAlignment="1" applyBorder="1" applyFill="1" applyFont="1">
      <alignment vertical="center"/>
    </xf>
    <xf borderId="1" fillId="22" fontId="9" numFmtId="0" xfId="0" applyAlignment="1" applyBorder="1" applyFill="1" applyFont="1">
      <alignment vertical="center"/>
    </xf>
    <xf borderId="12" fillId="0" fontId="3" numFmtId="0" xfId="0" applyAlignment="1" applyBorder="1" applyFont="1">
      <alignment vertical="center"/>
    </xf>
    <xf borderId="25" fillId="23" fontId="22" numFmtId="0" xfId="0" applyAlignment="1" applyBorder="1" applyFill="1" applyFont="1">
      <alignment vertical="center"/>
    </xf>
    <xf borderId="0" fillId="0" fontId="41" numFmtId="172" xfId="0" applyAlignment="1" applyFont="1" applyNumberFormat="1">
      <alignment horizontal="center" vertical="center"/>
    </xf>
    <xf borderId="25" fillId="4" fontId="22" numFmtId="0" xfId="0" applyAlignment="1" applyBorder="1" applyFont="1">
      <alignment vertical="center"/>
    </xf>
    <xf borderId="26" fillId="23" fontId="22" numFmtId="0" xfId="0" applyAlignment="1" applyBorder="1" applyFont="1">
      <alignment vertical="center"/>
    </xf>
    <xf borderId="26" fillId="4" fontId="22" numFmtId="0" xfId="0" applyAlignment="1" applyBorder="1" applyFont="1">
      <alignment vertical="center"/>
    </xf>
    <xf borderId="0" fillId="0" fontId="41" numFmtId="173" xfId="0" applyAlignment="1" applyFont="1" applyNumberFormat="1">
      <alignment horizontal="center" readingOrder="1" vertical="center"/>
    </xf>
    <xf borderId="13" fillId="24" fontId="12" numFmtId="0" xfId="0" applyAlignment="1" applyBorder="1" applyFill="1" applyFont="1">
      <alignment vertical="center"/>
    </xf>
    <xf borderId="13" fillId="24" fontId="12" numFmtId="164" xfId="0" applyAlignment="1" applyBorder="1" applyFont="1" applyNumberFormat="1">
      <alignment vertical="center"/>
    </xf>
    <xf borderId="1" fillId="24" fontId="12" numFmtId="0" xfId="0" applyAlignment="1" applyBorder="1" applyFont="1">
      <alignment vertical="center"/>
    </xf>
    <xf borderId="1" fillId="24" fontId="4" numFmtId="164" xfId="0" applyAlignment="1" applyBorder="1" applyFont="1" applyNumberFormat="1">
      <alignment vertical="center"/>
    </xf>
    <xf borderId="13" fillId="6" fontId="4" numFmtId="174" xfId="0" applyAlignment="1" applyBorder="1" applyFont="1" applyNumberFormat="1">
      <alignment vertical="center"/>
    </xf>
    <xf borderId="14" fillId="25" fontId="3" numFmtId="164" xfId="0" applyAlignment="1" applyBorder="1" applyFill="1" applyFont="1" applyNumberFormat="1">
      <alignment vertical="center"/>
    </xf>
    <xf borderId="13" fillId="4" fontId="22" numFmtId="0" xfId="0" applyAlignment="1" applyBorder="1" applyFont="1">
      <alignment vertical="center"/>
    </xf>
    <xf borderId="27" fillId="6" fontId="3" numFmtId="164" xfId="0" applyAlignment="1" applyBorder="1" applyFont="1" applyNumberFormat="1">
      <alignment vertical="center"/>
    </xf>
    <xf borderId="0" fillId="0" fontId="41" numFmtId="172" xfId="0" applyAlignment="1" applyFont="1" applyNumberFormat="1">
      <alignment horizontal="right" vertical="center"/>
    </xf>
    <xf borderId="27" fillId="6" fontId="4" numFmtId="164" xfId="0" applyAlignment="1" applyBorder="1" applyFont="1" applyNumberFormat="1">
      <alignment horizontal="center" vertical="center"/>
    </xf>
    <xf borderId="12" fillId="0" fontId="12" numFmtId="10" xfId="0" applyAlignment="1" applyBorder="1" applyFont="1" applyNumberFormat="1">
      <alignment vertical="center"/>
    </xf>
    <xf borderId="12" fillId="0" fontId="12" numFmtId="164" xfId="0" applyAlignment="1" applyBorder="1" applyFont="1" applyNumberFormat="1">
      <alignment vertical="center"/>
    </xf>
    <xf borderId="0" fillId="0" fontId="41" numFmtId="173" xfId="0" applyAlignment="1" applyFont="1" applyNumberFormat="1">
      <alignment horizontal="left" readingOrder="1" vertical="center"/>
    </xf>
    <xf borderId="28" fillId="6" fontId="3" numFmtId="0" xfId="0" applyAlignment="1" applyBorder="1" applyFont="1">
      <alignment vertical="center"/>
    </xf>
    <xf borderId="1" fillId="6" fontId="4" numFmtId="0" xfId="0" applyAlignment="1" applyBorder="1" applyFont="1">
      <alignment vertical="center"/>
    </xf>
    <xf borderId="29" fillId="6" fontId="3" numFmtId="164" xfId="0" applyAlignment="1" applyBorder="1" applyFont="1" applyNumberFormat="1">
      <alignment horizontal="left" vertical="center"/>
    </xf>
    <xf borderId="11" fillId="26" fontId="22" numFmtId="0" xfId="0" applyAlignment="1" applyBorder="1" applyFill="1" applyFont="1">
      <alignment vertical="center"/>
    </xf>
    <xf borderId="30" fillId="26" fontId="22" numFmtId="164" xfId="0" applyAlignment="1" applyBorder="1" applyFont="1" applyNumberFormat="1">
      <alignment vertical="center"/>
    </xf>
    <xf borderId="1" fillId="18" fontId="42" numFmtId="0" xfId="0" applyAlignment="1" applyBorder="1" applyFont="1">
      <alignment vertical="center"/>
    </xf>
    <xf borderId="1" fillId="6" fontId="3" numFmtId="0" xfId="0" applyAlignment="1" applyBorder="1" applyFont="1">
      <alignment vertical="center"/>
    </xf>
    <xf borderId="31" fillId="6" fontId="3" numFmtId="164" xfId="0" applyAlignment="1" applyBorder="1" applyFont="1" applyNumberFormat="1">
      <alignment vertical="center"/>
    </xf>
    <xf borderId="12" fillId="0" fontId="5" numFmtId="0" xfId="0" applyAlignment="1" applyBorder="1" applyFont="1">
      <alignment vertical="center"/>
    </xf>
    <xf borderId="12" fillId="0" fontId="7" numFmtId="164" xfId="0" applyAlignment="1" applyBorder="1" applyFont="1" applyNumberFormat="1">
      <alignment vertical="center"/>
    </xf>
    <xf borderId="12" fillId="0" fontId="5" numFmtId="164" xfId="0" applyAlignment="1" applyBorder="1" applyFont="1" applyNumberFormat="1">
      <alignment horizontal="left" vertical="center"/>
    </xf>
    <xf borderId="15" fillId="0" fontId="5" numFmtId="0" xfId="0" applyAlignment="1" applyBorder="1" applyFont="1">
      <alignment vertical="center"/>
    </xf>
    <xf borderId="15" fillId="0" fontId="5" numFmtId="164" xfId="0" applyAlignment="1" applyBorder="1" applyFont="1" applyNumberFormat="1">
      <alignment horizontal="left" vertical="center"/>
    </xf>
    <xf borderId="11" fillId="6" fontId="3" numFmtId="0" xfId="0" applyAlignment="1" applyBorder="1" applyFont="1">
      <alignment vertical="center"/>
    </xf>
    <xf borderId="30" fillId="6" fontId="4" numFmtId="164" xfId="0" applyAlignment="1" applyBorder="1" applyFont="1" applyNumberFormat="1">
      <alignment vertical="center"/>
    </xf>
    <xf borderId="1" fillId="7" fontId="22" numFmtId="0" xfId="0" applyAlignment="1" applyBorder="1" applyFont="1">
      <alignment vertical="center"/>
    </xf>
    <xf borderId="1" fillId="7" fontId="22" numFmtId="164" xfId="0" applyAlignment="1" applyBorder="1" applyFont="1" applyNumberFormat="1">
      <alignment vertical="center"/>
    </xf>
    <xf borderId="32" fillId="27" fontId="22" numFmtId="0" xfId="0" applyAlignment="1" applyBorder="1" applyFill="1" applyFont="1">
      <alignment vertical="center"/>
    </xf>
    <xf borderId="32" fillId="20" fontId="22" numFmtId="0" xfId="0" applyAlignment="1" applyBorder="1" applyFont="1">
      <alignment vertical="center"/>
    </xf>
    <xf borderId="33" fillId="20" fontId="22" numFmtId="164" xfId="0" applyAlignment="1" applyBorder="1" applyFont="1" applyNumberFormat="1">
      <alignment vertical="center"/>
    </xf>
    <xf borderId="13" fillId="6" fontId="4" numFmtId="0" xfId="0" applyAlignment="1" applyBorder="1" applyFont="1">
      <alignment vertical="center"/>
    </xf>
    <xf borderId="13" fillId="6" fontId="3" numFmtId="0" xfId="0" applyAlignment="1" applyBorder="1" applyFont="1">
      <alignment horizontal="left" vertical="center"/>
    </xf>
    <xf borderId="13" fillId="6" fontId="4" numFmtId="164" xfId="0" applyAlignment="1" applyBorder="1" applyFont="1" applyNumberFormat="1">
      <alignment horizontal="left" vertical="center"/>
    </xf>
    <xf borderId="13" fillId="6" fontId="4" numFmtId="0" xfId="0" applyAlignment="1" applyBorder="1" applyFont="1">
      <alignment horizontal="left" vertical="center"/>
    </xf>
    <xf borderId="31" fillId="6" fontId="4" numFmtId="164" xfId="0" applyAlignment="1" applyBorder="1" applyFont="1" applyNumberFormat="1">
      <alignment vertical="center"/>
    </xf>
    <xf borderId="11" fillId="6" fontId="4" numFmtId="0" xfId="0" applyAlignment="1" applyBorder="1" applyFont="1">
      <alignment vertical="center"/>
    </xf>
    <xf borderId="31" fillId="6" fontId="3" numFmtId="165" xfId="0" applyAlignment="1" applyBorder="1" applyFont="1" applyNumberFormat="1">
      <alignment vertical="center"/>
    </xf>
    <xf borderId="31" fillId="6" fontId="45" numFmtId="0" xfId="0" applyAlignment="1" applyBorder="1" applyFont="1">
      <alignment horizontal="left" vertical="center"/>
    </xf>
    <xf borderId="34" fillId="6" fontId="4" numFmtId="164" xfId="0" applyAlignment="1" applyBorder="1" applyFont="1" applyNumberFormat="1">
      <alignment vertical="center"/>
    </xf>
    <xf borderId="0" fillId="0" fontId="3" numFmtId="176" xfId="0" applyAlignment="1" applyFont="1" applyNumberFormat="1">
      <alignment vertical="center"/>
    </xf>
    <xf borderId="35" fillId="6" fontId="3" numFmtId="0" xfId="0" applyAlignment="1" applyBorder="1" applyFont="1">
      <alignment vertical="center"/>
    </xf>
    <xf borderId="36" fillId="6" fontId="4" numFmtId="0" xfId="0" applyAlignment="1" applyBorder="1" applyFont="1">
      <alignment vertical="center"/>
    </xf>
    <xf borderId="36" fillId="6" fontId="4" numFmtId="164" xfId="0" applyAlignment="1" applyBorder="1" applyFont="1" applyNumberFormat="1">
      <alignment horizontal="left" vertical="center"/>
    </xf>
    <xf borderId="36" fillId="6" fontId="3" numFmtId="164" xfId="0" applyAlignment="1" applyBorder="1" applyFont="1" applyNumberFormat="1">
      <alignment horizontal="left" vertical="center"/>
    </xf>
    <xf borderId="11" fillId="22" fontId="22" numFmtId="0" xfId="0" applyAlignment="1" applyBorder="1" applyFont="1">
      <alignment vertical="center"/>
    </xf>
    <xf borderId="37" fillId="22" fontId="22" numFmtId="164" xfId="0" applyAlignment="1" applyBorder="1" applyFont="1" applyNumberFormat="1">
      <alignment vertical="center"/>
    </xf>
    <xf borderId="37" fillId="28" fontId="22" numFmtId="164" xfId="0" applyAlignment="1" applyBorder="1" applyFill="1" applyFont="1" applyNumberFormat="1">
      <alignment vertical="center"/>
    </xf>
    <xf borderId="11" fillId="22" fontId="22" numFmtId="164" xfId="0" applyAlignment="1" applyBorder="1" applyFont="1" applyNumberFormat="1">
      <alignment vertical="center"/>
    </xf>
    <xf borderId="30" fillId="22" fontId="22" numFmtId="164" xfId="0" applyAlignment="1" applyBorder="1" applyFont="1" applyNumberFormat="1">
      <alignment vertical="center"/>
    </xf>
    <xf borderId="1" fillId="6" fontId="3" numFmtId="164" xfId="0" applyAlignment="1" applyBorder="1" applyFont="1" applyNumberFormat="1">
      <alignment vertical="center"/>
    </xf>
    <xf borderId="37" fillId="6" fontId="4" numFmtId="164" xfId="0" applyAlignment="1" applyBorder="1" applyFont="1" applyNumberFormat="1">
      <alignment vertical="center"/>
    </xf>
    <xf borderId="11" fillId="6" fontId="4" numFmtId="164" xfId="0" applyAlignment="1" applyBorder="1" applyFont="1" applyNumberFormat="1">
      <alignment vertical="center"/>
    </xf>
    <xf borderId="38" fillId="20" fontId="22" numFmtId="164" xfId="0" applyAlignment="1" applyBorder="1" applyFont="1" applyNumberFormat="1">
      <alignment vertical="center"/>
    </xf>
    <xf borderId="32" fillId="20" fontId="22" numFmtId="164" xfId="0" applyAlignment="1" applyBorder="1" applyFont="1" applyNumberFormat="1">
      <alignment vertical="center"/>
    </xf>
    <xf borderId="27" fillId="6" fontId="4" numFmtId="164" xfId="0" applyAlignment="1" applyBorder="1" applyFont="1" applyNumberFormat="1">
      <alignment vertical="center"/>
    </xf>
    <xf borderId="1" fillId="6" fontId="4" numFmtId="164" xfId="0" applyAlignment="1" applyBorder="1" applyFont="1" applyNumberFormat="1">
      <alignment vertical="center"/>
    </xf>
    <xf borderId="27" fillId="6" fontId="3" numFmtId="165" xfId="0" applyAlignment="1" applyBorder="1" applyFont="1" applyNumberFormat="1">
      <alignment vertical="center"/>
    </xf>
    <xf borderId="1" fillId="6" fontId="3" numFmtId="165" xfId="0" applyAlignment="1" applyBorder="1" applyFont="1" applyNumberFormat="1">
      <alignment vertical="center"/>
    </xf>
    <xf borderId="27" fillId="6" fontId="45" numFmtId="0" xfId="0" applyAlignment="1" applyBorder="1" applyFont="1">
      <alignment horizontal="left" vertical="center"/>
    </xf>
    <xf borderId="1" fillId="6" fontId="45" numFmtId="0" xfId="0" applyAlignment="1" applyBorder="1" applyFont="1">
      <alignment horizontal="left" vertical="center"/>
    </xf>
    <xf borderId="11" fillId="4" fontId="22" numFmtId="0" xfId="0" applyAlignment="1" applyBorder="1" applyFont="1">
      <alignment vertical="center"/>
    </xf>
    <xf borderId="37" fillId="4" fontId="22" numFmtId="164" xfId="0" applyAlignment="1" applyBorder="1" applyFont="1" applyNumberFormat="1">
      <alignment vertical="center"/>
    </xf>
    <xf borderId="11" fillId="4" fontId="22" numFmtId="164" xfId="0" applyAlignment="1" applyBorder="1" applyFont="1" applyNumberFormat="1">
      <alignment vertical="center"/>
    </xf>
    <xf borderId="30" fillId="4" fontId="22" numFmtId="164" xfId="0" applyAlignment="1" applyBorder="1" applyFont="1" applyNumberFormat="1">
      <alignment vertical="center"/>
    </xf>
    <xf borderId="27" fillId="15" fontId="22" numFmtId="164" xfId="0" applyAlignment="1" applyBorder="1" applyFont="1" applyNumberFormat="1">
      <alignment vertical="center"/>
    </xf>
    <xf borderId="1" fillId="15" fontId="22" numFmtId="164" xfId="0" applyAlignment="1" applyBorder="1" applyFont="1" applyNumberFormat="1">
      <alignment vertical="center"/>
    </xf>
    <xf borderId="31" fillId="15" fontId="22" numFmtId="164" xfId="0" applyAlignment="1" applyBorder="1" applyFont="1" applyNumberFormat="1">
      <alignment vertical="center"/>
    </xf>
    <xf borderId="39" fillId="6" fontId="3" numFmtId="0" xfId="0" applyAlignment="1" applyBorder="1" applyFont="1">
      <alignment vertical="center"/>
    </xf>
    <xf borderId="30" fillId="6" fontId="3" numFmtId="0" xfId="0" applyAlignment="1" applyBorder="1" applyFont="1">
      <alignment vertical="center"/>
    </xf>
    <xf borderId="1" fillId="29" fontId="3" numFmtId="0" xfId="0" applyAlignment="1" applyBorder="1" applyFill="1" applyFont="1">
      <alignment vertical="center"/>
    </xf>
    <xf borderId="1" fillId="29" fontId="3" numFmtId="164" xfId="0" applyAlignment="1" applyBorder="1" applyFont="1" applyNumberFormat="1">
      <alignment vertical="center"/>
    </xf>
    <xf borderId="31" fillId="29" fontId="3" numFmtId="164" xfId="0" applyAlignment="1" applyBorder="1" applyFont="1" applyNumberFormat="1">
      <alignment vertical="center"/>
    </xf>
    <xf borderId="40" fillId="0" fontId="3" numFmtId="164" xfId="0" applyAlignment="1" applyBorder="1" applyFont="1" applyNumberFormat="1">
      <alignment vertical="center"/>
    </xf>
    <xf borderId="41" fillId="0" fontId="3" numFmtId="164" xfId="0" applyAlignment="1" applyBorder="1" applyFont="1" applyNumberFormat="1">
      <alignment vertical="center"/>
    </xf>
    <xf borderId="42" fillId="2" fontId="22" numFmtId="167" xfId="0" applyAlignment="1" applyBorder="1" applyFont="1" applyNumberFormat="1">
      <alignment vertical="center"/>
    </xf>
    <xf borderId="42" fillId="2" fontId="9" numFmtId="167" xfId="0" applyAlignment="1" applyBorder="1" applyFont="1" applyNumberFormat="1">
      <alignment vertical="center"/>
    </xf>
    <xf borderId="42" fillId="2" fontId="22" numFmtId="0" xfId="0" applyAlignment="1" applyBorder="1" applyFont="1">
      <alignment horizontal="center" vertical="center"/>
    </xf>
    <xf borderId="42" fillId="2" fontId="9" numFmtId="0" xfId="0" applyAlignment="1" applyBorder="1" applyFont="1">
      <alignment horizontal="center" vertical="center"/>
    </xf>
    <xf borderId="42" fillId="2" fontId="22" numFmtId="164" xfId="0" applyAlignment="1" applyBorder="1" applyFont="1" applyNumberFormat="1">
      <alignment vertical="center"/>
    </xf>
    <xf borderId="43" fillId="0" fontId="4" numFmtId="167" xfId="0" applyAlignment="1" applyBorder="1" applyFont="1" applyNumberFormat="1">
      <alignment vertical="center"/>
    </xf>
    <xf borderId="43" fillId="0" fontId="3" numFmtId="167" xfId="0" applyAlignment="1" applyBorder="1" applyFont="1" applyNumberFormat="1">
      <alignment vertical="center"/>
    </xf>
    <xf borderId="43" fillId="0" fontId="4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center" vertical="center"/>
    </xf>
    <xf borderId="43" fillId="0" fontId="4" numFmtId="164" xfId="0" applyAlignment="1" applyBorder="1" applyFont="1" applyNumberFormat="1">
      <alignment vertical="center"/>
    </xf>
    <xf borderId="0" fillId="0" fontId="3" numFmtId="167" xfId="0" applyAlignment="1" applyFont="1" applyNumberFormat="1">
      <alignment horizontal="left" vertical="center"/>
    </xf>
    <xf borderId="44" fillId="30" fontId="4" numFmtId="167" xfId="0" applyAlignment="1" applyBorder="1" applyFill="1" applyFont="1" applyNumberFormat="1">
      <alignment vertical="center"/>
    </xf>
    <xf borderId="44" fillId="30" fontId="4" numFmtId="0" xfId="0" applyAlignment="1" applyBorder="1" applyFont="1">
      <alignment horizontal="center" vertical="center"/>
    </xf>
    <xf borderId="44" fillId="30" fontId="4" numFmtId="164" xfId="0" applyAlignment="1" applyBorder="1" applyFont="1" applyNumberFormat="1">
      <alignment vertical="center"/>
    </xf>
    <xf borderId="0" fillId="0" fontId="4" numFmtId="167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quotePrefix="1" borderId="1" fillId="2" fontId="9" numFmtId="164" xfId="0" applyAlignment="1" applyBorder="1" applyFont="1" applyNumberFormat="1">
      <alignment vertical="center"/>
    </xf>
    <xf borderId="1" fillId="2" fontId="9" numFmtId="165" xfId="0" applyAlignment="1" applyBorder="1" applyFont="1" applyNumberFormat="1">
      <alignment vertical="center"/>
    </xf>
    <xf borderId="1" fillId="16" fontId="3" numFmtId="0" xfId="0" applyAlignment="1" applyBorder="1" applyFont="1">
      <alignment vertical="center"/>
    </xf>
    <xf borderId="1" fillId="16" fontId="3" numFmtId="164" xfId="0" applyAlignment="1" applyBorder="1" applyFont="1" applyNumberFormat="1">
      <alignment vertical="center"/>
    </xf>
    <xf borderId="1" fillId="16" fontId="4" numFmtId="165" xfId="0" applyAlignment="1" applyBorder="1" applyFont="1" applyNumberFormat="1">
      <alignment vertical="center"/>
    </xf>
    <xf borderId="0" fillId="0" fontId="4" numFmtId="165" xfId="0" applyAlignment="1" applyFont="1" applyNumberFormat="1">
      <alignment vertical="center"/>
    </xf>
  </cellXfs>
  <cellStyles count="1">
    <cellStyle xfId="0" name="Normal" builtinId="0"/>
  </cellStyles>
  <dxfs count="7">
    <dxf>
      <font>
        <b/>
        <color rgb="FFC00000"/>
      </font>
      <fill>
        <patternFill patternType="none"/>
      </fill>
      <border/>
    </dxf>
    <dxf>
      <font>
        <b/>
        <color theme="0"/>
      </font>
      <fill>
        <patternFill patternType="solid">
          <fgColor rgb="FF5F497A"/>
          <bgColor rgb="FF5F497A"/>
        </patternFill>
      </fill>
      <border/>
    </dxf>
    <dxf>
      <font>
        <b/>
        <color theme="0"/>
      </font>
      <fill>
        <patternFill patternType="solid">
          <fgColor theme="8"/>
          <bgColor theme="8"/>
        </patternFill>
      </fill>
      <border/>
    </dxf>
    <dxf>
      <font>
        <b/>
        <color theme="0"/>
      </font>
      <fill>
        <patternFill patternType="solid">
          <fgColor rgb="FF7F7F7F"/>
          <bgColor rgb="FF7F7F7F"/>
        </patternFill>
      </fill>
      <border/>
    </dxf>
    <dxf>
      <font>
        <color rgb="FF9C0006"/>
      </font>
      <fill>
        <patternFill patternType="none"/>
      </fill>
      <border/>
    </dxf>
    <dxf>
      <font>
        <b/>
        <color theme="0"/>
      </font>
      <fill>
        <patternFill patternType="solid">
          <fgColor rgb="FFFF0066"/>
          <bgColor rgb="FFFF0066"/>
        </patternFill>
      </fill>
      <border/>
    </dxf>
    <dxf>
      <font>
        <b/>
        <color theme="0"/>
      </font>
      <fill>
        <patternFill patternType="solid">
          <fgColor rgb="FF3333FF"/>
          <bgColor rgb="FF3333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3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pivotCacheDefinition" Target="pivotCache/pivotCacheDefinition2.xml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10685294579034"/>
          <c:y val="0.049699134830368426"/>
          <c:w val="0.8652788918780335"/>
          <c:h val="0.9314659278701274"/>
        </c:manualLayout>
      </c:layout>
      <c:barChart>
        <c:barDir val="col"/>
        <c:ser>
          <c:idx val="0"/>
          <c:order val="0"/>
          <c:tx>
            <c:v>합계 : 누적차액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'변동비 집계'!$AF$4:$AF$56</c:f>
            </c:strRef>
          </c:cat>
          <c:val>
            <c:numRef>
              <c:f>'변동비 집계'!$AG$4:$AG$56</c:f>
              <c:numCache/>
            </c:numRef>
          </c:val>
        </c:ser>
        <c:axId val="883379745"/>
        <c:axId val="296053350"/>
      </c:barChart>
      <c:catAx>
        <c:axId val="883379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96053350"/>
      </c:catAx>
      <c:valAx>
        <c:axId val="296053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_);[Red]\(#,##0\)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883379745"/>
      </c:valAx>
    </c:plotArea>
    <c:legend>
      <c:legendPos val="r"/>
      <c:layout>
        <c:manualLayout>
          <c:xMode val="edge"/>
          <c:yMode val="edge"/>
          <c:x val="0.08577107689529426"/>
          <c:y val="0.07690458831534946"/>
        </c:manualLayout>
      </c:layout>
      <c:overlay val="0"/>
      <c:txPr>
        <a:bodyPr/>
        <a:lstStyle/>
        <a:p>
          <a:pPr lvl="0">
            <a:defRPr b="1" i="0" sz="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최대</c:v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'수락리버 매물'!$P$3:$P$18</c:f>
            </c:strRef>
          </c:cat>
          <c:val>
            <c:numRef>
              <c:f>'수락리버 매물'!$Q$3:$Q$18</c:f>
              <c:numCache/>
            </c:numRef>
          </c:val>
          <c:smooth val="0"/>
        </c:ser>
        <c:ser>
          <c:idx val="1"/>
          <c:order val="1"/>
          <c:tx>
            <c:v>최소</c:v>
          </c:tx>
          <c:spPr>
            <a:ln cmpd="sng" w="19050">
              <a:solidFill>
                <a:schemeClr val="accent3"/>
              </a:solidFill>
            </a:ln>
          </c:spPr>
          <c:marker>
            <c:symbol val="circle"/>
            <c:size val="4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'수락리버 매물'!$P$3:$P$18</c:f>
            </c:strRef>
          </c:cat>
          <c:val>
            <c:numRef>
              <c:f>'수락리버 매물'!$R$3:$R$18</c:f>
              <c:numCache/>
            </c:numRef>
          </c:val>
          <c:smooth val="0"/>
        </c:ser>
        <c:ser>
          <c:idx val="2"/>
          <c:order val="2"/>
          <c:tx>
            <c:v>평균</c:v>
          </c:tx>
          <c:spPr>
            <a:ln cmpd="sng" w="19050">
              <a:solidFill>
                <a:schemeClr val="accent5"/>
              </a:solidFill>
            </a:ln>
          </c:spPr>
          <c:marker>
            <c:symbol val="circle"/>
            <c:size val="4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'수락리버 매물'!$P$3:$P$18</c:f>
            </c:strRef>
          </c:cat>
          <c:val>
            <c:numRef>
              <c:f>'수락리버 매물'!$S$3:$S$18</c:f>
              <c:numCache/>
            </c:numRef>
          </c:val>
          <c:smooth val="0"/>
        </c:ser>
        <c:axId val="380022380"/>
        <c:axId val="2032747195"/>
      </c:lineChart>
      <c:catAx>
        <c:axId val="3800223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032747195"/>
      </c:catAx>
      <c:valAx>
        <c:axId val="2032747195"/>
        <c:scaling>
          <c:orientation val="minMax"/>
          <c:min val="35000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380022380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7</xdr:row>
      <xdr:rowOff>0</xdr:rowOff>
    </xdr:from>
    <xdr:ext cx="11106150" cy="7467600"/>
    <xdr:graphicFrame>
      <xdr:nvGraphicFramePr>
        <xdr:cNvPr id="10744728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16</xdr:row>
      <xdr:rowOff>0</xdr:rowOff>
    </xdr:from>
    <xdr:ext cx="11096625" cy="5029200"/>
    <xdr:graphicFrame>
      <xdr:nvGraphicFramePr>
        <xdr:cNvPr id="92362950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1393" sheet="지출내역"/>
  </cacheSource>
  <cacheFields>
    <cacheField name="날짜" numFmtId="167">
      <sharedItems containsDate="1" containsString="0" containsBlank="1">
        <d v="2022-03-31T00:00:00Z"/>
        <d v="2022-01-17T00:00:00Z"/>
        <d v="2022-06-20T00:00:00Z"/>
        <d v="2022-06-03T00:00:00Z"/>
        <d v="2022-07-02T00:00:00Z"/>
        <d v="2022-05-01T00:00:00Z"/>
        <d v="2022-02-28T00:00:00Z"/>
        <d v="2022-02-22T00:00:00Z"/>
        <d v="2022-01-01T00:00:00Z"/>
        <d v="2022-01-28T00:00:00Z"/>
        <d v="2022-08-22T00:00:00Z"/>
        <d v="2022-09-14T00:00:00Z"/>
        <d v="2022-04-15T00:00:00Z"/>
        <d v="2022-10-09T00:00:00Z"/>
        <d v="2022-05-08T00:00:00Z"/>
        <d v="2022-07-09T00:00:00Z"/>
        <d v="2022-02-23T00:00:00Z"/>
        <d v="2022-03-30T00:00:00Z"/>
        <d v="2022-07-06T00:00:00Z"/>
        <d v="2022-07-22T00:00:00Z"/>
        <d v="2022-05-06T00:00:00Z"/>
        <d v="2022-05-21T00:00:00Z"/>
        <d v="2022-07-31T00:00:00Z"/>
        <d v="2022-08-02T00:00:00Z"/>
        <d v="2022-06-11T00:00:00Z"/>
        <d v="2022-09-02T00:00:00Z"/>
        <d v="2022-11-08T00:00:00Z"/>
        <d v="2022-09-05T00:00:00Z"/>
        <d v="2022-12-21T00:00:00Z"/>
        <d v="2022-05-05T00:00:00Z"/>
        <d v="2022-09-09T00:00:00Z"/>
        <d v="2022-10-02T00:00:00Z"/>
        <d v="2022-07-30T00:00:00Z"/>
        <d v="2022-01-09T00:00:00Z"/>
        <d v="2022-12-04T00:00:00Z"/>
        <d v="2022-12-27T00:00:00Z"/>
        <d v="2022-01-23T00:00:00Z"/>
        <d v="2022-01-05T00:00:00Z"/>
        <d v="2022-02-07T00:00:00Z"/>
        <d v="2022-03-07T00:00:00Z"/>
        <d v="2022-12-20T00:00:00Z"/>
        <d v="2022-12-26T00:00:00Z"/>
        <d v="2022-04-05T00:00:00Z"/>
        <d v="2022-10-05T00:00:00Z"/>
        <d v="2022-06-07T00:00:00Z"/>
        <d v="2022-09-24T00:00:00Z"/>
        <d v="2022-07-05T00:00:00Z"/>
        <d v="2022-03-25T00:00:00Z"/>
        <d v="2022-08-05T00:00:00Z"/>
        <d v="2022-11-07T00:00:00Z"/>
        <d v="2022-12-05T00:00:00Z"/>
        <d v="2022-01-30T00:00:00Z"/>
        <d v="2022-01-25T00:00:00Z"/>
        <d v="2022-09-26T00:00:00Z"/>
        <d v="2022-11-21T00:00:00Z"/>
        <d v="2022-06-01T00:00:00Z"/>
        <d v="2022-08-25T00:00:00Z"/>
        <d v="2022-04-26T00:00:00Z"/>
        <d v="2022-07-12T00:00:00Z"/>
        <d v="2022-11-24T00:00:00Z"/>
        <d v="2022-10-25T00:00:00Z"/>
        <d v="2022-07-26T00:00:00Z"/>
        <d v="2022-05-25T00:00:00Z"/>
        <d v="2022-08-29T00:00:00Z"/>
        <d v="2022-01-02T00:00:00Z"/>
        <d v="2022-06-24T00:00:00Z"/>
        <d v="2022-02-15T00:00:00Z"/>
        <d v="2022-06-26T00:00:00Z"/>
        <d v="2022-08-18T00:00:00Z"/>
        <d v="2022-09-23T00:00:00Z"/>
        <d v="2022-03-04T00:00:00Z"/>
        <d v="2022-10-29T00:00:00Z"/>
        <d v="2022-11-26T00:00:00Z"/>
        <d v="2022-04-02T00:00:00Z"/>
        <d v="2022-04-21T00:00:00Z"/>
        <d v="2022-12-17T00:00:00Z"/>
        <d v="2022-10-15T00:00:00Z"/>
        <d v="2022-01-22T00:00:00Z"/>
        <d v="2022-02-17T00:00:00Z"/>
        <d v="2022-07-01T00:00:00Z"/>
        <d v="2022-01-14T00:00:00Z"/>
        <d v="2022-02-27T00:00:00Z"/>
        <d v="2022-03-23T00:00:00Z"/>
        <d v="2022-09-03T00:00:00Z"/>
        <d v="2022-12-10T00:00:00Z"/>
        <d v="2022-10-13T00:00:00Z"/>
        <d v="2022-07-20T00:00:00Z"/>
        <d v="2022-12-11T00:00:00Z"/>
        <d v="2022-07-17T00:00:00Z"/>
        <d v="2022-10-12T00:00:00Z"/>
        <d v="2022-08-16T00:00:00Z"/>
        <d v="2022-02-24T00:00:00Z"/>
        <d v="2022-03-18T00:00:00Z"/>
        <d v="2022-02-05T00:00:00Z"/>
        <d v="2022-02-25T00:00:00Z"/>
        <d v="2022-05-12T00:00:00Z"/>
        <d v="2022-06-17T00:00:00Z"/>
        <d v="2022-07-10T00:00:00Z"/>
        <d v="2022-06-06T00:00:00Z"/>
        <d v="2022-09-07T00:00:00Z"/>
        <d v="2022-03-05T00:00:00Z"/>
        <d v="2022-03-13T00:00:00Z"/>
        <d v="2022-05-28T00:00:00Z"/>
        <d v="2022-05-18T00:00:00Z"/>
        <d v="2022-05-22T00:00:00Z"/>
        <d v="2022-02-26T00:00:00Z"/>
        <d v="2022-02-18T00:00:00Z"/>
        <d v="2022-03-12T00:00:00Z"/>
        <d v="2022-12-30T00:00:00Z"/>
        <d v="2022-09-28T00:00:00Z"/>
        <d v="2022-09-22T00:00:00Z"/>
        <d v="2022-01-19T00:00:00Z"/>
        <d v="2022-03-28T00:00:00Z"/>
        <d v="2022-05-07T00:00:00Z"/>
        <d v="2022-06-19T00:00:00Z"/>
        <d v="2022-09-10T00:00:00Z"/>
        <d v="2022-12-13T00:00:00Z"/>
        <d v="2022-04-30T00:00:00Z"/>
        <d v="2022-05-14T00:00:00Z"/>
        <d v="2022-11-02T00:00:00Z"/>
        <d v="2022-08-15T00:00:00Z"/>
        <d v="2022-01-26T00:00:00Z"/>
        <d v="2022-02-02T00:00:00Z"/>
        <d v="2022-10-07T00:00:00Z"/>
        <d v="2022-11-01T00:00:00Z"/>
        <d v="2022-08-12T00:00:00Z"/>
        <d v="2022-02-20T00:00:00Z"/>
        <d v="2022-07-25T00:00:00Z"/>
        <d v="2022-10-11T00:00:00Z"/>
        <d v="2022-10-28T00:00:00Z"/>
        <d v="2022-04-23T00:00:00Z"/>
        <d v="2022-06-09T00:00:00Z"/>
        <d v="2022-11-04T00:00:00Z"/>
        <d v="2022-12-25T00:00:00Z"/>
        <d v="2022-01-12T00:00:00Z"/>
        <d v="2022-12-29T00:00:00Z"/>
        <d v="2022-08-27T00:00:00Z"/>
        <d v="2022-04-13T00:00:00Z"/>
        <d v="2022-08-13T00:00:00Z"/>
        <d v="2022-09-17T00:00:00Z"/>
        <d v="2022-07-18T00:00:00Z"/>
        <d v="2022-04-24T00:00:00Z"/>
        <d v="2022-12-03T00:00:00Z"/>
        <d v="2022-10-03T00:00:00Z"/>
        <d v="2022-09-04T00:00:00Z"/>
        <d v="2022-12-23T00:00:00Z"/>
        <d v="2022-12-01T00:00:00Z"/>
        <d v="2022-05-10T00:00:00Z"/>
        <d v="2022-12-08T00:00:00Z"/>
        <d v="2022-03-19T00:00:00Z"/>
        <d v="2022-02-11T00:00:00Z"/>
        <d v="2022-05-29T00:00:00Z"/>
        <d v="2022-08-08T00:00:00Z"/>
        <d v="2022-11-15T00:00:00Z"/>
        <d v="2022-02-19T00:00:00Z"/>
        <d v="2022-03-03T00:00:00Z"/>
        <d v="2022-04-20T00:00:00Z"/>
        <d v="2022-08-24T00:00:00Z"/>
        <d v="2022-12-19T00:00:00Z"/>
        <d v="2022-10-31T00:00:00Z"/>
        <d v="2022-10-22T00:00:00Z"/>
        <d v="2022-04-22T00:00:00Z"/>
        <d v="2022-06-18T00:00:00Z"/>
        <d v="2022-11-27T00:00:00Z"/>
        <d v="2022-03-20T00:00:00Z"/>
        <d v="2022-12-14T00:00:00Z"/>
        <d v="2022-11-11T00:00:00Z"/>
        <d v="2022-01-08T00:00:00Z"/>
        <d v="2022-04-08T00:00:00Z"/>
        <d v="2022-07-03T00:00:00Z"/>
        <d v="2022-08-10T00:00:00Z"/>
        <d v="2022-08-28T00:00:00Z"/>
        <d v="2022-06-14T00:00:00Z"/>
        <d v="2022-04-16T00:00:00Z"/>
        <d v="2022-12-12T00:00:00Z"/>
        <d v="2022-09-13T00:00:00Z"/>
        <d v="2022-02-14T00:00:00Z"/>
        <d v="2022-10-10T00:00:00Z"/>
        <d v="2022-03-09T00:00:00Z"/>
        <d v="2022-10-23T00:00:00Z"/>
        <d v="2022-06-22T00:00:00Z"/>
        <d v="2022-06-08T00:00:00Z"/>
        <d v="2022-12-28T00:00:00Z"/>
        <d v="2022-04-19T00:00:00Z"/>
        <d v="2022-11-25T00:00:00Z"/>
        <d v="2022-01-11T00:00:00Z"/>
        <d v="2022-03-11T00:00:00Z"/>
        <d v="2022-04-11T00:00:00Z"/>
        <d v="2022-05-11T00:00:00Z"/>
        <d v="2022-06-13T00:00:00Z"/>
        <d v="2022-07-11T00:00:00Z"/>
        <d v="2022-08-11T00:00:00Z"/>
        <d v="2022-11-18T00:00:00Z"/>
        <d v="2022-01-10T00:00:00Z"/>
        <d v="2022-04-17T00:00:00Z"/>
        <d v="2022-03-01T00:00:00Z"/>
        <d v="2022-09-08T00:00:00Z"/>
        <d v="2022-10-30T00:00:00Z"/>
        <d v="2022-11-17T00:00:00Z"/>
        <d v="2022-04-27T00:00:00Z"/>
        <d v="2022-02-08T00:00:00Z"/>
        <d v="2022-07-24T00:00:00Z"/>
        <d v="2022-10-24T00:00:00Z"/>
        <d v="2022-10-01T00:00:00Z"/>
        <d v="2022-12-02T00:00:00Z"/>
        <d v="2022-01-31T00:00:00Z"/>
        <d v="2022-08-17T00:00:00Z"/>
        <d v="2022-09-25T00:00:00Z"/>
        <d v="2022-10-18T00:00:00Z"/>
        <d v="2022-05-15T00:00:00Z"/>
        <d v="2022-08-21T00:00:00Z"/>
        <d v="2022-03-08T00:00:00Z"/>
        <d v="2022-04-18T00:00:00Z"/>
        <d v="2022-04-03T00:00:00Z"/>
        <d v="2022-08-07T00:00:00Z"/>
        <d v="2022-11-05T00:00:00Z"/>
        <d v="2022-12-18T00:00:00Z"/>
        <d v="2022-05-19T00:00:00Z"/>
        <d v="2022-05-26T00:00:00Z"/>
        <d v="2022-06-15T00:00:00Z"/>
        <d v="2022-09-01T00:00:00Z"/>
        <d v="2022-02-16T00:00:00Z"/>
        <d v="2022-05-04T00:00:00Z"/>
        <d v="2022-07-27T00:00:00Z"/>
        <d v="2022-01-27T00:00:00Z"/>
        <d v="2022-08-23T00:00:00Z"/>
        <d v="2022-07-16T00:00:00Z"/>
        <d v="2022-03-29T00:00:00Z"/>
        <d v="2022-01-18T00:00:00Z"/>
        <d v="2022-12-22T00:00:00Z"/>
        <d v="2022-02-13T00:00:00Z"/>
        <d v="2022-01-03T00:00:00Z"/>
        <d v="2022-09-16T00:00:00Z"/>
        <d v="2022-06-12T00:00:00Z"/>
        <d v="2022-11-10T00:00:00Z"/>
        <d v="2022-09-12T00:00:00Z"/>
        <d v="2022-01-15T00:00:00Z"/>
        <d v="2022-09-30T00:00:00Z"/>
        <d v="2022-04-09T00:00:00Z"/>
        <d v="2022-03-06T00:00:00Z"/>
        <d v="2022-07-23T00:00:00Z"/>
        <d v="2022-09-15T00:00:00Z"/>
        <d v="2022-04-01T00:00:00Z"/>
        <d v="2022-08-30T00:00:00Z"/>
        <d v="2022-08-06T00:00:00Z"/>
        <d v="2022-11-09T00:00:00Z"/>
        <d v="2022-06-10T00:00:00Z"/>
        <d v="2022-12-06T00:00:00Z"/>
        <d v="2022-12-07T00:00:00Z"/>
        <d v="2022-09-18T00:00:00Z"/>
        <d v="2022-08-04T00:00:00Z"/>
        <d v="2022-08-01T00:00:00Z"/>
        <d v="2022-01-21T00:00:00Z"/>
        <d v="2022-07-08T00:00:00Z"/>
        <d v="2022-10-08T00:00:00Z"/>
        <d v="2022-01-16T00:00:00Z"/>
        <d v="2022-07-07T00:00:00Z"/>
        <d v="2022-02-12T00:00:00Z"/>
        <d v="2022-11-06T00:00:00Z"/>
        <d v="2022-06-25T00:00:00Z"/>
        <d v="2022-02-04T00:00:00Z"/>
        <d v="2022-08-20T00:00:00Z"/>
        <d v="2022-05-02T00:00:00Z"/>
        <d v="2022-03-26T00:00:00Z"/>
        <d v="2022-04-28T00:00:00Z"/>
        <d v="2022-06-04T00:00:00Z"/>
        <d v="2022-11-19T00:00:00Z"/>
        <d v="2022-06-30T00:00:00Z"/>
        <d v="2022-10-21T00:00:00Z"/>
        <d v="2022-05-30T00:00:00Z"/>
        <d v="2022-04-25T00:00:00Z"/>
        <d v="2022-03-27T00:00:00Z"/>
        <d v="2022-11-30T00:00:00Z"/>
        <d v="2022-04-04T00:00:00Z"/>
        <d v="2022-05-23T00:00:00Z"/>
        <d v="2022-12-31T00:00:00Z"/>
        <d v="2022-02-10T00:00:00Z"/>
        <d v="2022-12-15T00:00:00Z"/>
        <d v="2022-06-05T00:00:00Z"/>
        <d v="2022-02-06T00:00:00Z"/>
        <d v="2022-11-22T00:00:00Z"/>
        <d v="2022-09-11T00:00:00Z"/>
        <d v="2022-11-13T00:00:00Z"/>
        <d v="2022-08-31T00:00:00Z"/>
        <d v="2022-02-01T00:00:00Z"/>
        <d v="2022-06-28T00:00:00Z"/>
        <d v="2022-05-31T00:00:00Z"/>
        <d v="2022-05-13T00:00:00Z"/>
        <d v="2022-12-09T00:00:00Z"/>
        <d v="2022-08-03T00:00:00Z"/>
        <d v="2022-10-17T00:00:00Z"/>
        <d v="2022-10-14T00:00:00Z"/>
        <d v="2022-07-04T00:00:00Z"/>
        <d v="2022-04-10T00:00:00Z"/>
        <d v="2022-03-16T00:00:00Z"/>
        <d v="2022-09-27T00:00:00Z"/>
        <d v="2022-11-23T00:00:00Z"/>
        <d v="2022-06-27T00:00:00Z"/>
        <d v="2022-08-26T00:00:00Z"/>
        <d v="2022-10-26T00:00:00Z"/>
        <d v="2022-11-28T00:00:00Z"/>
        <d v="2022-12-24T00:00:00Z"/>
        <d v="2022-11-14T00:00:00Z"/>
        <d v="2022-03-15T00:00:00Z"/>
        <d v="2022-01-20T00:00:00Z"/>
        <d v="2022-01-13T00:00:00Z"/>
        <d v="2022-03-02T00:00:00Z"/>
        <d v="2022-03-14T00:00:00Z"/>
        <d v="2022-03-17T00:00:00Z"/>
        <d v="2022-05-16T00:00:00Z"/>
        <d v="2022-09-21T00:00:00Z"/>
        <d v="2022-03-10T00:00:00Z"/>
        <d v="2022-08-19T00:00:00Z"/>
        <d v="2022-07-19T00:00:00Z"/>
        <d v="2022-06-21T00:00:00Z"/>
        <d v="2022-04-14T00:00:00Z"/>
        <d v="2022-10-20T00:00:00Z"/>
        <d v="2022-09-20T00:00:00Z"/>
        <d v="2022-07-15T00:00:00Z"/>
        <d v="2022-01-06T00:00:00Z"/>
        <d v="2022-01-07T00:00:00Z"/>
        <d v="2022-05-27T00:00:00Z"/>
        <d v="2022-07-28T00:00:00Z"/>
        <d v="2022-12-16T00:00:00Z"/>
        <d v="2022-05-24T00:00:00Z"/>
        <d v="2022-02-21T00:00:00Z"/>
        <d v="2022-07-13T00:00:00Z"/>
        <d v="2022-02-03T00:00:00Z"/>
        <d v="2022-11-16T00:00:00Z"/>
        <d v="2022-10-27T00:00:00Z"/>
        <d v="2022-11-12T00:00:00Z"/>
        <d v="2022-06-29T00:00:00Z"/>
        <d v="2022-04-06T00:00:00Z"/>
        <d v="2022-08-14T00:00:00Z"/>
        <d v="2022-04-29T00:00:00Z"/>
        <d v="2022-05-20T00:00:00Z"/>
        <d v="2022-05-03T00:00:00Z"/>
        <d v="2022-05-09T00:00:00Z"/>
        <m/>
      </sharedItems>
    </cacheField>
    <cacheField name="월" numFmtId="168">
      <sharedItems containsDate="1" containsString="0" containsBlank="1">
        <d v="2022-03-01T00:00:00Z"/>
        <d v="2022-01-01T00:00:00Z"/>
        <d v="2022-06-01T00:00:00Z"/>
        <d v="2022-07-01T00:00:00Z"/>
        <d v="2022-05-01T00:00:00Z"/>
        <d v="2022-02-01T00:00:00Z"/>
        <d v="2022-08-01T00:00:00Z"/>
        <d v="2022-09-01T00:00:00Z"/>
        <d v="2022-04-01T00:00:00Z"/>
        <d v="2022-10-01T00:00:00Z"/>
        <d v="2022-11-01T00:00:00Z"/>
        <d v="2022-12-01T00:00:00Z"/>
        <m/>
      </sharedItems>
    </cacheField>
    <cacheField name="요일" numFmtId="169">
      <sharedItems containsString="0" containsBlank="1" containsNumber="1" containsInteger="1">
        <n v="44651.0"/>
        <n v="44578.0"/>
        <n v="44732.0"/>
        <n v="44715.0"/>
        <n v="44744.0"/>
        <n v="44682.0"/>
        <n v="44620.0"/>
        <n v="44614.0"/>
        <n v="44562.0"/>
        <n v="44589.0"/>
        <n v="44795.0"/>
        <n v="44818.0"/>
        <n v="44666.0"/>
        <n v="44843.0"/>
        <n v="44689.0"/>
        <n v="44751.0"/>
        <n v="44615.0"/>
        <n v="44650.0"/>
        <n v="44748.0"/>
        <n v="44764.0"/>
        <n v="44687.0"/>
        <n v="44702.0"/>
        <n v="44773.0"/>
        <n v="44775.0"/>
        <n v="44723.0"/>
        <n v="44806.0"/>
        <n v="44873.0"/>
        <n v="44809.0"/>
        <n v="44916.0"/>
        <n v="44686.0"/>
        <n v="44813.0"/>
        <n v="44836.0"/>
        <n v="44772.0"/>
        <n v="44570.0"/>
        <n v="44899.0"/>
        <n v="44922.0"/>
        <n v="44584.0"/>
        <n v="44566.0"/>
        <n v="44599.0"/>
        <n v="44627.0"/>
        <n v="44915.0"/>
        <n v="44921.0"/>
        <n v="44656.0"/>
        <n v="44839.0"/>
        <n v="44719.0"/>
        <n v="44828.0"/>
        <n v="44747.0"/>
        <n v="44645.0"/>
        <n v="44778.0"/>
        <n v="44872.0"/>
        <n v="44900.0"/>
        <n v="44591.0"/>
        <n v="44586.0"/>
        <n v="44830.0"/>
        <n v="44886.0"/>
        <n v="44713.0"/>
        <n v="44798.0"/>
        <n v="44677.0"/>
        <n v="44754.0"/>
        <n v="44889.0"/>
        <n v="44859.0"/>
        <n v="44768.0"/>
        <n v="44706.0"/>
        <n v="44802.0"/>
        <n v="44563.0"/>
        <n v="44736.0"/>
        <n v="44607.0"/>
        <n v="44738.0"/>
        <n v="44791.0"/>
        <n v="44827.0"/>
        <n v="44624.0"/>
        <n v="44863.0"/>
        <n v="44891.0"/>
        <n v="44653.0"/>
        <n v="44672.0"/>
        <n v="44912.0"/>
        <n v="44849.0"/>
        <n v="44583.0"/>
        <n v="44609.0"/>
        <n v="44743.0"/>
        <n v="44575.0"/>
        <n v="44619.0"/>
        <n v="44643.0"/>
        <n v="44807.0"/>
        <n v="44905.0"/>
        <n v="44847.0"/>
        <n v="44762.0"/>
        <n v="44906.0"/>
        <n v="44759.0"/>
        <n v="44846.0"/>
        <n v="44789.0"/>
        <n v="44616.0"/>
        <n v="44638.0"/>
        <n v="44597.0"/>
        <n v="44617.0"/>
        <n v="44693.0"/>
        <n v="44729.0"/>
        <n v="44752.0"/>
        <n v="44718.0"/>
        <n v="44811.0"/>
        <n v="44625.0"/>
        <n v="44633.0"/>
        <n v="44709.0"/>
        <n v="44699.0"/>
        <n v="44703.0"/>
        <n v="44618.0"/>
        <n v="44610.0"/>
        <n v="44632.0"/>
        <n v="44925.0"/>
        <n v="44832.0"/>
        <n v="44826.0"/>
        <n v="44580.0"/>
        <n v="44648.0"/>
        <n v="44688.0"/>
        <n v="44731.0"/>
        <n v="44814.0"/>
        <n v="44908.0"/>
        <n v="44681.0"/>
        <n v="44695.0"/>
        <n v="44867.0"/>
        <n v="44788.0"/>
        <n v="44587.0"/>
        <n v="44594.0"/>
        <n v="44841.0"/>
        <n v="44866.0"/>
        <n v="44785.0"/>
        <n v="44612.0"/>
        <n v="44767.0"/>
        <n v="44845.0"/>
        <n v="44862.0"/>
        <n v="44674.0"/>
        <n v="44721.0"/>
        <n v="44869.0"/>
        <n v="44920.0"/>
        <n v="44573.0"/>
        <n v="44924.0"/>
        <n v="44800.0"/>
        <n v="44664.0"/>
        <n v="44786.0"/>
        <n v="44821.0"/>
        <n v="44760.0"/>
        <n v="44675.0"/>
        <n v="44898.0"/>
        <n v="44837.0"/>
        <n v="44808.0"/>
        <n v="44918.0"/>
        <n v="44896.0"/>
        <n v="44691.0"/>
        <n v="44903.0"/>
        <n v="44639.0"/>
        <n v="44603.0"/>
        <n v="44710.0"/>
        <n v="44781.0"/>
        <n v="44880.0"/>
        <n v="44611.0"/>
        <n v="44623.0"/>
        <n v="44671.0"/>
        <n v="44797.0"/>
        <n v="44914.0"/>
        <n v="44865.0"/>
        <n v="44856.0"/>
        <n v="44673.0"/>
        <n v="44730.0"/>
        <n v="44892.0"/>
        <n v="44640.0"/>
        <n v="44909.0"/>
        <n v="44876.0"/>
        <n v="44569.0"/>
        <n v="44659.0"/>
        <n v="44745.0"/>
        <n v="44783.0"/>
        <n v="44801.0"/>
        <n v="44726.0"/>
        <n v="44667.0"/>
        <n v="44907.0"/>
        <n v="44817.0"/>
        <n v="44606.0"/>
        <n v="44844.0"/>
        <n v="44629.0"/>
        <n v="44857.0"/>
        <n v="44734.0"/>
        <n v="44720.0"/>
        <n v="44923.0"/>
        <n v="44670.0"/>
        <n v="44890.0"/>
        <n v="44572.0"/>
        <n v="44631.0"/>
        <n v="44662.0"/>
        <n v="44692.0"/>
        <n v="44725.0"/>
        <n v="44753.0"/>
        <n v="44784.0"/>
        <n v="44883.0"/>
        <n v="44571.0"/>
        <n v="44668.0"/>
        <n v="44621.0"/>
        <n v="44812.0"/>
        <n v="44864.0"/>
        <n v="44882.0"/>
        <n v="44678.0"/>
        <n v="44600.0"/>
        <n v="44766.0"/>
        <n v="44858.0"/>
        <n v="44835.0"/>
        <n v="44897.0"/>
        <n v="44592.0"/>
        <n v="44790.0"/>
        <n v="44829.0"/>
        <n v="44852.0"/>
        <n v="44696.0"/>
        <n v="44794.0"/>
        <n v="44628.0"/>
        <n v="44669.0"/>
        <n v="44654.0"/>
        <n v="44780.0"/>
        <n v="44870.0"/>
        <n v="44913.0"/>
        <n v="44700.0"/>
        <n v="44707.0"/>
        <n v="44727.0"/>
        <n v="44805.0"/>
        <n v="44608.0"/>
        <n v="44685.0"/>
        <n v="44769.0"/>
        <n v="44588.0"/>
        <n v="44796.0"/>
        <n v="44758.0"/>
        <n v="44649.0"/>
        <n v="44579.0"/>
        <n v="44917.0"/>
        <n v="44605.0"/>
        <n v="44564.0"/>
        <n v="44820.0"/>
        <n v="44724.0"/>
        <n v="44875.0"/>
        <n v="44816.0"/>
        <n v="44576.0"/>
        <n v="44834.0"/>
        <n v="44660.0"/>
        <n v="44626.0"/>
        <n v="44765.0"/>
        <n v="44819.0"/>
        <n v="44652.0"/>
        <n v="44803.0"/>
        <n v="44779.0"/>
        <n v="44874.0"/>
        <n v="44722.0"/>
        <n v="44901.0"/>
        <n v="44902.0"/>
        <n v="44822.0"/>
        <n v="44777.0"/>
        <n v="44774.0"/>
        <n v="44582.0"/>
        <n v="44750.0"/>
        <n v="44842.0"/>
        <n v="44577.0"/>
        <n v="44749.0"/>
        <n v="44604.0"/>
        <n v="44871.0"/>
        <n v="44737.0"/>
        <n v="44596.0"/>
        <n v="44793.0"/>
        <n v="44683.0"/>
        <n v="44646.0"/>
        <n v="44679.0"/>
        <n v="44716.0"/>
        <n v="44884.0"/>
        <n v="44742.0"/>
        <n v="44855.0"/>
        <n v="44711.0"/>
        <n v="44676.0"/>
        <n v="44647.0"/>
        <n v="44895.0"/>
        <n v="44655.0"/>
        <n v="44704.0"/>
        <n v="44926.0"/>
        <n v="44602.0"/>
        <n v="44910.0"/>
        <n v="44717.0"/>
        <n v="44598.0"/>
        <n v="44887.0"/>
        <n v="44815.0"/>
        <n v="44878.0"/>
        <n v="44804.0"/>
        <n v="44593.0"/>
        <n v="44740.0"/>
        <n v="44712.0"/>
        <n v="44694.0"/>
        <n v="44904.0"/>
        <n v="44776.0"/>
        <n v="44851.0"/>
        <n v="44848.0"/>
        <n v="44746.0"/>
        <n v="44661.0"/>
        <n v="44636.0"/>
        <n v="44831.0"/>
        <n v="44888.0"/>
        <n v="44739.0"/>
        <n v="44799.0"/>
        <n v="44860.0"/>
        <n v="44893.0"/>
        <n v="44919.0"/>
        <n v="44879.0"/>
        <n v="44635.0"/>
        <n v="44581.0"/>
        <n v="44574.0"/>
        <n v="44622.0"/>
        <n v="44634.0"/>
        <n v="44637.0"/>
        <n v="44697.0"/>
        <n v="44825.0"/>
        <n v="44630.0"/>
        <n v="44792.0"/>
        <n v="44761.0"/>
        <n v="44733.0"/>
        <n v="44665.0"/>
        <n v="44854.0"/>
        <n v="44824.0"/>
        <n v="44757.0"/>
        <n v="44567.0"/>
        <n v="44568.0"/>
        <n v="44708.0"/>
        <n v="44770.0"/>
        <n v="44911.0"/>
        <n v="44705.0"/>
        <n v="44613.0"/>
        <n v="44755.0"/>
        <n v="44595.0"/>
        <n v="44881.0"/>
        <n v="44861.0"/>
        <n v="44877.0"/>
        <n v="44741.0"/>
        <n v="44657.0"/>
        <n v="44787.0"/>
        <n v="44680.0"/>
        <n v="44701.0"/>
        <n v="44684.0"/>
        <n v="44690.0"/>
        <m/>
      </sharedItems>
    </cacheField>
    <cacheField name="주" numFmtId="0">
      <sharedItems containsString="0" containsBlank="1" containsNumber="1" containsInteger="1">
        <n v="14.0"/>
        <n v="4.0"/>
        <n v="26.0"/>
        <n v="23.0"/>
        <n v="27.0"/>
        <n v="19.0"/>
        <n v="10.0"/>
        <n v="9.0"/>
        <n v="1.0"/>
        <n v="5.0"/>
        <n v="35.0"/>
        <n v="38.0"/>
        <n v="16.0"/>
        <n v="42.0"/>
        <n v="20.0"/>
        <n v="28.0"/>
        <n v="30.0"/>
        <n v="21.0"/>
        <n v="32.0"/>
        <n v="24.0"/>
        <n v="36.0"/>
        <n v="46.0"/>
        <n v="37.0"/>
        <n v="52.0"/>
        <n v="41.0"/>
        <n v="31.0"/>
        <n v="3.0"/>
        <n v="50.0"/>
        <n v="53.0"/>
        <n v="2.0"/>
        <n v="7.0"/>
        <n v="11.0"/>
        <n v="15.0"/>
        <n v="39.0"/>
        <n v="13.0"/>
        <n v="6.0"/>
        <n v="40.0"/>
        <n v="48.0"/>
        <n v="18.0"/>
        <n v="29.0"/>
        <n v="44.0"/>
        <n v="22.0"/>
        <n v="8.0"/>
        <n v="34.0"/>
        <n v="17.0"/>
        <n v="51.0"/>
        <n v="12.0"/>
        <n v="25.0"/>
        <n v="45.0"/>
        <n v="33.0"/>
        <n v="49.0"/>
        <n v="47.0"/>
        <n v="43.0"/>
        <m/>
      </sharedItems>
    </cacheField>
    <cacheField name="분류" numFmtId="0">
      <sharedItems containsBlank="1">
        <s v="대출상환"/>
        <s v="고정비"/>
        <s v="여행공연비"/>
        <s v="변동비"/>
        <m/>
      </sharedItems>
    </cacheField>
    <cacheField name="내역" numFmtId="0">
      <sharedItems containsBlank="1">
        <s v="주택담보대출 원금"/>
        <s v="교육비"/>
        <s v="비품 및 수선유지비"/>
        <s v="해외여행"/>
        <s v="취미"/>
        <s v="문경"/>
        <s v="기타구매"/>
        <s v="예비비"/>
        <s v="보험"/>
        <s v="주택담보대출 이자"/>
        <s v="의료/건강"/>
        <s v="관리비"/>
        <s v="식비"/>
        <s v="의류"/>
        <s v="경조사비"/>
        <s v="미용"/>
        <s v="세금"/>
        <s v="자동차운행"/>
        <s v="국내여행"/>
        <s v="외식비"/>
        <s v="모임비"/>
        <s v="교통비"/>
        <s v="담배"/>
        <s v="통신비"/>
        <s v="출근식대"/>
        <s v="브랜디식대"/>
        <s v="커피"/>
        <s v="렌탈비"/>
        <m/>
      </sharedItems>
    </cacheField>
    <cacheField name="결제수단" numFmtId="0">
      <sharedItems containsBlank="1">
        <s v="현금"/>
        <s v="카드"/>
        <m/>
      </sharedItems>
    </cacheField>
    <cacheField name=" 금액" numFmtId="164">
      <sharedItems containsString="0" containsBlank="1" containsNumber="1">
        <n v="6200000.0"/>
        <n v="3700000.0"/>
        <n v="3000000.0"/>
        <n v="2800000.0"/>
        <n v="2400000.0"/>
        <n v="2350000.0"/>
        <n v="2200000.0"/>
        <n v="2040000.0"/>
        <n v="2000000.0"/>
        <n v="1800000.0"/>
        <n v="1750014.0"/>
        <n v="1580000.0"/>
        <n v="1500000.0"/>
        <n v="1480000.0"/>
        <n v="1200000.0"/>
        <n v="1139720.0"/>
        <n v="1100000.0"/>
        <n v="1080800.0"/>
        <n v="1007589.0"/>
        <n v="1000000.0"/>
        <n v="900000.0"/>
        <n v="811500.0"/>
        <n v="740000.0"/>
        <n v="705124.0"/>
        <n v="700000.0"/>
        <n v="626727.0"/>
        <n v="600000.0"/>
        <n v="596750.0"/>
        <n v="501764.0"/>
        <n v="484300.0"/>
        <n v="479790.0"/>
        <n v="459580.0"/>
        <n v="439110.0"/>
        <n v="431400.0"/>
        <n v="412140.0"/>
        <n v="397447.0"/>
        <n v="388335.0"/>
        <n v="386928.0"/>
        <n v="382839.0"/>
        <n v="369137.0"/>
        <n v="355655.0"/>
        <n v="350000.0"/>
        <n v="348000.0"/>
        <n v="339797.0"/>
        <n v="330531.0"/>
        <n v="323211.0"/>
        <n v="318850.0"/>
        <n v="318530.0"/>
        <n v="317651.0"/>
        <n v="314960.0"/>
        <n v="313100.0"/>
        <n v="308863.0"/>
        <n v="308050.0"/>
        <n v="306282.0"/>
        <n v="303139.0"/>
        <n v="301922.0"/>
        <n v="301305.3417384112"/>
        <n v="300000.0"/>
        <n v="298730.0"/>
        <n v="289451.0"/>
        <n v="286070.0"/>
        <n v="284490.0"/>
        <n v="280138.0"/>
        <n v="270560.0"/>
        <n v="269254.0"/>
        <n v="269050.0"/>
        <n v="268858.0"/>
        <n v="263520.0"/>
        <n v="261800.0"/>
        <n v="256893.0"/>
        <n v="256297.0"/>
        <n v="249986.0"/>
        <n v="246777.0"/>
        <n v="244991.9438830683"/>
        <n v="244375.0"/>
        <n v="237260.0"/>
        <n v="220170.0"/>
        <n v="219930.0"/>
        <n v="215430.0"/>
        <n v="215200.0"/>
        <n v="214740.0"/>
        <n v="209560.0"/>
        <n v="206910.0"/>
        <n v="206010.0"/>
        <n v="205500.0"/>
        <n v="202570.0"/>
        <n v="200000.0"/>
        <n v="195000.0"/>
        <n v="190007.0"/>
        <n v="189820.0"/>
        <n v="180000.0"/>
        <n v="178470.0"/>
        <n v="163449.0"/>
        <n v="162200.0"/>
        <n v="160000.0"/>
        <n v="153880.0"/>
        <n v="153112.0"/>
        <n v="151130.0"/>
        <n v="150160.0"/>
        <n v="147640.0"/>
        <n v="144380.0"/>
        <n v="136395.0"/>
        <n v="135000.0"/>
        <n v="133590.0"/>
        <n v="132100.0"/>
        <n v="129210.0"/>
        <n v="128020.0"/>
        <n v="125980.0"/>
        <n v="125000.0"/>
        <n v="120000.0"/>
        <n v="117720.0"/>
        <n v="117501.0"/>
        <n v="116740.0"/>
        <n v="115320.0"/>
        <n v="113763.0"/>
        <n v="110000.0"/>
        <n v="108300.0"/>
        <n v="106000.0"/>
        <n v="105755.0"/>
        <n v="105300.0"/>
        <n v="105150.0"/>
        <n v="103500.0"/>
        <n v="100000.0"/>
        <n v="99225.0"/>
        <n v="99000.0"/>
        <n v="98800.0"/>
        <n v="97890.0"/>
        <n v="97200.0"/>
        <n v="97000.0"/>
        <n v="96000.0"/>
        <n v="94770.0"/>
        <n v="92530.0"/>
        <n v="92068.2"/>
        <n v="90000.0"/>
        <n v="88000.0"/>
        <n v="86920.0"/>
        <n v="86408.0"/>
        <n v="85500.0"/>
        <n v="85000.0"/>
        <n v="81800.0"/>
        <n v="81000.0"/>
        <n v="80140.0"/>
        <n v="79900.0"/>
        <n v="79800.0"/>
        <n v="79550.0"/>
        <n v="77560.0"/>
        <n v="77000.0"/>
        <n v="76500.0"/>
        <n v="76000.0"/>
        <n v="74300.0"/>
        <n v="73700.0"/>
        <n v="73377.0"/>
        <n v="73000.0"/>
        <n v="72010.0"/>
        <n v="71630.0"/>
        <n v="71015.0"/>
        <n v="70588.0"/>
        <n v="70080.0"/>
        <n v="70000.0"/>
        <n v="69860.0"/>
        <n v="69474.0"/>
        <n v="69230.0"/>
        <n v="69000.0"/>
        <n v="68400.0"/>
        <n v="68080.0"/>
        <n v="68000.0"/>
        <n v="66936.0"/>
        <n v="65793.0"/>
        <n v="65094.0"/>
        <n v="65000.0"/>
        <n v="64200.0"/>
        <n v="63920.0"/>
        <n v="63000.0"/>
        <n v="62060.0"/>
        <n v="62000.0"/>
        <n v="60660.0"/>
        <n v="60000.0"/>
        <n v="59940.0"/>
        <n v="59886.0"/>
        <n v="59673.0"/>
        <n v="59000.0"/>
        <n v="58000.0"/>
        <n v="57700.0"/>
        <n v="57250.0"/>
        <n v="56940.0"/>
        <n v="56800.0"/>
        <n v="56700.0"/>
        <n v="56050.0"/>
        <n v="55600.0"/>
        <n v="55325.0"/>
        <n v="55300.0"/>
        <n v="55000.0"/>
        <n v="54513.0"/>
        <n v="54300.0"/>
        <n v="54100.0"/>
        <n v="53840.0"/>
        <n v="53690.0"/>
        <n v="53394.0"/>
        <n v="53370.0"/>
        <n v="52900.0"/>
        <n v="52650.0"/>
        <n v="52596.0"/>
        <n v="52061.0"/>
        <n v="52028.0"/>
        <n v="52000.0"/>
        <n v="51769.0"/>
        <n v="51720.0"/>
        <n v="51247.0"/>
        <n v="51120.0"/>
        <n v="51088.0"/>
        <n v="51000.0"/>
        <n v="50882.0"/>
        <n v="50724.0"/>
        <n v="50500.0"/>
        <n v="50400.0"/>
        <n v="50360.0"/>
        <n v="50051.0"/>
        <n v="50000.0"/>
        <n v="49900.0"/>
        <n v="49500.0"/>
        <n v="49000.0"/>
        <n v="48840.0"/>
        <n v="48656.0"/>
        <n v="48600.0"/>
        <n v="48400.0"/>
        <n v="48000.0"/>
        <n v="47550.0"/>
        <n v="47500.0"/>
        <n v="47440.0"/>
        <n v="47300.0"/>
        <n v="47175.0"/>
        <n v="47140.0"/>
        <n v="47000.0"/>
        <n v="46800.0"/>
        <n v="46458.0"/>
        <n v="46420.0"/>
        <n v="46270.0"/>
        <n v="46160.0"/>
        <n v="46140.0"/>
        <n v="46000.0"/>
        <n v="45760.0"/>
        <n v="45652.0"/>
        <n v="45364.0"/>
        <n v="45360.0"/>
        <n v="45260.0"/>
        <n v="45198.0"/>
        <n v="45000.0"/>
        <n v="44950.0"/>
        <n v="44700.0"/>
        <n v="44550.0"/>
        <n v="44000.0"/>
        <n v="43902.0"/>
        <n v="43650.0"/>
        <n v="43630.0"/>
        <n v="43500.0"/>
        <n v="43263.0"/>
        <n v="43000.0"/>
        <n v="42747.0"/>
        <n v="42533.0"/>
        <n v="42346.0"/>
        <n v="42220.0"/>
        <n v="42200.0"/>
        <n v="42190.0"/>
        <n v="42000.0"/>
        <n v="41904.0"/>
        <n v="41500.0"/>
        <n v="41472.0"/>
        <n v="40900.0"/>
        <n v="40800.0"/>
        <n v="40500.0"/>
        <n v="40480.0"/>
        <n v="40000.0"/>
        <n v="39689.0"/>
        <n v="39600.0"/>
        <n v="39502.0"/>
        <n v="39360.0"/>
        <n v="39092.0"/>
        <n v="39000.0"/>
        <n v="38900.0"/>
        <n v="38700.0"/>
        <n v="38502.0"/>
        <n v="38500.0"/>
        <n v="38000.0"/>
        <n v="37910.0"/>
        <n v="37850.0"/>
        <n v="37760.0"/>
        <n v="37700.0"/>
        <n v="37000.0"/>
        <n v="36900.0"/>
        <n v="36660.0"/>
        <n v="36640.0"/>
        <n v="36540.0"/>
        <n v="36333.0"/>
        <n v="36322.0"/>
        <n v="36000.0"/>
        <n v="35800.0"/>
        <n v="35640.0"/>
        <n v="35525.0"/>
        <n v="35500.0"/>
        <n v="35410.0"/>
        <n v="35210.0"/>
        <n v="35100.0"/>
        <n v="35000.0"/>
        <n v="34900.0"/>
        <n v="34840.0"/>
        <n v="34819.0"/>
        <n v="34780.0"/>
        <n v="34340.0"/>
        <n v="34310.0"/>
        <n v="34276.0"/>
        <n v="34200.0"/>
        <n v="34140.0"/>
        <n v="34000.0"/>
        <n v="33956.0"/>
        <n v="33768.0"/>
        <n v="33750.0"/>
        <n v="33400.0"/>
        <n v="33210.0"/>
        <n v="33200.0"/>
        <n v="33080.0"/>
        <n v="33078.0"/>
        <n v="33000.0"/>
        <n v="32900.0"/>
        <n v="32875.0"/>
        <n v="32850.0"/>
        <n v="32840.0"/>
        <n v="32670.0"/>
        <n v="32400.0"/>
        <n v="32280.0"/>
        <n v="32200.0"/>
        <n v="32100.0"/>
        <n v="32080.0"/>
        <n v="32000.0"/>
        <n v="31920.0"/>
        <n v="31820.0"/>
        <n v="31621.0"/>
        <n v="31520.0"/>
        <n v="31500.0"/>
        <n v="31390.0"/>
        <n v="31360.0"/>
        <n v="31320.0"/>
        <n v="31200.0"/>
        <n v="31172.0"/>
        <n v="31131.0"/>
        <n v="31080.0"/>
        <n v="31000.0"/>
        <n v="30964.0"/>
        <n v="30600.0"/>
        <n v="30500.0"/>
        <n v="30463.0"/>
        <n v="30300.0"/>
        <n v="30150.0"/>
        <n v="30000.0"/>
        <n v="29913.0"/>
        <n v="29760.0"/>
        <n v="29700.0"/>
        <n v="29500.0"/>
        <n v="29331.0"/>
        <n v="29000.0"/>
        <n v="28900.0"/>
        <n v="28800.0"/>
        <n v="28773.0"/>
        <n v="28740.0"/>
        <n v="28700.0"/>
        <n v="28600.0"/>
        <n v="28400.0"/>
        <n v="28150.0"/>
        <n v="28114.0"/>
        <n v="28000.0"/>
        <n v="27900.0"/>
        <n v="27500.0"/>
        <n v="27400.0"/>
        <n v="27300.0"/>
        <n v="27090.0"/>
        <n v="27030.0"/>
        <n v="27000.0"/>
        <n v="26700.0"/>
        <n v="26650.0"/>
        <n v="26600.0"/>
        <n v="26500.0"/>
        <n v="26243.0"/>
        <n v="26090.0"/>
        <n v="26000.0"/>
        <n v="25983.0"/>
        <n v="25800.0"/>
        <n v="25720.0"/>
        <n v="25543.0"/>
        <n v="25492.0"/>
        <n v="25380.0"/>
        <n v="25330.0"/>
        <n v="25200.0"/>
        <n v="25100.0"/>
        <n v="25030.0"/>
        <n v="25000.0"/>
        <n v="24930.0"/>
        <n v="24800.0"/>
        <n v="24570.0"/>
        <n v="24500.0"/>
        <n v="24400.0"/>
        <n v="24340.0"/>
        <n v="24310.0"/>
        <n v="24300.0"/>
        <n v="24246.0"/>
        <n v="24180.0"/>
        <n v="24160.0"/>
        <n v="24024.0"/>
        <n v="24000.0"/>
        <n v="23990.0"/>
        <n v="23900.0"/>
        <n v="23830.0"/>
        <n v="23530.0"/>
        <n v="23490.0"/>
        <n v="23400.0"/>
        <n v="23360.0"/>
        <n v="23270.0"/>
        <n v="23260.0"/>
        <n v="23230.0"/>
        <n v="23220.0"/>
        <n v="23004.0"/>
        <n v="23000.0"/>
        <n v="22938.0"/>
        <n v="22890.0"/>
        <n v="22790.0"/>
        <n v="22700.0"/>
        <n v="22680.0"/>
        <n v="22558.0"/>
        <n v="22518.0"/>
        <n v="22500.0"/>
        <n v="22390.0"/>
        <n v="22240.0"/>
        <n v="22140.0"/>
        <n v="22000.0"/>
        <n v="21990.0"/>
        <n v="21900.0"/>
        <n v="21880.0"/>
        <n v="21802.0"/>
        <n v="21789.0"/>
        <n v="21600.0"/>
        <n v="21500.0"/>
        <n v="21490.0"/>
        <n v="21400.0"/>
        <n v="21370.0"/>
        <n v="21300.0"/>
        <n v="21250.0"/>
        <n v="21231.0"/>
        <n v="21230.0"/>
        <n v="21060.0"/>
        <n v="21037.0"/>
        <n v="21000.0"/>
        <n v="20900.0"/>
        <n v="20860.0"/>
        <n v="20848.0"/>
        <n v="20835.0"/>
        <n v="20800.0"/>
        <n v="20709.0"/>
        <n v="20700.0"/>
        <n v="20670.0"/>
        <n v="20500.0"/>
        <n v="20420.0"/>
        <n v="20250.0"/>
        <n v="20230.0"/>
        <n v="20212.0"/>
        <n v="20124.0"/>
        <n v="20110.0"/>
        <n v="20000.0"/>
        <n v="19920.0"/>
        <n v="19900.0"/>
        <n v="19800.0"/>
        <n v="19791.0"/>
        <n v="19750.0"/>
        <n v="19650.0"/>
        <n v="19500.0"/>
        <n v="19440.0"/>
        <n v="19413.0"/>
        <n v="19409.0"/>
        <n v="19350.0"/>
        <n v="19323.0"/>
        <n v="19260.0"/>
        <n v="19160.0"/>
        <n v="19140.0"/>
        <n v="19100.0"/>
        <n v="19071.0"/>
        <n v="19000.0"/>
        <n v="18945.0"/>
        <n v="18936.0"/>
        <n v="18800.0"/>
        <n v="18747.0"/>
        <n v="18600.0"/>
        <n v="18500.0"/>
        <n v="18360.0"/>
        <n v="18329.0"/>
        <n v="18243.0"/>
        <n v="18000.0"/>
        <n v="17950.0"/>
        <n v="17946.0"/>
        <n v="17928.0"/>
        <n v="17880.0"/>
        <n v="17850.0"/>
        <n v="17840.0"/>
        <n v="17800.0"/>
        <n v="17750.0"/>
        <n v="17575.0"/>
        <n v="17500.0"/>
        <n v="17400.0"/>
        <n v="17300.0"/>
        <n v="17100.0"/>
        <n v="17060.0"/>
        <n v="17000.0"/>
        <n v="16992.0"/>
        <n v="16973.0"/>
        <n v="16784.0"/>
        <n v="16710.0"/>
        <n v="16595.0"/>
        <n v="16530.0"/>
        <n v="16392.0"/>
        <n v="16200.0"/>
        <n v="16150.0"/>
        <n v="16136.0"/>
        <n v="16000.0"/>
        <n v="15995.0"/>
        <n v="15940.0"/>
        <n v="15840.0"/>
        <n v="15670.0"/>
        <n v="15500.0"/>
        <n v="15400.0"/>
        <n v="15379.0"/>
        <n v="15300.0"/>
        <n v="15250.0"/>
        <n v="15210.0"/>
        <n v="15200.0"/>
        <n v="15120.0"/>
        <n v="15000.0"/>
        <n v="14820.0"/>
        <n v="14800.0"/>
        <n v="14693.0"/>
        <n v="14500.0"/>
        <n v="14490.0"/>
        <n v="14482.0"/>
        <n v="14448.0"/>
        <n v="14380.0"/>
        <n v="14364.0"/>
        <n v="14319.0"/>
        <n v="14260.0"/>
        <n v="14238.0"/>
        <n v="14170.0"/>
        <n v="14100.0"/>
        <n v="14080.0"/>
        <n v="14048.0"/>
        <n v="14000.0"/>
        <n v="13970.0"/>
        <n v="13880.0"/>
        <n v="13840.0"/>
        <n v="13760.0"/>
        <n v="13500.0"/>
        <n v="13381.0"/>
        <n v="13310.0"/>
        <n v="13300.0"/>
        <n v="13143.0"/>
        <n v="12999.0"/>
        <n v="12940.0"/>
        <n v="12920.0"/>
        <n v="12900.0"/>
        <n v="12870.0"/>
        <n v="12825.0"/>
        <n v="12800.0"/>
        <n v="12780.0"/>
        <n v="12580.0"/>
        <n v="12576.0"/>
        <n v="12500.0"/>
        <n v="12428.0"/>
        <n v="12320.0"/>
        <n v="12150.0"/>
        <n v="12130.0"/>
        <n v="11970.0"/>
        <n v="11880.0"/>
        <n v="11820.0"/>
        <n v="11810.0"/>
        <n v="11800.0"/>
        <n v="11781.0"/>
        <n v="11700.0"/>
        <n v="11583.0"/>
        <n v="11519.0"/>
        <n v="11400.0"/>
        <n v="11280.0"/>
        <n v="11258.0"/>
        <n v="11250.0"/>
        <n v="11210.0"/>
        <n v="11200.0"/>
        <n v="11180.0"/>
        <n v="11100.0"/>
        <n v="11060.0"/>
        <n v="11040.0"/>
        <n v="11000.0"/>
        <n v="10900.0"/>
        <n v="10802.0"/>
        <n v="10800.0"/>
        <n v="10737.0"/>
        <n v="10700.0"/>
        <n v="10600.0"/>
        <n v="10570.0"/>
        <n v="10538.0"/>
        <n v="10500.0"/>
        <n v="10450.0"/>
        <n v="10440.0"/>
        <n v="10270.0"/>
        <n v="10260.0"/>
        <n v="10100.0"/>
        <n v="10071.0"/>
        <n v="10000.0"/>
        <n v="9900.0"/>
        <n v="9850.0"/>
        <n v="9800.0"/>
        <n v="9750.0"/>
        <n v="9716.0"/>
        <n v="9680.0"/>
        <n v="9600.0"/>
        <n v="9540.0"/>
        <n v="9500.0"/>
        <n v="9450.0"/>
        <n v="9262.0"/>
        <n v="9160.0"/>
        <n v="9100.0"/>
        <n v="9090.0"/>
        <n v="9080.0"/>
        <n v="9000.0"/>
        <n v="8860.0"/>
        <n v="8800.0"/>
        <n v="8789.0"/>
        <n v="8710.0"/>
        <n v="8614.0"/>
        <n v="8600.0"/>
        <n v="8590.0"/>
        <n v="8580.0"/>
        <n v="8550.0"/>
        <n v="8535.0"/>
        <n v="8460.0"/>
        <n v="8400.0"/>
        <n v="8300.0"/>
        <n v="8290.0"/>
        <n v="8200.0"/>
        <n v="8181.0"/>
        <n v="8100.0"/>
        <n v="8020.0"/>
        <n v="8000.0"/>
        <n v="7940.0"/>
        <n v="7900.0"/>
        <n v="7800.0"/>
        <n v="7760.0"/>
        <n v="7650.0"/>
        <n v="7600.0"/>
        <n v="7570.0"/>
        <n v="7500.0"/>
        <n v="7490.0"/>
        <n v="7450.0"/>
        <n v="7320.0"/>
        <n v="7263.0"/>
        <n v="7145.0"/>
        <n v="7110.0"/>
        <n v="7005.0"/>
        <n v="7000.0"/>
        <n v="6990.0"/>
        <n v="6830.0"/>
        <n v="6800.0"/>
        <n v="6778.0"/>
        <n v="6750.0"/>
        <n v="6740.0"/>
        <n v="6720.0"/>
        <n v="6640.0"/>
        <n v="6600.0"/>
        <n v="6500.0"/>
        <n v="6480.0"/>
        <n v="6422.0"/>
        <n v="6420.0"/>
        <n v="6400.0"/>
        <n v="6300.0"/>
        <n v="6170.0"/>
        <n v="6100.0"/>
        <n v="6090.0"/>
        <n v="6030.0"/>
        <n v="6000.0"/>
        <n v="5930.0"/>
        <n v="5900.0"/>
        <n v="5862.0"/>
        <n v="5670.0"/>
        <n v="5650.0"/>
        <n v="5625.0"/>
        <n v="5580.0"/>
        <n v="5520.0"/>
        <n v="5500.0"/>
        <n v="5480.0"/>
        <n v="5406.0"/>
        <n v="5400.0"/>
        <n v="5379.0"/>
        <n v="5360.0"/>
        <n v="5310.0"/>
        <n v="5300.0"/>
        <n v="5273.0"/>
        <n v="5200.0"/>
        <n v="5080.0"/>
        <n v="5072.0"/>
        <n v="5000.0"/>
        <n v="4990.0"/>
        <n v="4980.0"/>
        <n v="4960.0"/>
        <n v="4950.0"/>
        <n v="4900.0"/>
        <n v="4890.0"/>
        <n v="4830.0"/>
        <n v="4800.0"/>
        <n v="4750.0"/>
        <n v="4500.0"/>
        <n v="4450.0"/>
        <n v="4400.0"/>
        <n v="4345.0"/>
        <n v="4337.0"/>
        <n v="4275.0"/>
        <n v="4200.0"/>
        <n v="4180.0"/>
        <n v="4100.0"/>
        <n v="4080.0"/>
        <n v="4050.0"/>
        <n v="4010.0"/>
        <n v="4000.0"/>
        <n v="3980.0"/>
        <n v="3940.0"/>
        <n v="3900.0"/>
        <n v="3895.0"/>
        <n v="3870.0"/>
        <n v="3800.0"/>
        <n v="3780.0"/>
        <n v="3775.0"/>
        <n v="3735.0"/>
        <n v="3700.0"/>
        <n v="3690.0"/>
        <n v="3605.0"/>
        <n v="3600.0"/>
        <n v="3501.0"/>
        <n v="3500.0"/>
        <n v="3485.0"/>
        <n v="3480.0"/>
        <n v="3450.0"/>
        <n v="3400.0"/>
        <n v="3312.0"/>
        <n v="3300.0"/>
        <n v="3230.0"/>
        <n v="3200.0"/>
        <n v="3194.0"/>
        <n v="3170.0"/>
        <n v="3150.0"/>
        <n v="3100.0"/>
        <n v="3097.0"/>
        <n v="3000.0"/>
        <n v="2950.0"/>
        <n v="2900.0"/>
        <n v="2880.0"/>
        <n v="2800.0"/>
        <n v="2700.0"/>
        <n v="2534.0"/>
        <n v="2500.0"/>
        <n v="2490.0"/>
        <n v="2480.0"/>
        <n v="2469.0"/>
        <n v="2410.0"/>
        <n v="2324.0"/>
        <n v="2300.0"/>
        <n v="2282.0"/>
        <n v="2280.0"/>
        <n v="2250.0"/>
        <n v="2200.0"/>
        <n v="2158.0"/>
        <n v="2100.0"/>
        <n v="2000.0"/>
        <n v="1995.0"/>
        <n v="1805.0"/>
        <n v="1710.0"/>
        <n v="1622.0"/>
        <n v="1615.0"/>
        <n v="1600.0"/>
        <n v="1543.0"/>
        <n v="1520.0"/>
        <n v="1500.0"/>
        <n v="1425.0"/>
        <n v="1421.0"/>
        <n v="1328.0"/>
        <n v="1247.0"/>
        <n v="1200.0"/>
        <n v="1100.0"/>
        <n v="1081.0"/>
        <n v="1044.0"/>
        <n v="1015.0"/>
        <n v="1000.0"/>
        <n v="700.0"/>
        <n v="491.0"/>
        <n v="448.0"/>
        <n v="400.0"/>
        <n v="298.0"/>
        <n v="250.0"/>
        <n v="110.0"/>
        <n v="83.0"/>
        <n v="72.0"/>
        <n v="0.0"/>
        <m/>
      </sharedItems>
    </cacheField>
    <cacheField name=" 작성자" numFmtId="164">
      <sharedItems containsBlank="1">
        <s v=" p"/>
        <s v=" L"/>
        <m/>
      </sharedItems>
    </cacheField>
    <cacheField name="비고" numFmtId="0">
      <sharedItems containsBlank="1">
        <s v="중도상환"/>
        <m/>
        <s v="대학원 등록금"/>
        <s v="롯데온: 맥북에어M1"/>
        <s v="에어서울 : 서울-나트랑 왕복 2인"/>
        <s v="제주항공: 인천-보홀 왕복 2인"/>
        <s v="네이버: 고고다이브 프리다이빙 초급강습"/>
        <s v="트리플 : 나트랑 아미아나 리조트 3박"/>
        <s v="아고다: 사우스팜 디럭스풀뷰(2/1/~2/4)"/>
        <s v="양가 어버이날 용돈"/>
        <s v="양가용돈"/>
        <s v="고프로 gopro.com GoPro Hero 11 Black Bundle : $411.70"/>
        <s v="$600 환전 (VND 5260k 29만원에 당근거래)"/>
        <s v="롯데홈쇼핑: 애플워치7 41mm"/>
        <s v="하이마트: 애플워치7 45mm(L포인트 48430 사용)"/>
        <s v="DB 다이렉트 자동차보험"/>
        <s v="세계주류마켓 : 가야BDM 99, 하트랜드+브로켈 32, 몬테스알파 26.5 x 2, 프레시넷 12.9, 몬테스M+라피우벨 199, 끌로뒤발+이니스프리 92"/>
        <s v="티몬: 인텔 i5 12400F 엘더레이크 정품 2개"/>
        <s v="달러 환전($300)"/>
        <s v="건강검진"/>
        <s v="녹십자 아이메드 강북의원 : 건강검진"/>
        <s v="하이버: GIGABYTE B660M AORUS PRO D4 2개"/>
        <s v="아고다: 헤난 알로나 2박($216.31)"/>
        <s v="아고다: 헤난 타왈라 2박($225.08)"/>
        <s v="명절 용돈"/>
        <s v="코스트코"/>
        <s v="티몬: 비스포크 슬림 무선 청소기(엄마 생신선물)"/>
        <s v="하이마트: bose tv speaker"/>
        <s v="트리플 : 쉐라톤 나트랑 2박"/>
        <s v="롯데백화점: ANDZ 자켓"/>
        <s v="쿠팡: 전동칫솔 소닉케어"/>
        <s v="조양마트 와인구입(모바일 온누리 상품권)"/>
        <s v="네이버쇼핑: 샌디스크 SSD Ultra 3D 2TB"/>
        <s v="현중이 결혼식"/>
        <s v="도봉 에이바헤어 선결제"/>
        <s v="리안헤어 선결제"/>
        <s v="하이버: 갤럭시워치4(매봉)"/>
        <s v="재산세(주택)"/>
        <s v="문경 초계한우 : 온누리사랑상품권 "/>
        <s v="자동차정비(노원사랑상품권)"/>
        <s v="11번가: PM9A1 M2 NVMe 병행수입(512GB) 2개"/>
        <s v="롯데마트"/>
        <s v="파주프리미엄아울렛 : 콜럼비아 패딩, 경량패딩"/>
        <s v="이마트(상품권 5,000원 사용)"/>
        <s v="코스트코 온라인: 와인셀러, 탄산수(M포인트 38,278사용)"/>
        <s v="하이마트: 삼성 외장SSD T7 Shield 1TB"/>
        <s v="아고다: 전주 라한호텔(4/22-23)"/>
        <s v="안지민헤어샵 펌"/>
        <s v="자동차세 연납"/>
        <s v="쿠팡: 일렉트로룩스 청소기(WQ61-1OGG)"/>
        <s v="서울-전주 KTX 예매(4/22 출발)"/>
        <s v="선두외과의원 급성충수염수술 입원비(우체국실비 1,133,770원 환급)"/>
        <s v="더케이몰: AT APPLITE 3.0S SPINNER 71/27 캐리어"/>
        <s v="포천 갈비1987"/>
        <s v="굿데이컴퍼니 - 응온갤러리 랍스터 뷔페"/>
        <s v="탑텐몰: 청바지, 셔츠, 스커트"/>
        <s v="이마트 민락"/>
        <s v="나트랑 아미아나 리조트 저녁식사+머드스파(VND 2000k)"/>
        <s v="부림인텍(테크노마트): BOSE 오디오 수리"/>
        <s v="파주프리미엄아울렛: 아디다스 자켓, 슬리퍼, 레깅스"/>
        <s v="무의도 자연휴양림 1박"/>
        <s v="통영 포르투나 호텔 1박"/>
        <s v="메이콴 도봉"/>
        <s v="윤석이 개원 축하 화분 : 꽃집청년들"/>
        <s v="조의금(정미쌤 모친상)"/>
        <s v="부장회비"/>
        <s v="동문회비"/>
        <s v="전선영(재천삼촌 딸) 결혼"/>
        <s v="최재식 결혼"/>
        <s v="주유비"/>
        <s v="오늘회: 킹크랩 2kg"/>
        <s v="롯데온: 추석선물(홍삼)"/>
        <s v="롯데마트 장암"/>
        <s v="midasB 옷구매"/>
        <s v="터치유어바디 : 잘로 베스"/>
        <s v="민락 이마트(지류상품권 6,000원 사용)"/>
        <s v="이마트 의정부점"/>
        <s v="iHerb Muscletech, Nitro Tech, 100% 유청 골드, 더블 리치 초콜릿, 2.28kg(5.03lbs) + iherb 셰이커볼"/>
        <s v="젠틀맨세차장 민락 스팀세차+발수코팅"/>
        <s v="옥션 : 에어프라이어 422 요리는장비빨 AF6L9L (화이트)"/>
        <s v="르노삼성중계: 엔진오일, 와이퍼 교체(노원사랑상품권)"/>
        <s v="고대산 자연휴양림 1박(11/4)"/>
        <s v="파주프리미엄아울렛: 콜럼비아 플리스 자켓 *2"/>
        <s v="롯데온: 정관장 다보록 감사휘편 2개"/>
        <s v="오늘회: 대게 2kg"/>
        <s v="의정부 탑텐 청바지 2"/>
        <s v="롯데마트중계 탑텐 청바지"/>
        <s v="아이픽스: 아이폰 배터리교체*2(노원사랑상품권)"/>
        <s v="상훈 수락산, 노래방/버니니"/>
        <s v="민락 밀회관"/>
        <s v="롯데홈쇼핑: 나이키스윔  스카이 스트라이프 레이서백 28, 카밀 핸드크림"/>
        <s v="하이마트: ddr4 16gb"/>
        <s v="나트랑 아미아나 리조트 마사지 60분(VND 1240k)"/>
        <s v="교통범칙금 - 신호위반"/>
        <s v="축의금(박시연선생님)"/>
        <s v="롯데마트: 육수한알, 고춧가루 등"/>
        <s v="쿠팡: 전기포트"/>
        <s v="돈사돈"/>
        <s v="스시웨이(노원사랑상품권)"/>
        <s v="iHerb 마그네슘,아연,비오틴,루테인,프로폴리스, $결제 1200원기준계산"/>
        <s v="나트랑 센스파(VND 1134k)"/>
        <s v="깡통돌곱창 의정부점"/>
        <s v="장안동 송학수산"/>
        <s v="전주 한국집"/>
        <s v="정원e샵, 종가집 포기김치 5kg X 2ea"/>
        <s v="희진연지 삼성역 바락"/>
        <s v="송화양꼬치"/>
        <s v="네이버 : 이하연 포기김치 5KG(포인트5,114 사용)"/>
        <s v="iherb, now foods 칼슘 및 마그네슘 250, 21st 종합비타민 300, california gold nutrition 프로폴리스 2x 500mg 240, california gold nutrition 루테인 10mg 120"/>
        <s v="속초 - 한화리조트 설악 별관 디럭스룸"/>
        <s v="강경불고기"/>
        <s v="상훈 : 수락산 미가솥뚜껑"/>
        <s v="쿠팡: LA갈비 1.5kg, 돈가스"/>
        <s v="이마트(상품권 90,000원 사용)"/>
        <s v="네이버쇼핑: 자전거페달"/>
        <s v="한국화훼농협"/>
        <s v="롯데홈쇼핑- 크리니크수분크림(125ml+75ml)"/>
        <s v="롯데온: PC Cooler Paladin 400 2개(네이버포인트 1355 사용)"/>
        <s v="고래섬다찌"/>
        <s v="쿠팡: 햇반 36개, 우유, 닭갈비, 요거트"/>
        <s v="쿠팡"/>
        <s v="하이패스"/>
        <s v="롯데홈쇼핑: 락토핏 유산균 7통(적립금 7500 사용)"/>
        <s v="롯데온: 넥시 NX-U3TH324 변환 컨버터"/>
        <s v="옥션 : 차바이오 유산균 6ea"/>
        <s v="쿠팡: 리챔 120g*36개"/>
        <s v="네이버: 트러플오일(네이버포인트 1919사용)"/>
        <s v="위메프: 어도비"/>
        <s v="의정부 깡통돌곱창"/>
        <s v="쿠팡: 신발냄새제거제, 선글라스, 검가드"/>
        <s v="베이킹스쿨: 식빵틀, 머핀틀, 마들렌틀, 이스트 등"/>
        <s v="쿠팡: 이불세트*2"/>
        <s v="브랜디"/>
        <s v="쿠팡: 샴푸, 클렌징폼"/>
        <s v="쿠팡: 버터, 치즈, 우유, 고구마, 대패 삼겹살, 냉동대파"/>
        <s v="네이버페이 : 햄토피아 쥐밥"/>
        <s v="쿠팡: 물걸레청소기"/>
        <s v="중원(노원사랑상품권)"/>
        <s v="SSG: 니콘 충전배터리 EN-EL 15b"/>
        <s v="ST백승희 부친상"/>
        <s v="김해연 선생님 부친상"/>
        <s v="과학실무사님 자녀 결혼"/>
        <s v="한석종님 부친상"/>
        <s v="모리 이자까야"/>
        <s v="황상원 선생님 축의금"/>
        <s v="의정부역 아이엠 네이쳐 (태국음식점) - 그냥 그랬음"/>
        <s v="오복진미생선찜"/>
        <s v="모란칡냉면"/>
        <s v="청정원 이벤트 제세공과금(LG틔움 미니)"/>
        <s v="쿠팡: 참치, 햇반"/>
        <s v="의정부지역화폐"/>
        <s v="네이버 : 스쿠버프로 애프니아 스노클 x 2"/>
        <s v="일산 K플라워"/>
        <s v="프리다이빙 연습반(다이빙풀 입장료+핀, 수트 대여)"/>
        <s v="롯데마트: 골든퀸 10kg"/>
        <s v="이니스프리"/>
        <s v="Hmall: 닥터 브로너스 바디워시*2"/>
        <s v="수락산 족발야시장"/>
        <s v="양주 사랑채 돼지갈비"/>
        <s v="네이버플러스 연간 이용권"/>
        <s v="만원집(의정부지역화폐)"/>
        <s v="춘천 - 장호숯불닭갈비"/>
        <s v="프리다이빙 연습반(다이빙풀 입장료+핀 대여)"/>
        <s v="CJ더마켓: 사골곰탕*10, 전복내장영양밥*2, 치킨마요덮밥*2, 중화짬뽕, 왕교자, 특설렁탕, 함박스테이크(M포인트 5,000 사용)"/>
        <s v="CJ더마켓"/>
        <s v="롯데온: 무선주전자"/>
        <s v="쿠팡프레시"/>
        <s v="쿠팡: 메밀막국수, 케찹, 샤브샤브 냉동 등"/>
        <s v="의정부 압구정와인마켓"/>
        <s v="노원 스시웨이"/>
        <s v="상훈 수락산 구름공방"/>
        <s v="롯데마트 : 소고기, 계란, 아몬드"/>
        <s v="하연옥 잠실점"/>
        <s v="거해 수제두부짬뽕"/>
        <s v="SSG: 샌디스크 익스트림 SDXC 128GB"/>
        <s v="연장전(의정부지역화폐)"/>
        <s v="ak몰: 에센스"/>
        <s v="전주 노매딕한옥마을"/>
        <s v="11번가: 샌디스크 익스트림 CF 64GB"/>
        <s v="연희보쌈코다리찜"/>
        <s v="컬리"/>
        <s v="마켓컬리: 평양냉면, 부추전"/>
        <s v="옥션 : 해피콜 몬드 프라이팬 24cm X 2ea"/>
        <s v="팀 회식"/>
        <s v="아직 할인미적용"/>
        <s v="할인미적용 아직 "/>
        <s v="SKT"/>
        <s v="진주 하연옥 하대점"/>
        <s v="브랜디: 니트, 원피스"/>
        <s v="네이버: 하몽 이베리코 베요타 70g"/>
        <s v="플레어 : 긴팔블라우스티, 에르망 플라워 가디건"/>
        <s v="요기요: 마실 도시락 배달"/>
        <s v="수락산 - 맥주정비소"/>
        <s v="본가(노원사랑상품권)"/>
        <s v="태양부양꼬치"/>
        <s v="대학원 졸업시험 신청"/>
        <s v="정장자켓수선(의정부신세계)"/>
        <s v="다이빙풀 입장료"/>
        <s v="승연: 외규장각 의궤 전시, 효뜨, 도토리 카페"/>
        <s v="마켓컬리"/>
        <s v="이차돌 수락점"/>
        <s v="하이버 : JMW 드라이기 MG1800 PLUS"/>
        <s v="인천공항 면세점"/>
        <s v="마켓컬리: 순대국, 쭈꾸미, 떡갈비"/>
        <s v="전주 1930한잔"/>
        <s v="배민: 낙곱새녀석들"/>
        <s v="청와정(서울페이)"/>
        <s v="롯데온: 닥터브로너스 바디워시*2"/>
        <s v="코스트코 가입비"/>
        <s v="바나나몰"/>
        <s v="네이버 : 유기농마루 브로콜리양배추즙 100팩"/>
        <s v="배민: BHC"/>
        <s v="장사도 왕복승선료"/>
        <s v="전주 족떡이네"/>
        <s v="강순의 프리미엄 포기김치 3kg X 2ea"/>
        <s v="오쩜오 닭갈비"/>
        <s v="쿠팡 : 애플워치 충전독 + 65W 어댑터"/>
        <s v="롯데온: 락토핏 4입"/>
        <s v="남도장터: 매생이 60봉"/>
        <s v="속초 - 속초붉은대게수산 대게, 볶음밥"/>
        <s v="민락 돈팬(의정부지역화폐)"/>
        <s v="동오동 인생극장 쪽갈비"/>
        <s v="닥터브로너스 퓨어 캐스틸 솝 - 티트리 + 유칼립투스, 946ml x 2"/>
        <s v="하이버 : 뉴발란스 반팔티, 타미힐피거 반팔티"/>
        <s v="11번가: 해피콜 프라이팬 3p"/>
        <s v="네이버: 두다수모 2개(네이버포인트 478 사용)"/>
        <s v="배민"/>
        <s v="올림픽공원 다이빙풀 입장료"/>
        <s v="올림픽공원 다이빙풀 입장료(불참 위약금)"/>
        <s v="오늘회: 연어 400g, 참소라 1kg, 회간장"/>
        <s v="춘천집닭갈비 수락산역"/>
        <s v="무신사: 센티  플레르 선수용 숏사각 PL 100(XL)"/>
        <s v="배민: 시골애"/>
        <s v="11번가: 메이플트리 오메가3맥스 180캡슐*2통"/>
        <s v="네이버: 양배추즙"/>
        <s v="우체국 실손보험"/>
        <s v="인터파크: 뉴발란스 반팔티"/>
        <s v="나트랑 그랩 이용"/>
        <s v="오늘회"/>
        <s v="희정님 오발탄"/>
        <s v="배민 : 족발야시장"/>
        <s v="롯데온-래쉬가드세트"/>
        <s v="샤부넘버원(노원사랑상품권)"/>
        <s v="이차돌 회룡역점(의정부지역화폐)"/>
        <s v="유니클로 : 파일베리쇼트삭스 28cm Navy 7ea, AIRism라인복서브리프(로라이즈) L 1ea"/>
        <s v="쿠팡: 검가드 750ml*6"/>
        <s v="승연 북서울미술관, 포앤시드니"/>
        <s v="배달의민족: 족발"/>
        <s v="네이버:마사지건"/>
        <s v="비비큐 노원역점(노원사랑상품권)"/>
        <s v="한촌설렁탕"/>
        <s v="썸머타이(노원사랑상품권)"/>
        <s v="11번가 : 올리 폴딩팬 : 사무실 선풍기"/>
        <s v="송은철 신경과의원 : 두통/어지럼증"/>
        <s v="조선곰탕 동두천점"/>
        <s v="교촌치킨 녹양점"/>
        <s v="상훈 공릉한촌"/>
        <s v="롯데온: 햇반 36입"/>
        <s v="네이버쇼핑 : 잉크메이드 - 호환잉크 6종"/>
        <s v="교통비"/>
        <s v="민락 온센(의정부지역화폐)"/>
        <s v="iHerb.com $21.51"/>
        <s v="쿠팡: 핸드믹서, 펀칭볼 바구니"/>
        <s v="11번가 : 고프로 Enduro 배터리"/>
        <s v="청송얼음막걸리"/>
        <s v="배민 : 원할머니보쌈"/>
        <s v="수락산역 또바기 닭한마리 "/>
        <s v="롯데면세점: 워터래깅스, 방수파우치"/>
        <s v="풍성진 감자탕(노원사랑상품권)"/>
        <s v="마들 - 680루프탑"/>
        <s v="네이버: 프로쉬 식기세척기세제 4box(포인트 537 사용)"/>
        <s v="롯데온: 치후 소모품"/>
        <s v="본죽 포장(서울페이)"/>
        <s v="디피랑 입장료"/>
        <s v="우리나라"/>
        <s v="어락 생선구이"/>
        <s v="배민: 족발야시장"/>
        <s v="대구 - 제비원식당"/>
        <s v="클룩: 아이리조트 2인 머드스파(USD 22.3)"/>
        <s v="수락솥뚜껑김치삼겹살(노원사랑상품권)"/>
        <s v="쿠팡: 랠리 버드스킨 오리발"/>
        <s v="녹양 교촌치킨"/>
        <s v="엘페이 프리미엄 연간결제"/>
        <s v="쿠팡: 잼, 두루마리휴지, 도시락김"/>
        <s v="오한수우육면가(의정부신세계)"/>
        <s v="퀵실버코리아 : 퀵실버 마풀 이너웨어 L "/>
        <s v="요기요: 쿠마키친"/>
        <s v="매봉제일마트"/>
        <s v="아고다 : 르모어 호텔 1박(USD 21.15)"/>
        <s v="전주 교동다원"/>
        <s v="전주 더마시랑게"/>
        <s v="롯데마트 배달"/>
        <s v="의정부 한촌설렁탕"/>
        <s v="오늘회 : 연어/광어 모듬(적립금 5500 사용)"/>
        <s v="네이버 : 퀵실버 남성 레귤러핏 래쉬가드 겸용 나시 티셔츠"/>
        <s v="네이버 : 데코밸런스 화분받침대 2개"/>
        <s v="쿠팡 : 욕실방수시계 / 그라탕기"/>
        <s v="배민 : 족발"/>
        <s v="연안식당 의정부민락(의정부지역화폐)"/>
        <s v="노원 오늘와인한잔"/>
        <s v="롯데온: 프리메라 스킨"/>
        <s v="다나아 이비인후과 - CT촬영"/>
        <s v="배민: 교촌치킨"/>
        <s v="양주 밀곳"/>
        <s v="상훈 수락산"/>
        <s v="배민 - 중식배달"/>
        <s v="일산 소호정"/>
        <s v="현대아울렛 우미학"/>
        <s v="평양칼국수"/>
        <s v="파주돌짜장"/>
        <s v="인제 - 용바위식당"/>
        <s v="쿠팡: 한돈 앞다리, 살치살 스테이크용"/>
        <s v="화화담 의정부"/>
        <s v="돈가스클럽 장암점"/>
        <s v="춘천 - 통나무집닭갈비 포장"/>
        <s v="쿠팡: 퍼실, 시스테마 스펀지 치실"/>
        <s v="배민:첸첸"/>
        <s v="하이마트: 샌디스크 SD메모리 128GB"/>
        <s v="장암 돈까스클럽"/>
        <s v="롯데온: 틔운 씨앗세트"/>
        <s v="한촌설렁탕 의정부"/>
        <s v="배민 : 피제이피자"/>
        <s v="롯데온: 컴포트랩 브라탑*2"/>
        <s v="미스터포보 민락점(의정부지역화폐)"/>
        <s v="11번가: 데일리수세미 8box"/>
        <s v="11번가: 프리메라 기초세트"/>
        <s v="쿠팡: 우유, 버터"/>
        <s v="쿠팡: 밀가루, 아몬드"/>
        <s v="브랜디(포인트 1,921 사용)"/>
        <s v="버니니"/>
        <s v="밀곳"/>
        <s v="배민 : 중식배달"/>
        <s v="미가솥뚜껑삼겹살 : 윤석,상훈"/>
        <s v="에어서울 사전 좌석지정"/>
        <s v="속초 - 설악 워터피아 나이트 스파"/>
        <s v="쿠팡 : 명란젓"/>
        <s v="이니스프리: 에센스"/>
        <s v="오늘회: 돈마호크*3, 표고버섯"/>
        <s v="하이버 : 피그먼트 루즈핏 셔츠"/>
        <s v="쿠팡: 안티포그, AAA건전지"/>
        <s v="의정부 이마트"/>
        <s v="동두천 호수식당 덕정점"/>
        <s v="만석닭강정 온라인 주문"/>
        <s v="쿠팡: 배양토, 밴드"/>
        <s v="쿠팡: 칫솔, 폼클렌징"/>
        <s v="쿠팡: 닭가슴살, 생칼국수, 짜파게티, 귤 3kg"/>
        <s v="쿠팡: 콘푸로스트, 그릭요거트, 우유, 지퍼백 혼합팩"/>
        <s v="통영 배말칼국수김밥 통영루지점"/>
        <s v="요기요: 교촌 허니콤보 배달"/>
        <s v="요기요: 교촌허니콤보 배달"/>
        <s v="요기요: 교촌치킨 허니콤보"/>
        <s v="아오리 라멘(의정부지역화페)"/>
        <s v="롯데아이몰: 래쉬가드 민소매(적립금 10,000사용)"/>
        <s v="쿠팡프레시 : 샤브샤브"/>
        <s v="하이버: 덴탈마스크*200매"/>
        <s v="촌짬뽕"/>
        <s v="노원 풍미연 설렁탕"/>
        <s v="속초 - 김정옥할머니순두부"/>
        <s v="롯데온: 쌀누룽지 2kg"/>
        <s v="쿠팡: 크림치즈, 우유, 요거트, 양상추"/>
        <s v="롯데온: upTIME 멀티포트"/>
        <s v="일신 참칼국수(의정부사랑카드)"/>
        <s v="요기요-늘통큰감자탕(중)"/>
        <s v="네이버 : 텔레신 고프로 3구 충전기"/>
        <s v="쿠팡: 각티슈, 칫솔"/>
        <s v="쿠팡: 각티슈, 루이보스 티백, 도시락김"/>
        <s v="하이버 : 버버리 위크앤드"/>
        <s v="쿠팡: 글레이즈, 키친타월, 생와사비"/>
        <s v="나트랑 모조인(VND 367.2k)"/>
        <s v="장사도 입장료"/>
        <s v="베나자 보트투어 예약금 2인"/>
        <s v="쿠팡: 습윤밴드, 치약"/>
        <s v="배민 : 이어도 생선구이"/>
        <s v="역전할머니맥주 수락산점"/>
        <s v="쿠팡: 크림치즈, 달걀, 요거트"/>
        <s v="스타벅스 원두"/>
        <s v="네이버: 전복 1kg (네이버포인트 3688사용)"/>
        <s v="쿠팡: 젓가락 2세트"/>
        <s v="쿠팡 : 우유, 우유, 치즈, 어묵"/>
        <s v="배민 : 엽떡"/>
        <s v="통영 영빈관"/>
        <s v="전주 전통술박물관"/>
        <s v="롯데멤버스 연회비"/>
        <s v="요기요: BBQ 반반치킨"/>
        <s v="배민 : 동대문엽기떡볶이"/>
        <s v="여민락 뼈해장국"/>
        <s v="경희잘한다한의원 진단서 발급"/>
        <s v="수락산 참이맛감자탕"/>
        <s v="속초 - 만석닭강정 순살 보통맛 포장"/>
        <s v="파주프리미엄아울렛: 와인앤모어 맥주"/>
        <s v="스타벅스 원두 + 비아"/>
        <s v="배민: 이어도 생선구이"/>
        <s v="공항리무진(인천공항-의정부역)"/>
        <s v="요기요: 교촌치킨 허니콤보(네이버포인트 3009사용)"/>
        <s v="스타벅스 원두+샌드위치"/>
        <s v="롯데온: 스탠리 맥주컵"/>
        <s v="스타벅스 원두 + 커피"/>
        <s v="쿠팡: 샤워커튼"/>
        <s v="Klook 보홀 공항 ~ 숙소 픽업, 샌딩 예약 (lakirati naver)"/>
        <s v="문경 카페오방지리"/>
        <s v="쿠팡: 구연산, 카야잼"/>
        <s v="쿠팡: 발사믹 글레이즈, 본조르노 치약"/>
        <s v="하이버: 변기세정제 2"/>
        <s v="배과장방문, 퇴사자인사차 커피"/>
        <s v="쿠팡: 우삼겹, 요거트, 파마산 치즈가루"/>
        <s v="서울테헤란치과 : 오른쪽아래어금니 통증 - 잇몸치료"/>
        <s v="전주 금암면옥"/>
        <s v="배민 : 수차이 탕수육+간짜장"/>
        <s v="하이버: 프리메라 맨 오가니언스 에멀젼"/>
        <s v="11번가 : 스탠리 클래식 트리거액션 트래블머그 473ml"/>
        <s v="쿠팡: 우유, 닭갈비"/>
        <s v="호수식당 동두천"/>
        <s v="문경 등뼈감자탕"/>
        <s v="스타벅스 원두, 티라미수"/>
        <s v="11번가 : 태안 활 왕새우 1kg"/>
        <s v="하이버 : 린넨 솔리드 기본 카라 썸머 여름 시원한 남방 셔츠(15color)"/>
        <s v="카카오쇼핑: 꼬막 2kg"/>
        <s v="쿠팡: 다우니"/>
        <s v="도시락 : USIM - 베트남 10GB 후 저속무제한, 15일 음성40분 mobifone X 2ea"/>
        <s v="편의점 주류"/>
        <s v="서울테헤란치과 : 오른쪽아래어금이 통증 - 엑스레이, 스케일링"/>
        <s v="네이버 : 포시엘라 규조토 발매트 2개"/>
        <s v="카페다시"/>
        <s v="안다미로 민락점(의정부지역화폐)"/>
        <s v="네이버 : HDMI 셀렉터 + 케이블"/>
        <s v="중계상록수약국: 상비약"/>
        <s v="속초 - 궁잔기지떡"/>
        <s v="속초 - 현태네튀김 오징어순대, 모듬튀김"/>
        <s v="하이버: 슬리퍼 4개(포인트 1,888 사용)"/>
        <s v="위메프: 홍진경 더김치 3kg"/>
        <s v="브랜디: 민소매 래쉬가드"/>
        <s v="네이버: 냉동 제주 은갈치 300g*3마리"/>
        <s v="11번가 : 프리메라 오가니언스 워터"/>
        <s v="알리익스프레스 : 애플워치 스트랩 구매"/>
        <s v="강남사랑상품권"/>
        <s v="쿠팡 : 티피링크 5포트 스위치허브"/>
        <s v="하이버 : 코듀로이 골덴 셔츠"/>
        <s v="배민 : 수차이"/>
        <s v="요기요: 간짜장 2인"/>
        <s v="누리약국 : 테라플루"/>
        <s v="나트랑 롯데마트(VND 280.5k)"/>
        <s v="롯데마트 중계점"/>
        <s v="요기요: 엽떡 배달"/>
        <s v="스타벅스 원두, 라떼"/>
        <s v="Amazon_AWS : 프리티어만료후…EC2안꺼서"/>
        <s v="21세기상계약국 : 누액 3box"/>
        <s v="브랜디: 아르간 오일 헤어 에센스"/>
        <s v="대구 - 재현이집"/>
        <s v="롯데온: 사골곰탕 18봉"/>
        <s v="문경 초계한우"/>
        <s v="배민 : 차이나타운도봉점 중식 배달"/>
        <s v="부용원: 쌍화차, 자몽차"/>
        <s v="네이버 : 강순의명가 프리미엄 포기김치 3kg"/>
        <s v="하이버: 덴탈마스크"/>
        <s v="브랜디: 티셔츠, 양말"/>
        <s v="편의점 숙취해소제"/>
        <s v="마고플레인아양(대구)"/>
        <s v="네이버 : 하비비 청개구리 자동 변기 세정제 클리너 3+3"/>
        <s v="브랜디: 반팔티, 랩스커트"/>
        <s v="쿠팡: 종이호일, 고형카레"/>
        <s v="알리익스프레스 : 고프로11 호환 방수케이스 + 필터"/>
        <s v="롯데온: 귤 5kg"/>
        <s v="11번가 : 연구방법론 수업교재"/>
        <s v="브랜디: 니트 조끼"/>
        <s v="역전할머니맥주 민락점(의정부지역화폐)"/>
        <s v="택시비"/>
        <s v="하이버: 퓨마 슬리퍼"/>
        <s v="전주 왱이집"/>
        <s v="제주항공: 사전좌석지정(귀국편)"/>
        <s v="홈익스프레스"/>
        <s v="11번가 : 비비고 사골곰탕 500ml X 18ea"/>
        <s v="지샥 전지교체(노원사랑상품권)"/>
        <s v="삼오칼국수"/>
        <s v="파주프리미엄아울렛: 나이키 모자"/>
        <s v="SSG: 데스크매트"/>
        <s v="알리익스프레스 : 고프로4 호환 배터리"/>
        <s v="편의점 담배, 맥주"/>
        <s v="서울역 - 아침식사 : 제주면장"/>
        <s v="문경 이디야"/>
        <s v="사쿠라 : 윤석,상훈"/>
        <s v="쿠팡 : 다나 딸기잼, 오렌지마말레이드, 블루베리잼"/>
        <s v="롯데홈쇼핑: 클렌징워터(적립금 13,070 사용)"/>
        <s v="CJ더마켓: 비비고 만두 1.04*2"/>
        <s v="브랜디 : 노트북 파우치"/>
        <s v="브랜디: 마스크 100매"/>
        <s v="도봉사랑상품권"/>
        <s v="티몬: USB 2개"/>
        <s v="윤석 - 편의점 맥주"/>
        <s v="테그42중계점(서울페이)"/>
        <s v="롯데온: 홍가리비 2kg"/>
        <s v="롯데온: 화장솜 100매*6개"/>
        <s v="문경 24시 콩나물국밥"/>
        <s v="이삭토스트"/>
        <s v="롯데온: 차렵이불 S"/>
        <s v="브랜디: 샌들"/>
        <s v="이디야 문경"/>
        <s v="나트랑 롯데마트 : 물, 맥주 등"/>
        <s v="띠아모 문경"/>
        <s v="네이버 : 규조토 트레이 x 2"/>
        <s v="그린오피스"/>
        <s v="서울 테헤란치과 : 잇몸염증치료"/>
        <s v="롯데온: 슬리퍼"/>
        <s v="전주 전주수목원-한옥마을 택시비"/>
        <s v="푸드코트 유부초밥(의정부신세계)"/>
        <s v="정수기 렌탈"/>
        <s v="위메프: 자연퐁 POP 샤인머스캣*3"/>
        <s v="코스트코: 샐러드, 치킨베이크"/>
        <s v="롯데온: 홍가리비 3kg"/>
        <s v="이디야"/>
        <s v="서울테헤란치과"/>
        <s v="롯데온: 랩스커트"/>
        <s v="브랜디: 반폴라 1+1"/>
        <s v="전주 차미라미"/>
        <s v="주민세"/>
        <s v="편의점 맥주"/>
        <s v="씨유 매봉 : 맥주"/>
        <s v="요기요: 꼬꼬스토리 닭강정"/>
        <s v="이디야 대구수성범어천로점"/>
        <s v="쿠팡 : CH341A 롬라이터"/>
        <s v="종량제봉투10L * 3"/>
        <s v="종량제봉투 3set"/>
        <s v="롯데온: 휴고프로쉬 물주머니"/>
        <s v="무량사 기부금"/>
        <s v="서울역 - 아침식사 : 북창동순두부"/>
        <s v="베나자 공항 픽업 예약금"/>
        <s v="롯데백화점 삼송빵집"/>
        <s v="동행복권 예치금"/>
        <s v="배달의민족 : 쟁반짜장"/>
        <s v="놀숲 의정부민락점"/>
        <s v="요기요: 탕짜면"/>
        <s v="광장시장 순희네빈대떡(모바일 온누리 상품권)"/>
        <s v="스타벅스 비아"/>
        <s v="한촌설렁탕 : 윤석,상훈"/>
        <s v="선두외과의원 "/>
        <s v="네이버 : HDMI 2.1케이블 tv/사운드바 용"/>
        <s v="11번가 : 쉬슬러 구스다운 세탁세제 650ml X 2ea"/>
        <s v="DB손해보험 - 화재보험"/>
        <s v="롯데온: 디퓨저 리드스틱"/>
        <s v="자리 의정부민락(의정부지역화폐)"/>
        <s v="SSG: 베개커버"/>
        <s v="윤쉐프 정직한 제빵소"/>
        <s v="브랜디: 선크림"/>
        <s v="이니스프리: 아이브로우, 매니큐어"/>
        <s v="하이버: 물통"/>
        <s v="쿠팡 : 팬틴 극손상케어 트리트먼트"/>
        <s v="브랜디: 블라우스"/>
        <s v="브랜디: 원피스"/>
        <s v="나트랑센터 스타벅스(VND 150k)"/>
        <s v="누리약국"/>
        <s v="엔젤리너스 음성휴게소"/>
        <s v="롯데마트: 호박고구마, 바나나"/>
        <s v="양자강"/>
        <s v="오백국수 노원점(서울페이)"/>
        <s v="전주 풍년제과"/>
        <s v="밝은미래안과 진료"/>
        <s v="파리바게뜨"/>
        <s v="롯데온: 아레나 수영가방"/>
        <s v="상훈 하이버 후드 선물"/>
        <s v="요기요: 락궁 쟁반짜장2인(네이버 포인트 10580 사용)"/>
        <s v="에어서울 기내 컵라면*2"/>
        <s v="오니기리와이규동 교대점"/>
        <s v="의정부스포츠센터 자유수영"/>
        <s v="의정부 스포츠센터 자유수영 2"/>
        <s v="고봉민김밥"/>
        <s v="문경 띠아모"/>
        <s v="여행자보험"/>
        <s v="죠스떡볶이"/>
        <s v="곳간하임(교대)"/>
        <s v="예원분식 김밥 + 편의점 컵라면"/>
        <s v="중도상환수수료 7,243원"/>
        <s v="SSG닷컴- 베개커버"/>
        <s v="하이버: 아르간오일"/>
        <s v="네이버: 숯타벅스 숯 2kg/석쇠(네이버포인트 7575 사용)"/>
        <s v="김밥천국 교대점"/>
        <s v="롯데마트 타코야끼"/>
        <s v="쿠팡: 맛선생"/>
        <s v="롯데홈쇼핑: 치약"/>
        <s v="서울 테헤란치과 : 크라운재부착"/>
        <s v="알리익스프레스 : 스노클링 마스크 케이스 x 2"/>
        <s v="탄"/>
        <s v="고봉민김밥(서울페이)"/>
        <s v="하이버: 아레나 수영가방"/>
        <s v="롯데온: 뱅쇼키트"/>
        <s v="롯데온: 아모스 컬링 에센스"/>
        <s v="대구 - 편의점 커피"/>
        <s v="알라딘중고서점"/>
        <s v="알라딘 중고서점"/>
        <s v="하이버 : 브레스 와이드핏 플리츠 밴딩 바지"/>
        <s v="알리익스프레스 : 스노클링 마스크 스트랩 커버 x 2"/>
        <s v="롯데마트: 파스타소스"/>
        <s v="연돈볼카츠(의정부지역화폐)"/>
        <s v="스타벅스"/>
        <s v="소요 단팥빵"/>
        <s v="쿠팡: 키친타월"/>
        <s v="이디야커피 문경"/>
        <s v="브랜디: 발목양말"/>
        <s v="네이버 : 티빙 스탠다드"/>
        <s v="쿠팡 : UTP 1m CAT6 케이블"/>
        <s v="애플 : AutoSleep 앱구매"/>
        <s v="홈플러스익스프레스 : 순두부, 양념, 애호박"/>
        <s v="11번가: 귤 4.5kg"/>
        <s v="하이버 : 브레스 릴렉스핏 포켓 반팔 티셔트 2ea"/>
        <s v="파주프리미엄아울렛: 노브랜드 맥주, 라임맥주"/>
        <s v="휴게소 닭강정"/>
        <s v="편의점 : 소주, 맥주"/>
        <s v="죠스떡볶이(서울페이)"/>
        <s v="전주 팔복공장-전주수목원 택시비"/>
        <s v="롯데홈쇼핑- 헤드 레깅스"/>
        <s v="쿠팡: 콘푸로스트"/>
        <s v="의정부 스포츠센터"/>
        <s v="편의점 : 커피, 핫초코, 우유생크림빵"/>
        <s v="전주역-한옥마을 택시비"/>
        <s v="티빙 스탠다드 포인트 920사용"/>
        <s v="브랜디 반품 배송비"/>
        <s v="서울배내과의원 : 급성충수염진단"/>
        <s v="올림픽공원 수영장 주차비"/>
        <s v="속초 - 스타벅스"/>
        <s v="쿠팡 로켓와우 월회비"/>
        <s v="GS25: 우유"/>
        <s v="전주 한옥마을-전주역 택시비"/>
        <s v="롯데온: 이라이프 비닐 쇼핑 봉투 미니 90매*5"/>
        <s v="카카오쇼핑 : 방충망청소용품"/>
        <s v="편의점 : 김밥, 소시지"/>
        <s v="롯데온: 화장솜 * 8"/>
        <s v="쿠팡 : 애플워치 충전독"/>
        <s v="스타벅스 커피"/>
        <s v="고운얼굴치과 - 금연약처방"/>
        <s v="롯데온: 오리발 가방"/>
        <s v="브랜디: 티셔츠"/>
        <s v="멜론 정기 결제"/>
        <s v="알리익스프레스 : 고프로4 플로팅 핸드 그립"/>
        <s v="현대아울렛 백미당"/>
        <s v="쿠팡 : 다나 딸기잼"/>
        <s v="잠실 종합운동장 수영장 주차비"/>
        <s v="홈익스프레스: 순두부, 미니새송이버섯"/>
        <s v="세차비(하부세차 추가)"/>
        <s v="김밥까페 교대점"/>
        <s v="세차비"/>
        <s v="속초 - 속초해수욕장 치즈호떡"/>
        <s v="쿠팡 : 생활도감 혀클리너"/>
        <s v="의정부 스포츠센터 자유수영 1"/>
        <s v="속초 - 한화리조트 설악 편의점"/>
        <s v="더벤티 버블티"/>
        <s v="전주 커피"/>
        <s v="선릉수정약국"/>
        <s v="다온약국 - 니코챔스 1주일분"/>
        <s v="알리익스프레스 : 고프로4 다이빙필터"/>
        <s v="김밥팩토리(서울페이)"/>
        <s v="다나아 이비인후과 - 신속항원검사"/>
        <s v="브랜디: 단추 니트(포인트 13131 사용)"/>
        <s v="푸라닭치킨 배달비"/>
        <s v="BBQ 배달비+소스추가"/>
        <s v="서울테헤란치과 : 오른쪽아래어금니 통증 - 소독"/>
        <s v="휴게소 핫바"/>
        <s v="서울 테헤란치과"/>
        <s v="하이버 - 데일리콤마 디퓨저 4ea"/>
        <s v="편의점 반품택배비"/>
        <s v="동방약국"/>
        <s v="나트랑 응온갤러리 맥주(VND 57750)"/>
        <s v="강남우리약국 : 항생제/소염제/헥사메딘"/>
        <s v="애플 : iCloud+ 정기결제"/>
        <s v="GS25: 컵라면, 삼각김밥"/>
        <s v="애플 : iCloud+ 정기결제 200G변경"/>
        <s v="빽다방 수락"/>
        <s v="삼다연 - 식대카드 차액결제"/>
        <s v="티빙 스탠다드 네이버 포인트 2,903사용"/>
        <s v="다이소"/>
        <s v="의류반품관련 배송비"/>
        <s v="인천공상 생수, 음료"/>
        <s v="브랜디 : 벨트"/>
        <s v="고망고 의정부로데오점"/>
        <s v="강남우리약국"/>
        <s v="교대역 티라투티: 샌드위치"/>
        <s v="어묵나라 중계역점 토스트"/>
        <s v="홈익스프레스: 시금치"/>
        <s v="생수"/>
        <s v="편의점 커피"/>
        <s v="전주 스타벅스"/>
        <s v="하이버 : 에스트라 3종키트"/>
        <s v="세븐일레븐: 커피&amp;핫식스(L포인트4500 사용)"/>
        <s v="주차비"/>
        <s v="경비실, 규조토발매트 폐기비용"/>
        <s v="주차비(조양마트방문)"/>
        <s v="수락리버시티 경비실 - 대형폐기물 (캐리어)"/>
        <s v="편의점: 티슈"/>
        <s v="씨유 매봉 : 우유"/>
        <s v="편의점 컵라면"/>
        <s v="네이버 : 프로크리에이트, 굿노트5 리딤코드, 네이버포인트 3027원사용"/>
        <s v="미니스톱 교대점"/>
        <s v="도노커피"/>
        <s v="편의점 : 탄산수"/>
        <s v="티빙 스탠다드 포인트 2,430사용"/>
        <s v="전주 편의점 음료"/>
        <s v="통영 공영주차장"/>
        <s v="물티슈"/>
        <s v="아이스크림"/>
        <s v="배민: 엽떡(쿠폰 20000원 사용)"/>
        <s v="속초 - 속초해수욕장 주차요금"/>
        <s v="법원 등기부등본 열람"/>
        <s v="밝은미래안과 방문 주차"/>
        <s v="멜론 2개월 100원"/>
        <s v="멜론 정기결제"/>
        <s v="멜론 결제"/>
        <s v="롯데온: 치실(L포인트6790사용)"/>
        <s v="롯데온: 봉평촌 메밀막국수 850g*2(L포인트10770사용)"/>
        <s v="롯데온:  방울다다기양배추씨앗(L포인트3570사용)"/>
        <s v="아이바헤어도봉한신 컷 - 선결제금액 사용"/>
        <s v="엄마 환갑 기념 여행비"/>
        <s v="네이버 : 라치나타 트러플 올리브 오일 4병, 4/23 취소처리"/>
        <s v="네이버 : 라치나타 트러플 올리브 오일 4병, 5/11취소처리"/>
        <s v="삼척 달빛바다펜션 / 7/6 취소"/>
        <s v="에이바헤어 컷, 포인트 10,000원사용, 정액권 2,000원사용"/>
        <s v="네이버: 강릉 휴심 홍장암 1박 / 7/6 취소"/>
        <s v="롯데온: 수딩젤(L포인트 3870 사용)"/>
        <s v="롯데온: 샤워기필터(L포인트 16810 사용)"/>
        <s v="베나자 공항 픽업 현지지불 $20"/>
        <s v="베나자 보트투어 현지지불 2인 $80"/>
        <s v="롯데마트(L포인트 20910 사용)"/>
        <s v="카오디오디씨 : 후방센서 교체 - 사고 가해자 청구 / 입금완료"/>
        <s v="르노삼성도봉 : 뒷범퍼교체 - 사고 가해자 청구 / 입금완료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3:J55" sheet="변동비 집계"/>
  </cacheSource>
  <cacheFields>
    <cacheField name=" 주차" numFmtId="164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</sharedItems>
    </cacheField>
    <cacheField name=" 기준금액" numFmtId="164">
      <sharedItems>
        <e v="#NAME?"/>
      </sharedItems>
    </cacheField>
    <cacheField name="차액" numFmtId="164">
      <sharedItems>
        <e v="#NAME?"/>
      </sharedItems>
    </cacheField>
    <cacheField name="누적사용금액" numFmtId="164">
      <sharedItems containsSemiMixedTypes="0" containsString="0" containsNumber="1" containsInteger="1">
        <n v="139688.0"/>
        <n v="549657.0"/>
        <n v="966349.0"/>
        <n v="1138835.0"/>
        <n v="1220368.0"/>
        <n v="1472063.0"/>
        <n v="1786935.0"/>
        <n v="2325779.0"/>
        <n v="2495392.0"/>
        <n v="3014673.0"/>
        <n v="3402724.0"/>
        <n v="3803024.0"/>
        <n v="3986889.0"/>
        <n v="4581455.0"/>
        <n v="4828683.0"/>
        <n v="5358664.0"/>
        <n v="5540104.0"/>
        <n v="5872006.0"/>
        <n v="6176526.0"/>
        <n v="6560056.0"/>
        <n v="6873793.0"/>
        <n v="7258321.0"/>
        <n v="7475701.0"/>
        <n v="7821765.0"/>
        <n v="8302890.0"/>
        <n v="8666741.0"/>
        <n v="8891650.0"/>
        <n v="9060797.0"/>
        <n v="9178294.0"/>
        <n v="9450533.0"/>
        <n v="9553357.0"/>
        <n v="9992020.0"/>
        <n v="1.0433045E7"/>
        <n v="1.0786289E7"/>
        <n v="1.1004144E7"/>
        <n v="1.161492E7"/>
        <n v="1.1786579E7"/>
        <n v="1.2075393E7"/>
        <n v="1.2252688E7"/>
        <n v="1.2396398E7"/>
        <n v="1.3648197E7"/>
        <n v="1.4144948E7"/>
        <n v="1.4348299E7"/>
        <n v="1.4867296E7"/>
        <n v="1.5338653E7"/>
        <n v="1.5555646E7"/>
        <n v="1.5868817E7"/>
        <n v="1.6612737E7"/>
        <n v="1.6932752E7"/>
        <n v="1.7308352E7"/>
        <n v="1.8025713E7"/>
        <n v="1.8277421E7"/>
      </sharedItems>
    </cacheField>
    <cacheField name="누적기준금액" numFmtId="164">
      <sharedItems>
        <e v="#NAME?"/>
      </sharedItems>
    </cacheField>
    <cacheField name="누적차액" numFmtId="164">
      <sharedItems>
        <e v="#NAME?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80" sheet="수락리버 매물"/>
  </cacheSource>
  <cacheFields>
    <cacheField name="등록일" numFmtId="167">
      <sharedItems containsSemiMixedTypes="0" containsDate="1" containsString="0">
        <d v="2018-09-10T00:00:00Z"/>
        <d v="2018-09-11T00:00:00Z"/>
        <d v="2018-09-12T00:00:00Z"/>
        <d v="2018-09-14T00:00:00Z"/>
        <d v="2018-09-23T00:00:00Z"/>
        <d v="2018-09-24T00:00:00Z"/>
        <d v="2018-09-27T00:00:00Z"/>
        <d v="2018-09-28T00:00:00Z"/>
        <d v="2018-10-01T00:00:00Z"/>
        <d v="2018-10-04T00:00:00Z"/>
        <d v="2018-10-10T00:00:00Z"/>
        <d v="2018-10-16T00:00:00Z"/>
        <d v="2018-10-19T00:00:00Z"/>
        <d v="2018-10-24T00:00:00Z"/>
        <d v="2018-10-31T00:00:00Z"/>
        <d v="2018-11-01T00:00:00Z"/>
        <d v="2018-11-08T00:00:00Z"/>
        <d v="2018-11-09T00:00:00Z"/>
        <d v="2018-11-19T00:00:00Z"/>
        <d v="2019-01-01T00:00:00Z"/>
        <d v="2019-01-29T00:00:00Z"/>
        <d v="2019-02-08T00:00:00Z"/>
        <d v="2019-02-09T00:00:00Z"/>
        <d v="2019-02-12T00:00:00Z"/>
        <d v="2019-02-14T00:00:00Z"/>
        <d v="2019-02-15T00:00:00Z"/>
        <d v="2019-02-16T00:00:00Z"/>
        <d v="2019-02-19T00:00:00Z"/>
        <d v="2019-02-20T00:00:00Z"/>
        <d v="2019-02-21T00:00:00Z"/>
        <d v="2019-02-22T00:00:00Z"/>
        <d v="2019-02-23T00:00:00Z"/>
        <d v="2019-02-27T00:00:00Z"/>
        <d v="2019-02-25T00:00:00Z"/>
        <d v="2019-03-07T00:00:00Z"/>
        <d v="2019-02-26T00:00:00Z"/>
        <d v="2019-03-09T00:00:00Z"/>
      </sharedItems>
    </cacheField>
    <cacheField name="구분" numFmtId="167">
      <sharedItems containsBlank="1">
        <s v="매물"/>
        <s v="최근거래"/>
        <m/>
      </sharedItems>
    </cacheField>
    <cacheField name="단지" numFmtId="167">
      <sharedItems>
        <s v="4단지"/>
        <s v="2단지"/>
        <s v="3단지"/>
        <s v="1단지"/>
      </sharedItems>
    </cacheField>
    <cacheField name="동" numFmtId="0">
      <sharedItems containsSemiMixedTypes="0" containsString="0" containsNumber="1" containsInteger="1">
        <n v="402.0"/>
        <n v="404.0"/>
        <n v="203.0"/>
        <n v="407.0"/>
        <n v="202.0"/>
        <n v="302.0"/>
        <n v="109.0"/>
        <n v="303.0"/>
        <n v="111.0"/>
        <n v="406.0"/>
        <n v="204.0"/>
        <n v="301.0"/>
        <n v="307.0"/>
        <n v="104.0"/>
        <n v="400.0"/>
        <n v="100.0"/>
        <n v="200.0"/>
        <n v="306.0"/>
        <n v="308.0"/>
        <n v="208.0"/>
        <n v="309.0"/>
        <n v="300.0"/>
      </sharedItems>
    </cacheField>
    <cacheField name="층">
      <sharedItems containsMixedTypes="1" containsNumber="1" containsInteger="1">
        <n v="14.0"/>
        <s v="고"/>
        <n v="9.0"/>
        <n v="11.0"/>
        <n v="12.0"/>
        <n v="4.0"/>
        <n v="3.0"/>
        <n v="10.0"/>
        <n v="15.0"/>
        <n v="13.0"/>
        <n v="5.0"/>
        <n v="6.0"/>
        <n v="1.0"/>
        <s v="중"/>
        <s v="저"/>
        <n v="7.0"/>
        <n v="2.0"/>
      </sharedItems>
    </cacheField>
    <cacheField name="층분류" numFmtId="0">
      <sharedItems>
        <s v="고"/>
        <s v="중"/>
        <s v="저"/>
        <s v="1층"/>
      </sharedItems>
    </cacheField>
    <cacheField name=" 가격" numFmtId="164">
      <sharedItems containsSemiMixedTypes="0" containsString="0" containsNumber="1" containsInteger="1">
        <n v="60000.0"/>
        <n v="45000.0"/>
        <n v="58000.0"/>
        <n v="42000.0"/>
        <n v="54000.0"/>
        <n v="55000.0"/>
        <n v="43500.0"/>
        <n v="50000.0"/>
        <n v="59500.0"/>
        <n v="53500.0"/>
        <n v="53000.0"/>
        <n v="43000.0"/>
        <n v="52000.0"/>
        <n v="49000.0"/>
        <n v="47000.0"/>
        <n v="44000.0"/>
        <n v="41000.0"/>
        <n v="46000.0"/>
        <n v="39900.0"/>
        <n v="42500.0"/>
        <n v="41500.0"/>
        <n v="442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집계" cacheId="0" dataCaption="" compact="0" compactData="0">
  <location ref="D3:BH40" firstHeaderRow="0" firstDataRow="2" firstDataCol="2"/>
  <pivotFields>
    <pivotField name="날짜" axis="axisCol" compact="0" numFmtId="167" outline="0" multipleItemSelectionAllowed="1" showAll="0" sortType="descending">
      <items>
        <item x="275"/>
        <item x="108"/>
        <item x="135"/>
        <item x="182"/>
        <item x="35"/>
        <item x="41"/>
        <item x="133"/>
        <item x="301"/>
        <item x="145"/>
        <item x="229"/>
        <item x="28"/>
        <item x="40"/>
        <item x="158"/>
        <item x="216"/>
        <item x="75"/>
        <item x="323"/>
        <item x="277"/>
        <item x="165"/>
        <item x="116"/>
        <item x="174"/>
        <item x="87"/>
        <item x="84"/>
        <item x="288"/>
        <item x="148"/>
        <item x="248"/>
        <item x="247"/>
        <item x="50"/>
        <item x="34"/>
        <item x="142"/>
        <item x="204"/>
        <item x="146"/>
        <item x="272"/>
        <item x="300"/>
        <item x="163"/>
        <item x="72"/>
        <item x="184"/>
        <item x="59"/>
        <item x="296"/>
        <item x="280"/>
        <item x="54"/>
        <item x="266"/>
        <item x="192"/>
        <item x="198"/>
        <item x="328"/>
        <item x="153"/>
        <item x="302"/>
        <item x="282"/>
        <item x="330"/>
        <item x="166"/>
        <item x="234"/>
        <item x="245"/>
        <item x="26"/>
        <item x="49"/>
        <item x="258"/>
        <item x="215"/>
        <item x="132"/>
        <item x="119"/>
        <item x="124"/>
        <item x="159"/>
        <item x="197"/>
        <item x="71"/>
        <item x="129"/>
        <item x="329"/>
        <item x="299"/>
        <item x="60"/>
        <item x="202"/>
        <item x="179"/>
        <item x="160"/>
        <item x="268"/>
        <item x="316"/>
        <item x="208"/>
        <item x="290"/>
        <item x="76"/>
        <item x="291"/>
        <item x="85"/>
        <item x="89"/>
        <item x="128"/>
        <item x="177"/>
        <item x="13"/>
        <item x="254"/>
        <item x="123"/>
        <item x="43"/>
        <item x="143"/>
        <item x="31"/>
        <item x="203"/>
        <item x="237"/>
        <item x="109"/>
        <item x="295"/>
        <item x="53"/>
        <item x="207"/>
        <item x="45"/>
        <item x="69"/>
        <item x="110"/>
        <item x="310"/>
        <item x="317"/>
        <item x="249"/>
        <item x="139"/>
        <item x="232"/>
        <item x="241"/>
        <item x="11"/>
        <item x="175"/>
        <item x="235"/>
        <item x="281"/>
        <item x="115"/>
        <item x="30"/>
        <item x="196"/>
        <item x="99"/>
        <item x="27"/>
        <item x="144"/>
        <item x="83"/>
        <item x="25"/>
        <item x="220"/>
        <item x="283"/>
        <item x="243"/>
        <item x="63"/>
        <item x="171"/>
        <item x="136"/>
        <item x="298"/>
        <item x="56"/>
        <item x="157"/>
        <item x="225"/>
        <item x="10"/>
        <item x="210"/>
        <item x="261"/>
        <item x="312"/>
        <item x="68"/>
        <item x="206"/>
        <item x="90"/>
        <item x="120"/>
        <item x="333"/>
        <item x="138"/>
        <item x="125"/>
        <item x="191"/>
        <item x="170"/>
        <item x="152"/>
        <item x="214"/>
        <item x="244"/>
        <item x="48"/>
        <item x="250"/>
        <item x="289"/>
        <item x="23"/>
        <item x="251"/>
        <item x="22"/>
        <item x="32"/>
        <item x="322"/>
        <item x="223"/>
        <item x="61"/>
        <item x="127"/>
        <item x="201"/>
        <item x="240"/>
        <item x="19"/>
        <item x="86"/>
        <item x="313"/>
        <item x="140"/>
        <item x="88"/>
        <item x="226"/>
        <item x="318"/>
        <item x="326"/>
        <item x="58"/>
        <item x="190"/>
        <item x="97"/>
        <item x="15"/>
        <item x="253"/>
        <item x="256"/>
        <item x="18"/>
        <item x="46"/>
        <item x="292"/>
        <item x="169"/>
        <item x="4"/>
        <item x="79"/>
        <item x="267"/>
        <item x="331"/>
        <item x="285"/>
        <item x="297"/>
        <item x="67"/>
        <item x="259"/>
        <item x="65"/>
        <item x="180"/>
        <item x="314"/>
        <item x="2"/>
        <item x="114"/>
        <item x="162"/>
        <item x="96"/>
        <item x="219"/>
        <item x="172"/>
        <item x="189"/>
        <item x="233"/>
        <item x="24"/>
        <item x="246"/>
        <item x="131"/>
        <item x="181"/>
        <item x="44"/>
        <item x="98"/>
        <item x="278"/>
        <item x="265"/>
        <item x="3"/>
        <item x="55"/>
        <item x="286"/>
        <item x="269"/>
        <item x="151"/>
        <item x="102"/>
        <item x="321"/>
        <item x="218"/>
        <item x="62"/>
        <item x="324"/>
        <item x="274"/>
        <item x="104"/>
        <item x="21"/>
        <item x="335"/>
        <item x="217"/>
        <item x="103"/>
        <item x="309"/>
        <item x="209"/>
        <item x="118"/>
        <item x="287"/>
        <item x="95"/>
        <item x="188"/>
        <item x="147"/>
        <item x="337"/>
        <item x="14"/>
        <item x="113"/>
        <item x="20"/>
        <item x="29"/>
        <item x="222"/>
        <item x="336"/>
        <item x="262"/>
        <item x="5"/>
        <item x="117"/>
        <item x="334"/>
        <item x="264"/>
        <item x="199"/>
        <item x="57"/>
        <item x="270"/>
        <item x="141"/>
        <item x="130"/>
        <item x="161"/>
        <item x="74"/>
        <item x="156"/>
        <item x="183"/>
        <item x="212"/>
        <item x="194"/>
        <item x="173"/>
        <item x="12"/>
        <item x="315"/>
        <item x="137"/>
        <item x="187"/>
        <item x="293"/>
        <item x="238"/>
        <item x="168"/>
        <item x="332"/>
        <item x="42"/>
        <item x="273"/>
        <item x="213"/>
        <item x="73"/>
        <item x="242"/>
        <item x="0"/>
        <item x="17"/>
        <item x="227"/>
        <item x="112"/>
        <item x="271"/>
        <item x="263"/>
        <item x="47"/>
        <item x="82"/>
        <item x="164"/>
        <item x="149"/>
        <item x="92"/>
        <item x="308"/>
        <item x="294"/>
        <item x="303"/>
        <item x="307"/>
        <item x="101"/>
        <item x="107"/>
        <item x="186"/>
        <item x="311"/>
        <item x="178"/>
        <item x="211"/>
        <item x="39"/>
        <item x="239"/>
        <item x="100"/>
        <item x="70"/>
        <item x="155"/>
        <item x="306"/>
        <item x="195"/>
        <item x="6"/>
        <item x="81"/>
        <item x="105"/>
        <item x="94"/>
        <item x="91"/>
        <item x="16"/>
        <item x="7"/>
        <item x="325"/>
        <item x="126"/>
        <item x="154"/>
        <item x="106"/>
        <item x="78"/>
        <item x="221"/>
        <item x="66"/>
        <item x="176"/>
        <item x="230"/>
        <item x="257"/>
        <item x="150"/>
        <item x="276"/>
        <item x="200"/>
        <item x="38"/>
        <item x="279"/>
        <item x="93"/>
        <item x="260"/>
        <item x="327"/>
        <item x="122"/>
        <item x="284"/>
        <item x="205"/>
        <item x="51"/>
        <item x="9"/>
        <item x="224"/>
        <item x="121"/>
        <item x="52"/>
        <item x="36"/>
        <item x="77"/>
        <item x="252"/>
        <item x="304"/>
        <item x="111"/>
        <item x="228"/>
        <item x="1"/>
        <item x="255"/>
        <item x="236"/>
        <item x="80"/>
        <item x="305"/>
        <item x="134"/>
        <item x="185"/>
        <item x="193"/>
        <item x="33"/>
        <item x="167"/>
        <item x="320"/>
        <item x="319"/>
        <item x="37"/>
        <item x="231"/>
        <item x="64"/>
        <item x="8"/>
        <item x="338"/>
        <item t="default"/>
      </items>
    </pivotField>
    <pivotField name="월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요일" compact="0" numFmtId="16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주" axis="axisCol" compact="0" outline="0" multipleItemSelectionAllowed="1" showAll="0" sortType="descending">
      <items>
        <item sd="0" x="28"/>
        <item sd="0" x="23"/>
        <item sd="0" x="45"/>
        <item sd="0" x="27"/>
        <item sd="0" x="50"/>
        <item sd="0" x="37"/>
        <item sd="0" x="51"/>
        <item sd="0" x="21"/>
        <item sd="0" x="48"/>
        <item sd="0" x="40"/>
        <item sd="0" x="52"/>
        <item sd="0" x="13"/>
        <item sd="0" x="24"/>
        <item sd="0" x="36"/>
        <item sd="0" x="33"/>
        <item sd="0" x="11"/>
        <item sd="0" x="22"/>
        <item sd="0" x="20"/>
        <item sd="0" x="10"/>
        <item sd="0" x="43"/>
        <item sd="0" x="49"/>
        <item sd="0" x="18"/>
        <item sd="0" x="25"/>
        <item sd="0" x="16"/>
        <item sd="0" x="39"/>
        <item sd="0" x="15"/>
        <item sd="0" x="4"/>
        <item sd="0" x="2"/>
        <item sd="0" x="47"/>
        <item sd="0" x="19"/>
        <item sd="0" x="3"/>
        <item sd="0" x="41"/>
        <item sd="0" x="17"/>
        <item sd="0" x="14"/>
        <item sd="0" x="5"/>
        <item sd="0" x="38"/>
        <item sd="0" x="44"/>
        <item sd="0" x="12"/>
        <item sd="0" x="32"/>
        <item sd="0" x="0"/>
        <item sd="0" x="34"/>
        <item sd="0" x="46"/>
        <item sd="0" x="31"/>
        <item sd="0" x="6"/>
        <item sd="0" x="7"/>
        <item sd="0" x="42"/>
        <item sd="0" x="30"/>
        <item sd="0" x="35"/>
        <item sd="0" x="9"/>
        <item sd="0" x="1"/>
        <item sd="0" x="26"/>
        <item sd="0" x="29"/>
        <item sd="0" x="8"/>
        <item sd="0" x="53"/>
        <item t="default"/>
      </items>
    </pivotField>
    <pivotField name="분류" axis="axisRow" compact="0" outline="0" multipleItemSelectionAllowed="1" showAll="0" sortType="ascending">
      <items>
        <item x="4"/>
        <item x="1"/>
        <item x="0"/>
        <item x="3"/>
        <item x="2"/>
        <item t="default"/>
      </items>
    </pivotField>
    <pivotField name="내역" axis="axisRow" compact="0" outline="0" multipleItemSelectionAllowed="1" showAll="0" sortType="ascending">
      <items>
        <item x="28"/>
        <item x="14"/>
        <item x="11"/>
        <item x="1"/>
        <item x="21"/>
        <item x="18"/>
        <item x="6"/>
        <item x="22"/>
        <item x="27"/>
        <item x="20"/>
        <item x="5"/>
        <item x="15"/>
        <item x="8"/>
        <item x="25"/>
        <item x="2"/>
        <item x="16"/>
        <item x="12"/>
        <item x="7"/>
        <item x="19"/>
        <item x="10"/>
        <item x="13"/>
        <item x="17"/>
        <item x="0"/>
        <item x="9"/>
        <item x="24"/>
        <item x="4"/>
        <item x="26"/>
        <item x="23"/>
        <item x="3"/>
        <item t="default"/>
      </items>
    </pivotField>
    <pivotField name="결제수단" compact="0" outline="0" multipleItemSelectionAllowed="1" showAll="0">
      <items>
        <item x="0"/>
        <item x="1"/>
        <item x="2"/>
        <item t="default"/>
      </items>
    </pivotField>
    <pivotField name=" 금액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 작성자" compact="0" numFmtId="164" outline="0" multipleItemSelectionAllowed="1" showAll="0">
      <items>
        <item x="0"/>
        <item x="1"/>
        <item x="2"/>
        <item t="default"/>
      </items>
    </pivotField>
    <pivotField name="비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t="default"/>
      </items>
    </pivotField>
  </pivotFields>
  <rowFields>
    <field x="4"/>
    <field x="5"/>
  </rowFields>
  <colFields>
    <field x="3"/>
    <field x="0"/>
  </colFields>
  <dataFields>
    <dataField name="지출 계" fld="7" baseField="0"/>
  </dataFields>
</pivotTableDefinition>
</file>

<file path=xl/pivotTables/pivotTable2.xml><?xml version="1.0" encoding="utf-8"?>
<pivotTableDefinition xmlns="http://schemas.openxmlformats.org/spreadsheetml/2006/main" name="변동비 집계" cacheId="0" dataCaption="" rowGrandTotals="0" compact="0" compactData="0">
  <location ref="B3:C56" firstHeaderRow="0" firstDataRow="1" firstDataCol="0" rowPageCount="1" colPageCount="1"/>
  <pivotFields>
    <pivotField name="날짜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월" compact="0" numFmtId="168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요일" compact="0" numFmtId="16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주" axis="axisRow" compact="0" outline="0" multipleItemSelectionAllowed="1" showAll="0" sortType="ascending">
      <items>
        <item x="53"/>
        <item x="8"/>
        <item x="29"/>
        <item x="26"/>
        <item x="1"/>
        <item x="9"/>
        <item x="35"/>
        <item x="30"/>
        <item x="42"/>
        <item x="7"/>
        <item x="6"/>
        <item x="31"/>
        <item x="46"/>
        <item x="34"/>
        <item x="0"/>
        <item x="32"/>
        <item x="12"/>
        <item x="44"/>
        <item x="38"/>
        <item x="5"/>
        <item x="14"/>
        <item x="17"/>
        <item x="41"/>
        <item x="3"/>
        <item x="19"/>
        <item x="47"/>
        <item x="2"/>
        <item x="4"/>
        <item x="15"/>
        <item x="39"/>
        <item x="16"/>
        <item x="25"/>
        <item x="18"/>
        <item x="49"/>
        <item x="43"/>
        <item x="10"/>
        <item x="20"/>
        <item x="22"/>
        <item x="11"/>
        <item x="33"/>
        <item x="36"/>
        <item x="24"/>
        <item x="13"/>
        <item x="52"/>
        <item x="40"/>
        <item x="48"/>
        <item x="21"/>
        <item x="51"/>
        <item x="37"/>
        <item x="50"/>
        <item x="27"/>
        <item x="45"/>
        <item x="23"/>
        <item x="28"/>
        <item t="default"/>
      </items>
    </pivotField>
    <pivotField name="분류" axis="axisPage" compact="0" outline="0" multipleItemSelectionAllowed="1" showAll="0">
      <items>
        <item h="1" x="0"/>
        <item h="1" x="1"/>
        <item h="1" x="2"/>
        <item x="3"/>
        <item h="1" x="4"/>
        <item t="default"/>
      </items>
    </pivotField>
    <pivotField name="내역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결제수단" compact="0" outline="0" multipleItemSelectionAllowed="1" showAll="0">
      <items>
        <item x="0"/>
        <item x="1"/>
        <item x="2"/>
        <item t="default"/>
      </items>
    </pivotField>
    <pivotField name=" 금액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t="default"/>
      </items>
    </pivotField>
    <pivotField name=" 작성자" compact="0" numFmtId="164" outline="0" multipleItemSelectionAllowed="1" showAll="0">
      <items>
        <item x="0"/>
        <item x="1"/>
        <item x="2"/>
        <item t="default"/>
      </items>
    </pivotField>
    <pivotField name="비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t="default"/>
      </items>
    </pivotField>
  </pivotFields>
  <rowFields>
    <field x="3"/>
  </rowFields>
  <pageFields>
    <pageField fld="4"/>
  </pageFields>
  <dataFields>
    <dataField name="지출 계" fld="7" baseField="0"/>
  </dataFields>
</pivotTableDefinition>
</file>

<file path=xl/pivotTables/pivotTable3.xml><?xml version="1.0" encoding="utf-8"?>
<pivotTableDefinition xmlns="http://schemas.openxmlformats.org/spreadsheetml/2006/main" name="변동비 집계 2" cacheId="1" dataCaption="" compact="0" compactData="0">
  <location ref="AF3:AI56" firstHeaderRow="0" firstDataRow="2" firstDataCol="0"/>
  <pivotFields>
    <pivotField name=" 주차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 기준금액" compact="0" numFmtId="164" outline="0" multipleItemSelectionAllowed="1" showAll="0">
      <items>
        <item x="0"/>
        <item t="default"/>
      </items>
    </pivotField>
    <pivotField name="차액" compact="0" numFmtId="164" outline="0" multipleItemSelectionAllowed="1" showAll="0">
      <items>
        <item x="0"/>
        <item t="default"/>
      </items>
    </pivotField>
    <pivotField name="누적사용금액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누적기준금액" dataField="1" compact="0" numFmtId="164" outline="0" multipleItemSelectionAllowed="1" showAll="0">
      <items>
        <item x="0"/>
        <item t="default"/>
      </items>
    </pivotField>
    <pivotField name="누적차액" dataField="1" compact="0" numFmtId="164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합계 : 누적차액" fld="5" baseField="0"/>
    <dataField name="합계 : 누적사용금액" fld="3" baseField="0"/>
    <dataField name="합계 : 누적기준금액" fld="4" baseField="0"/>
  </dataFields>
</pivotTableDefinition>
</file>

<file path=xl/pivotTables/pivotTable4.xml><?xml version="1.0" encoding="utf-8"?>
<pivotTableDefinition xmlns="http://schemas.openxmlformats.org/spreadsheetml/2006/main" name="수락리버 매물" cacheId="2" dataCaption="" compact="0" compactData="0">
  <location ref="P5:S21" firstHeaderRow="0" firstDataRow="2" firstDataCol="0" rowPageCount="2" colPageCount="1"/>
  <pivotFields>
    <pivotField name="등록일" axis="axisRow" compact="0" numFmtId="167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5"/>
        <item x="32"/>
        <item x="34"/>
        <item x="36"/>
        <item t="default"/>
      </items>
    </pivotField>
    <pivotField name="구분" compact="0" numFmtId="167" outline="0" multipleItemSelectionAllowed="1" showAll="0">
      <items>
        <item x="0"/>
        <item x="1"/>
        <item x="2"/>
        <item t="default"/>
      </items>
    </pivotField>
    <pivotField name="단지" axis="axisPage" compact="0" numFmtId="167" outline="0" multipleItemSelectionAllowed="1" showAll="0">
      <items>
        <item h="1" x="0"/>
        <item x="1"/>
        <item h="1" x="2"/>
        <item h="1" x="3"/>
        <item t="default"/>
      </items>
    </pivotField>
    <pivotField name="동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층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층분류" axis="axisPage" compact="0" outline="0" multipleItemSelectionAllowed="1" showAll="0">
      <items>
        <item x="0"/>
        <item x="1"/>
        <item h="1" x="2"/>
        <item h="1" x="3"/>
        <item t="default"/>
      </items>
    </pivotField>
    <pivotField name=" 가격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0"/>
  </rowFields>
  <colFields>
    <field x="-2"/>
  </colFields>
  <pageFields>
    <pageField fld="2"/>
    <pageField fld="5"/>
  </pageFields>
  <dataFields>
    <dataField name="최대" fld="6" subtotal="max" baseField="0"/>
    <dataField name="최소" fld="6" subtotal="min" baseField="0"/>
    <dataField name="평균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2626"/>
    <pageSetUpPr fitToPage="1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2.0"/>
    <col customWidth="1" min="3" max="3" width="26.86"/>
    <col customWidth="1" min="4" max="4" width="16.0"/>
    <col customWidth="1" min="5" max="5" width="16.43"/>
    <col customWidth="1" min="6" max="6" width="8.14"/>
    <col customWidth="1" min="7" max="7" width="15.0"/>
    <col customWidth="1" min="8" max="8" width="24.43"/>
    <col customWidth="1" min="9" max="10" width="4.57"/>
    <col customWidth="1" min="11" max="11" width="1.57"/>
    <col customWidth="1" min="12" max="12" width="22.86"/>
    <col customWidth="1" min="13" max="13" width="11.86"/>
    <col customWidth="1" min="14" max="14" width="12.86"/>
    <col customWidth="1" min="15" max="15" width="13.0"/>
    <col customWidth="1" min="16" max="16" width="12.43"/>
    <col customWidth="1" min="17" max="17" width="7.0"/>
    <col customWidth="1" min="18" max="18" width="6.14"/>
    <col customWidth="1" min="19" max="19" width="9.0"/>
    <col customWidth="1" min="20" max="20" width="12.14"/>
    <col customWidth="1" min="21" max="26" width="9.0"/>
  </cols>
  <sheetData>
    <row r="1" ht="12.0" customHeight="1">
      <c r="F1" s="1"/>
      <c r="G1" s="1"/>
      <c r="H1" s="2"/>
      <c r="Q1" s="3"/>
      <c r="R1" s="3"/>
      <c r="U1" s="4"/>
    </row>
    <row r="2" ht="12.0" customHeight="1">
      <c r="B2" s="5" t="s">
        <v>0</v>
      </c>
      <c r="D2" s="6">
        <f t="shared" ref="D2:E2" si="1">SUM(D4:D6)</f>
        <v>101230000</v>
      </c>
      <c r="E2" s="6">
        <f t="shared" si="1"/>
        <v>114674216</v>
      </c>
      <c r="F2" s="7"/>
      <c r="G2" s="7"/>
      <c r="H2" s="8"/>
      <c r="K2" s="5" t="s">
        <v>1</v>
      </c>
      <c r="M2" s="3"/>
      <c r="N2" s="6">
        <f t="shared" ref="N2:P2" si="2">SUM(N4:N6)</f>
        <v>7500000</v>
      </c>
      <c r="O2" s="9">
        <f t="shared" si="2"/>
        <v>7624232</v>
      </c>
      <c r="P2" s="9">
        <f t="shared" si="2"/>
        <v>-124232</v>
      </c>
      <c r="Q2" s="10" t="s">
        <v>2</v>
      </c>
      <c r="R2" s="11">
        <f>P2/N2</f>
        <v>-0.01656426667</v>
      </c>
      <c r="U2" s="4"/>
    </row>
    <row r="3" ht="12.0" customHeight="1">
      <c r="C3" s="12" t="s">
        <v>3</v>
      </c>
      <c r="D3" s="12" t="s">
        <v>4</v>
      </c>
      <c r="E3" s="12" t="s">
        <v>5</v>
      </c>
      <c r="F3" s="13" t="s">
        <v>6</v>
      </c>
      <c r="G3" s="13" t="s">
        <v>7</v>
      </c>
      <c r="H3" s="14" t="s">
        <v>8</v>
      </c>
      <c r="I3" s="15"/>
      <c r="J3" s="15"/>
      <c r="L3" s="12" t="s">
        <v>3</v>
      </c>
      <c r="M3" s="16"/>
      <c r="N3" s="12" t="s">
        <v>9</v>
      </c>
      <c r="O3" s="17" t="s">
        <v>10</v>
      </c>
      <c r="P3" s="18" t="s">
        <v>11</v>
      </c>
      <c r="Q3" s="19" t="s">
        <v>12</v>
      </c>
      <c r="R3" s="20">
        <f>(DATE(2022,12,31)-DATE(YEAR(NOW()),MONTH(NOW()),DAY(NOW())))/365</f>
        <v>-3.136986301</v>
      </c>
      <c r="U3" s="4"/>
    </row>
    <row r="4" ht="12.0" customHeight="1">
      <c r="C4" s="21" t="s">
        <v>13</v>
      </c>
      <c r="D4" s="4">
        <f>3720000*2+4200000*10+180000*2+30000*12</f>
        <v>50160000</v>
      </c>
      <c r="E4" s="4">
        <f>SUMIFS('현금입금'!H:H,'현금입금'!F:F,"입금",'현금입금'!$I:$I,"p")</f>
        <v>52263152</v>
      </c>
      <c r="F4" s="22">
        <f t="shared" ref="F4:F6" si="3">E4/D4</f>
        <v>1.041928868</v>
      </c>
      <c r="G4" s="23">
        <f t="shared" ref="G4:G6" si="4">E4-D4</f>
        <v>2103152</v>
      </c>
      <c r="H4" s="24" t="s">
        <v>14</v>
      </c>
      <c r="L4" s="25" t="s">
        <v>15</v>
      </c>
      <c r="M4" s="26"/>
      <c r="N4" s="27">
        <v>7000000.0</v>
      </c>
      <c r="O4" s="27">
        <f>SUMIFS('지출내역'!$I:$I,'지출내역'!$F:$F,"여행공연비",'지출내역'!$G:$G,"국내여행")+SUMIFS('지출내역'!$I:$I,'지출내역'!$F:$F,"여행공연비",'지출내역'!$G:$G,"해외여행")</f>
        <v>7624232</v>
      </c>
      <c r="P4" s="28">
        <f t="shared" ref="P4:P5" si="5">N4-O4</f>
        <v>-624232</v>
      </c>
      <c r="Q4" s="29">
        <f t="shared" ref="Q4:Q5" si="6">1-IFERROR(O4/N4,"")</f>
        <v>-0.089176</v>
      </c>
      <c r="R4" s="3"/>
      <c r="U4" s="4"/>
    </row>
    <row r="5" ht="12.0" customHeight="1">
      <c r="C5" s="21" t="s">
        <v>16</v>
      </c>
      <c r="D5" s="4">
        <f>3120000*12+4280000+3570000+4700000</f>
        <v>49990000</v>
      </c>
      <c r="E5" s="4">
        <f>SUMIFS('현금입금'!H:H,'현금입금'!F:F,"입금",'현금입금'!$I:$I,"l")</f>
        <v>62231064</v>
      </c>
      <c r="F5" s="22">
        <f t="shared" si="3"/>
        <v>1.244870254</v>
      </c>
      <c r="G5" s="23">
        <f t="shared" si="4"/>
        <v>12241064</v>
      </c>
      <c r="H5" s="30"/>
      <c r="L5" s="25" t="s">
        <v>17</v>
      </c>
      <c r="M5" s="26"/>
      <c r="N5" s="27">
        <v>500000.0</v>
      </c>
      <c r="O5" s="27">
        <f>SUMIFS('지출내역'!$I:$I,'지출내역'!$F:$F,"여행공연비",'지출내역'!$G:$G,Summary!$L5)</f>
        <v>0</v>
      </c>
      <c r="P5" s="28">
        <f t="shared" si="5"/>
        <v>500000</v>
      </c>
      <c r="Q5" s="29">
        <f t="shared" si="6"/>
        <v>1</v>
      </c>
      <c r="R5" s="3"/>
      <c r="U5" s="4"/>
    </row>
    <row r="6" ht="12.0" customHeight="1">
      <c r="C6" s="21" t="s">
        <v>18</v>
      </c>
      <c r="D6" s="4">
        <f>90000*12</f>
        <v>1080000</v>
      </c>
      <c r="E6" s="4">
        <f>MONTH(NOW())*90000</f>
        <v>180000</v>
      </c>
      <c r="F6" s="22">
        <f t="shared" si="3"/>
        <v>0.1666666667</v>
      </c>
      <c r="G6" s="23">
        <f t="shared" si="4"/>
        <v>-900000</v>
      </c>
      <c r="H6" s="24" t="s">
        <v>19</v>
      </c>
      <c r="L6" s="25"/>
      <c r="M6" s="26"/>
      <c r="N6" s="27"/>
      <c r="O6" s="27"/>
      <c r="P6" s="28"/>
      <c r="Q6" s="29"/>
      <c r="R6" s="3"/>
      <c r="U6" s="4"/>
    </row>
    <row r="7" ht="12.0" customHeight="1">
      <c r="F7" s="1"/>
      <c r="G7" s="1"/>
      <c r="H7" s="2"/>
      <c r="Q7" s="3"/>
      <c r="R7" s="3"/>
      <c r="U7" s="4"/>
    </row>
    <row r="8" ht="12.0" customHeight="1">
      <c r="B8" s="5" t="s">
        <v>20</v>
      </c>
      <c r="D8" s="6">
        <f t="shared" ref="D8:E8" si="7">SUM(D10:D12)</f>
        <v>61882000</v>
      </c>
      <c r="E8" s="6">
        <f t="shared" si="7"/>
        <v>55101405.54</v>
      </c>
      <c r="F8" s="7"/>
      <c r="G8" s="7"/>
      <c r="H8" s="8"/>
      <c r="Q8" s="3"/>
      <c r="R8" s="3"/>
      <c r="U8" s="4"/>
    </row>
    <row r="9" ht="12.0" customHeight="1">
      <c r="C9" s="12" t="s">
        <v>3</v>
      </c>
      <c r="D9" s="12" t="s">
        <v>4</v>
      </c>
      <c r="E9" s="12" t="s">
        <v>5</v>
      </c>
      <c r="F9" s="13" t="s">
        <v>6</v>
      </c>
      <c r="G9" s="13" t="s">
        <v>7</v>
      </c>
      <c r="H9" s="14" t="s">
        <v>8</v>
      </c>
      <c r="K9" s="5" t="s">
        <v>21</v>
      </c>
      <c r="M9" s="3"/>
      <c r="N9" s="6">
        <f t="shared" ref="N9:P9" si="8">SUM(N11:N27)</f>
        <v>34736000</v>
      </c>
      <c r="O9" s="9">
        <f t="shared" si="8"/>
        <v>28373757.54</v>
      </c>
      <c r="P9" s="9">
        <f t="shared" si="8"/>
        <v>6362242.458</v>
      </c>
      <c r="Q9" s="10" t="s">
        <v>2</v>
      </c>
      <c r="R9" s="11">
        <f>(P9-P23)/(N9-N23)</f>
        <v>0.1869551318</v>
      </c>
      <c r="U9" s="4"/>
    </row>
    <row r="10" ht="12.0" customHeight="1">
      <c r="C10" s="21" t="s">
        <v>22</v>
      </c>
      <c r="D10" s="4">
        <f t="shared" ref="D10:E10" si="9">N2</f>
        <v>7500000</v>
      </c>
      <c r="E10" s="4">
        <f t="shared" si="9"/>
        <v>7624232</v>
      </c>
      <c r="F10" s="22">
        <f t="shared" ref="F10:F12" si="11">E10/D10</f>
        <v>1.016564267</v>
      </c>
      <c r="G10" s="23">
        <f t="shared" ref="G10:G12" si="12">E10-D10</f>
        <v>124232</v>
      </c>
      <c r="H10" s="30"/>
      <c r="K10" s="15"/>
      <c r="L10" s="12" t="s">
        <v>23</v>
      </c>
      <c r="M10" s="16"/>
      <c r="N10" s="12" t="s">
        <v>9</v>
      </c>
      <c r="O10" s="17" t="s">
        <v>10</v>
      </c>
      <c r="P10" s="18" t="s">
        <v>11</v>
      </c>
      <c r="Q10" s="19" t="s">
        <v>12</v>
      </c>
      <c r="R10" s="20">
        <f>(DATE(2022,12,31)-DATE(YEAR(NOW()),MONTH(NOW()),DAY(NOW())))/365</f>
        <v>-3.136986301</v>
      </c>
      <c r="U10" s="4"/>
    </row>
    <row r="11" ht="12.0" customHeight="1">
      <c r="C11" s="21" t="s">
        <v>24</v>
      </c>
      <c r="D11" s="4">
        <f t="shared" ref="D11:E11" si="10">N9</f>
        <v>34736000</v>
      </c>
      <c r="E11" s="4">
        <f t="shared" si="10"/>
        <v>28373757.54</v>
      </c>
      <c r="F11" s="22">
        <f t="shared" si="11"/>
        <v>0.8168400951</v>
      </c>
      <c r="G11" s="23">
        <f t="shared" si="12"/>
        <v>-6362242.458</v>
      </c>
      <c r="H11" s="30"/>
      <c r="L11" s="25" t="s">
        <v>25</v>
      </c>
      <c r="M11" s="26"/>
      <c r="N11" s="28">
        <v>1500000.0</v>
      </c>
      <c r="O11" s="27">
        <f>SUMIFS('지출내역'!$I:$I,'지출내역'!$F:$F,"고정비",'지출내역'!$G:$G,Summary!$L11)</f>
        <v>820000</v>
      </c>
      <c r="P11" s="28">
        <f t="shared" ref="P11:P27" si="14">N11-O11</f>
        <v>680000</v>
      </c>
      <c r="Q11" s="29">
        <f t="shared" ref="Q11:Q27" si="15">1-IFERROR(O11/N11,"")</f>
        <v>0.4533333333</v>
      </c>
      <c r="R11" s="31"/>
      <c r="T11" s="4"/>
      <c r="U11" s="4"/>
    </row>
    <row r="12" ht="12.0" customHeight="1">
      <c r="B12" s="32"/>
      <c r="C12" s="21" t="s">
        <v>26</v>
      </c>
      <c r="D12" s="4">
        <f t="shared" ref="D12:E12" si="13">N31</f>
        <v>19646000</v>
      </c>
      <c r="E12" s="4">
        <f t="shared" si="13"/>
        <v>19103416</v>
      </c>
      <c r="F12" s="22">
        <f t="shared" si="11"/>
        <v>0.9723819607</v>
      </c>
      <c r="G12" s="23">
        <f t="shared" si="12"/>
        <v>-542584</v>
      </c>
      <c r="H12" s="30"/>
      <c r="L12" s="25" t="s">
        <v>27</v>
      </c>
      <c r="M12" s="26" t="s">
        <v>28</v>
      </c>
      <c r="N12" s="28">
        <f>280000*12</f>
        <v>3360000</v>
      </c>
      <c r="O12" s="27">
        <f>SUMIFS('지출내역'!$I:$I,'지출내역'!$F:$F,"고정비",'지출내역'!$G:$G,Summary!$L12)</f>
        <v>3112360</v>
      </c>
      <c r="P12" s="28">
        <f t="shared" si="14"/>
        <v>247640</v>
      </c>
      <c r="Q12" s="29">
        <f t="shared" si="15"/>
        <v>0.07370238095</v>
      </c>
      <c r="R12" s="31"/>
      <c r="T12" s="4"/>
      <c r="U12" s="4"/>
    </row>
    <row r="13" ht="12.0" customHeight="1">
      <c r="F13" s="1"/>
      <c r="G13" s="1"/>
      <c r="H13" s="2"/>
      <c r="L13" s="25" t="s">
        <v>29</v>
      </c>
      <c r="M13" s="26" t="s">
        <v>30</v>
      </c>
      <c r="N13" s="28">
        <v>1000000.0</v>
      </c>
      <c r="O13" s="27">
        <f>SUMIFS('지출내역'!$I:$I,'지출내역'!$F:$F,"고정비",'지출내역'!$G:$G,Summary!$L13)</f>
        <v>650750</v>
      </c>
      <c r="P13" s="28">
        <f t="shared" si="14"/>
        <v>349250</v>
      </c>
      <c r="Q13" s="29">
        <f t="shared" si="15"/>
        <v>0.34925</v>
      </c>
      <c r="R13" s="31"/>
      <c r="T13" s="4"/>
      <c r="U13" s="4"/>
    </row>
    <row r="14" ht="12.0" customHeight="1">
      <c r="B14" s="33" t="s">
        <v>31</v>
      </c>
      <c r="C14" s="33"/>
      <c r="D14" s="34">
        <f t="shared" ref="D14:E14" si="16">D2-D8</f>
        <v>39348000</v>
      </c>
      <c r="E14" s="34">
        <f t="shared" si="16"/>
        <v>59572810.46</v>
      </c>
      <c r="F14" s="35">
        <f>E14/D14</f>
        <v>1.513998436</v>
      </c>
      <c r="G14" s="36"/>
      <c r="H14" s="37"/>
      <c r="L14" s="25" t="s">
        <v>32</v>
      </c>
      <c r="M14" s="26" t="s">
        <v>33</v>
      </c>
      <c r="N14" s="28">
        <f>10900*12</f>
        <v>130800</v>
      </c>
      <c r="O14" s="27">
        <f>SUMIFS('지출내역'!$I:$I,'지출내역'!$F:$F,"고정비",'지출내역'!$G:$G,Summary!$L14)</f>
        <v>111140</v>
      </c>
      <c r="P14" s="28">
        <f t="shared" si="14"/>
        <v>19660</v>
      </c>
      <c r="Q14" s="29">
        <f t="shared" si="15"/>
        <v>0.1503058104</v>
      </c>
      <c r="R14" s="31"/>
      <c r="T14" s="4"/>
      <c r="U14" s="4"/>
    </row>
    <row r="15" ht="12.0" customHeight="1">
      <c r="F15" s="1"/>
      <c r="G15" s="1"/>
      <c r="H15" s="2"/>
      <c r="L15" s="25" t="s">
        <v>34</v>
      </c>
      <c r="M15" s="26"/>
      <c r="N15" s="28">
        <v>4000000.0</v>
      </c>
      <c r="O15" s="27">
        <f>SUMIFS('지출내역'!$I:$I,'지출내역'!$F:$F,"고정비",'지출내역'!$G:$G,Summary!$L15)</f>
        <v>3094695</v>
      </c>
      <c r="P15" s="28">
        <f t="shared" si="14"/>
        <v>905305</v>
      </c>
      <c r="Q15" s="29">
        <f t="shared" si="15"/>
        <v>0.22632625</v>
      </c>
      <c r="R15" s="31"/>
      <c r="T15" s="4"/>
      <c r="U15" s="4"/>
    </row>
    <row r="16" ht="12.0" customHeight="1">
      <c r="B16" s="5" t="s">
        <v>35</v>
      </c>
      <c r="D16" s="6">
        <f>D14</f>
        <v>39348000</v>
      </c>
      <c r="E16" s="6">
        <f>SUM(E18:E22)</f>
        <v>57792119.94</v>
      </c>
      <c r="F16" s="7"/>
      <c r="G16" s="7"/>
      <c r="H16" s="8"/>
      <c r="L16" s="25" t="s">
        <v>36</v>
      </c>
      <c r="M16" s="26"/>
      <c r="N16" s="28">
        <v>500000.0</v>
      </c>
      <c r="O16" s="27">
        <f>SUMIFS('지출내역'!$I:$I,'지출내역'!$F:$F,"고정비",'지출내역'!$G:$G,Summary!$L16)</f>
        <v>680850</v>
      </c>
      <c r="P16" s="28">
        <f t="shared" si="14"/>
        <v>-180850</v>
      </c>
      <c r="Q16" s="29">
        <f t="shared" si="15"/>
        <v>-0.3617</v>
      </c>
      <c r="R16" s="31"/>
      <c r="T16" s="4"/>
      <c r="U16" s="4"/>
    </row>
    <row r="17" ht="12.0" customHeight="1">
      <c r="C17" s="12" t="s">
        <v>3</v>
      </c>
      <c r="D17" s="12" t="s">
        <v>37</v>
      </c>
      <c r="E17" s="12" t="s">
        <v>5</v>
      </c>
      <c r="F17" s="13" t="s">
        <v>6</v>
      </c>
      <c r="G17" s="13" t="s">
        <v>7</v>
      </c>
      <c r="H17" s="14" t="s">
        <v>8</v>
      </c>
      <c r="L17" s="25" t="s">
        <v>38</v>
      </c>
      <c r="M17" s="26" t="s">
        <v>39</v>
      </c>
      <c r="N17" s="28">
        <v>1000000.0</v>
      </c>
      <c r="O17" s="27">
        <f>SUMIFS('지출내역'!$I:$I,'지출내역'!$F:$F,"고정비",'지출내역'!$G:$G,Summary!$L17)</f>
        <v>563060</v>
      </c>
      <c r="P17" s="28">
        <f t="shared" si="14"/>
        <v>436940</v>
      </c>
      <c r="Q17" s="29">
        <f t="shared" si="15"/>
        <v>0.43694</v>
      </c>
      <c r="R17" s="31"/>
      <c r="T17" s="4"/>
      <c r="U17" s="4"/>
    </row>
    <row r="18" ht="12.0" customHeight="1">
      <c r="C18" s="21" t="s">
        <v>40</v>
      </c>
      <c r="D18" s="4">
        <f>90000*12</f>
        <v>1080000</v>
      </c>
      <c r="E18" s="4">
        <f>MONTH(NOW())*90000</f>
        <v>180000</v>
      </c>
      <c r="F18" s="22">
        <f t="shared" ref="F18:F21" si="17">IFERROR(E18/D18,0)</f>
        <v>0.1666666667</v>
      </c>
      <c r="G18" s="23">
        <f t="shared" ref="G18:G21" si="18">E18-D18</f>
        <v>-900000</v>
      </c>
      <c r="H18" s="30" t="s">
        <v>19</v>
      </c>
      <c r="L18" s="25" t="s">
        <v>41</v>
      </c>
      <c r="M18" s="26" t="s">
        <v>42</v>
      </c>
      <c r="N18" s="28">
        <f>500000+9600*12+35000*12</f>
        <v>1035200</v>
      </c>
      <c r="O18" s="27">
        <f>SUMIFS('지출내역'!$I:$I,'지출내역'!$F:$F,"고정비",'지출내역'!$G:$G,Summary!$L18)</f>
        <v>992140</v>
      </c>
      <c r="P18" s="28">
        <f t="shared" si="14"/>
        <v>43060</v>
      </c>
      <c r="Q18" s="29">
        <f t="shared" si="15"/>
        <v>0.04159582689</v>
      </c>
      <c r="R18" s="31"/>
      <c r="T18" s="4"/>
      <c r="U18" s="4"/>
    </row>
    <row r="19" ht="12.0" customHeight="1">
      <c r="C19" s="21" t="s">
        <v>43</v>
      </c>
      <c r="D19" s="4">
        <v>3927333.0</v>
      </c>
      <c r="E19" s="4">
        <f>SUMIFS('지출내역'!$I:$I,'지출내역'!$F:$F,"대출상환",'지출내역'!$G:$G,"주택담보대출 원금")</f>
        <v>46139924.94</v>
      </c>
      <c r="F19" s="22">
        <f t="shared" si="17"/>
        <v>11.74841169</v>
      </c>
      <c r="G19" s="23">
        <f t="shared" si="18"/>
        <v>42212591.94</v>
      </c>
      <c r="H19" s="30"/>
      <c r="L19" s="25" t="s">
        <v>44</v>
      </c>
      <c r="M19" s="26"/>
      <c r="N19" s="28">
        <v>850000.0</v>
      </c>
      <c r="O19" s="27">
        <f>SUMIFS('지출내역'!$I:$I,'지출내역'!$F:$F,"고정비",'지출내역'!$G:$G,Summary!$L19)</f>
        <v>751270</v>
      </c>
      <c r="P19" s="28">
        <f t="shared" si="14"/>
        <v>98730</v>
      </c>
      <c r="Q19" s="29">
        <f t="shared" si="15"/>
        <v>0.1161529412</v>
      </c>
      <c r="R19" s="31"/>
      <c r="T19" s="4"/>
      <c r="U19" s="4"/>
    </row>
    <row r="20" ht="12.0" customHeight="1">
      <c r="C20" s="21" t="s">
        <v>45</v>
      </c>
      <c r="D20" s="4">
        <v>0.0</v>
      </c>
      <c r="E20" s="4">
        <f>SUMIFS('지출내역'!$I:$I,'지출내역'!$F:$F,"대출상환",'지출내역'!$G:$G,"신용대출 원금")</f>
        <v>0</v>
      </c>
      <c r="F20" s="22">
        <f t="shared" si="17"/>
        <v>0</v>
      </c>
      <c r="G20" s="23">
        <f t="shared" si="18"/>
        <v>0</v>
      </c>
      <c r="H20" s="30"/>
      <c r="L20" s="25" t="s">
        <v>46</v>
      </c>
      <c r="M20" s="26" t="s">
        <v>47</v>
      </c>
      <c r="N20" s="28">
        <v>2000000.0</v>
      </c>
      <c r="O20" s="27">
        <f>SUMIFS('지출내역'!$I:$I,'지출내역'!$F:$F,"고정비",'지출내역'!$G:$G,Summary!$L20)</f>
        <v>2097640</v>
      </c>
      <c r="P20" s="28">
        <f t="shared" si="14"/>
        <v>-97640</v>
      </c>
      <c r="Q20" s="29">
        <f t="shared" si="15"/>
        <v>-0.04882</v>
      </c>
      <c r="R20" s="31"/>
      <c r="T20" s="4"/>
      <c r="U20" s="4"/>
    </row>
    <row r="21" ht="12.0" customHeight="1">
      <c r="C21" s="21" t="s">
        <v>48</v>
      </c>
      <c r="D21" s="4">
        <f>D16-D18-D19-D20</f>
        <v>34340667</v>
      </c>
      <c r="E21" s="4">
        <f>E26-D26</f>
        <v>14393470</v>
      </c>
      <c r="F21" s="22">
        <f t="shared" si="17"/>
        <v>0.4191377529</v>
      </c>
      <c r="G21" s="23">
        <f t="shared" si="18"/>
        <v>-19947197</v>
      </c>
      <c r="H21" s="2"/>
      <c r="L21" s="25" t="s">
        <v>49</v>
      </c>
      <c r="M21" s="26" t="s">
        <v>50</v>
      </c>
      <c r="N21" s="28">
        <v>1000000.0</v>
      </c>
      <c r="O21" s="27">
        <f>SUMIFS('지출내역'!$I:$I,'지출내역'!$F:$F,"고정비",'지출내역'!$G:$G,Summary!$L21)</f>
        <v>1362198.2</v>
      </c>
      <c r="P21" s="28">
        <f t="shared" si="14"/>
        <v>-362198.2</v>
      </c>
      <c r="Q21" s="29">
        <f t="shared" si="15"/>
        <v>-0.3621982</v>
      </c>
      <c r="R21" s="31"/>
      <c r="T21" s="4"/>
      <c r="U21" s="4"/>
    </row>
    <row r="22" ht="12.0" customHeight="1">
      <c r="C22" s="32" t="s">
        <v>51</v>
      </c>
      <c r="D22" s="32"/>
      <c r="E22" s="38">
        <f>SUM(G36:G39)*-1</f>
        <v>-2921275</v>
      </c>
      <c r="F22" s="39"/>
      <c r="G22" s="39"/>
      <c r="H22" s="2"/>
      <c r="L22" s="25" t="s">
        <v>52</v>
      </c>
      <c r="M22" s="26"/>
      <c r="N22" s="28">
        <v>3500000.0</v>
      </c>
      <c r="O22" s="27">
        <f>SUMIFS('지출내역'!$I:$I,'지출내역'!$F:$F,"고정비",'지출내역'!$G:$G,Summary!$L22)</f>
        <v>3563568</v>
      </c>
      <c r="P22" s="28">
        <f t="shared" si="14"/>
        <v>-63568</v>
      </c>
      <c r="Q22" s="29">
        <f t="shared" si="15"/>
        <v>-0.01816228571</v>
      </c>
      <c r="R22" s="31"/>
      <c r="T22" s="4"/>
      <c r="U22" s="4"/>
    </row>
    <row r="23" ht="12.0" customHeight="1">
      <c r="F23" s="1"/>
      <c r="G23" s="1"/>
      <c r="H23" s="2"/>
      <c r="L23" s="40" t="s">
        <v>53</v>
      </c>
      <c r="M23" s="41"/>
      <c r="N23" s="42">
        <v>5000000.0</v>
      </c>
      <c r="O23" s="43">
        <f>SUMIFS('지출내역'!$I:$I,'지출내역'!$F:$F,"고정비",'지출내역'!$G:$G,Summary!$L23)</f>
        <v>4197055.342</v>
      </c>
      <c r="P23" s="42">
        <f t="shared" si="14"/>
        <v>802944.6583</v>
      </c>
      <c r="Q23" s="29">
        <f t="shared" si="15"/>
        <v>0.1605889317</v>
      </c>
      <c r="R23" s="31"/>
      <c r="T23" s="4"/>
      <c r="U23" s="4"/>
    </row>
    <row r="24" ht="12.0" customHeight="1">
      <c r="D24" s="44" t="s">
        <v>48</v>
      </c>
      <c r="E24" s="45"/>
      <c r="F24" s="45"/>
      <c r="G24" s="46"/>
      <c r="H24" s="2"/>
      <c r="L24" s="25" t="s">
        <v>54</v>
      </c>
      <c r="M24" s="26"/>
      <c r="N24" s="28">
        <v>4000000.0</v>
      </c>
      <c r="O24" s="27">
        <f>SUMIFS('지출내역'!$I:$I,'지출내역'!$F:$F,"고정비",'지출내역'!$G:$G,Summary!$L24)</f>
        <v>1423081</v>
      </c>
      <c r="P24" s="28">
        <f t="shared" si="14"/>
        <v>2576919</v>
      </c>
      <c r="Q24" s="29">
        <f t="shared" si="15"/>
        <v>0.64422975</v>
      </c>
      <c r="R24" s="31"/>
      <c r="T24" s="4"/>
      <c r="U24" s="4"/>
    </row>
    <row r="25" ht="12.0" customHeight="1">
      <c r="D25" s="47" t="s">
        <v>55</v>
      </c>
      <c r="E25" s="48" t="s">
        <v>56</v>
      </c>
      <c r="F25" s="48"/>
      <c r="G25" s="48"/>
      <c r="H25" s="2"/>
      <c r="L25" s="25" t="s">
        <v>57</v>
      </c>
      <c r="M25" s="26"/>
      <c r="N25" s="28">
        <v>1500000.0</v>
      </c>
      <c r="O25" s="27">
        <f>SUMIFS('지출내역'!$I:$I,'지출내역'!$F:$F,"고정비",'지출내역'!$G:$G,Summary!$L25)</f>
        <v>964090</v>
      </c>
      <c r="P25" s="28">
        <f t="shared" si="14"/>
        <v>535910</v>
      </c>
      <c r="Q25" s="29">
        <f t="shared" si="15"/>
        <v>0.3572733333</v>
      </c>
      <c r="R25" s="3"/>
      <c r="T25" s="4"/>
      <c r="U25" s="4"/>
    </row>
    <row r="26" ht="12.0" customHeight="1">
      <c r="D26" s="49">
        <v>2.3067103E7</v>
      </c>
      <c r="E26" s="50">
        <f>SUM(G26:G34)</f>
        <v>37460573</v>
      </c>
      <c r="F26" s="51" t="s">
        <v>58</v>
      </c>
      <c r="G26" s="52">
        <v>8047004.0</v>
      </c>
      <c r="H26" s="2"/>
      <c r="L26" s="25" t="s">
        <v>59</v>
      </c>
      <c r="N26" s="28">
        <v>4000000.0</v>
      </c>
      <c r="O26" s="27">
        <f>SUMIFS('지출내역'!$I:$I,'지출내역'!$F:$F,"고정비",'지출내역'!$G:$G,Summary!$L26)</f>
        <v>3674260</v>
      </c>
      <c r="P26" s="28">
        <f t="shared" si="14"/>
        <v>325740</v>
      </c>
      <c r="Q26" s="29">
        <f t="shared" si="15"/>
        <v>0.081435</v>
      </c>
      <c r="R26" s="3"/>
      <c r="T26" s="4"/>
      <c r="U26" s="4"/>
    </row>
    <row r="27" ht="12.0" customHeight="1">
      <c r="D27" s="53"/>
      <c r="E27" s="51"/>
      <c r="F27" s="51" t="s">
        <v>60</v>
      </c>
      <c r="G27" s="52">
        <f>3428712</f>
        <v>3428712</v>
      </c>
      <c r="H27" s="2"/>
      <c r="L27" s="25" t="s">
        <v>61</v>
      </c>
      <c r="M27" s="26" t="s">
        <v>62</v>
      </c>
      <c r="N27" s="28">
        <f>180000*2</f>
        <v>360000</v>
      </c>
      <c r="O27" s="27">
        <f>SUMIFS('지출내역'!$I:$I,'지출내역'!$F:$F,"고정비",'지출내역'!$G:$G,Summary!$L27)</f>
        <v>315600</v>
      </c>
      <c r="P27" s="28">
        <f t="shared" si="14"/>
        <v>44400</v>
      </c>
      <c r="Q27" s="29">
        <f t="shared" si="15"/>
        <v>0.1233333333</v>
      </c>
      <c r="R27" s="3"/>
      <c r="U27" s="4"/>
    </row>
    <row r="28" ht="12.0" customHeight="1">
      <c r="D28" s="53"/>
      <c r="E28" s="51"/>
      <c r="F28" s="51" t="s">
        <v>63</v>
      </c>
      <c r="G28" s="52">
        <v>9009653.0</v>
      </c>
      <c r="H28" s="2"/>
      <c r="Q28" s="3"/>
      <c r="R28" s="3"/>
      <c r="U28" s="4"/>
    </row>
    <row r="29" ht="12.0" customHeight="1">
      <c r="D29" s="53"/>
      <c r="E29" s="51"/>
      <c r="F29" s="51" t="s">
        <v>64</v>
      </c>
      <c r="G29" s="52">
        <v>1.008204E7</v>
      </c>
      <c r="H29" s="2"/>
      <c r="Q29" s="3"/>
      <c r="R29" s="3"/>
      <c r="U29" s="4"/>
    </row>
    <row r="30" ht="12.0" customHeight="1">
      <c r="D30" s="53"/>
      <c r="E30" s="51"/>
      <c r="F30" s="51" t="s">
        <v>65</v>
      </c>
      <c r="G30" s="52">
        <v>6095164.0</v>
      </c>
      <c r="H30" s="2"/>
      <c r="N30" s="54"/>
      <c r="Q30" s="3"/>
      <c r="R30" s="3"/>
      <c r="U30" s="4"/>
    </row>
    <row r="31" ht="12.0" customHeight="1">
      <c r="D31" s="53"/>
      <c r="E31" s="51"/>
      <c r="F31" s="51"/>
      <c r="G31" s="52"/>
      <c r="H31" s="2"/>
      <c r="K31" s="5" t="s">
        <v>66</v>
      </c>
      <c r="M31" s="55"/>
      <c r="N31" s="6">
        <f t="shared" ref="N31:P31" si="19">SUM(N33:N40)</f>
        <v>19646000</v>
      </c>
      <c r="O31" s="9">
        <f t="shared" si="19"/>
        <v>19103416</v>
      </c>
      <c r="P31" s="56">
        <f t="shared" si="19"/>
        <v>542584</v>
      </c>
      <c r="Q31" s="10" t="s">
        <v>2</v>
      </c>
      <c r="R31" s="11">
        <f>P31/N31</f>
        <v>0.0276180393</v>
      </c>
      <c r="U31" s="4"/>
    </row>
    <row r="32" ht="12.0" customHeight="1">
      <c r="D32" s="53"/>
      <c r="E32" s="51"/>
      <c r="F32" s="51" t="s">
        <v>67</v>
      </c>
      <c r="G32" s="52">
        <v>402900.0</v>
      </c>
      <c r="H32" s="2"/>
      <c r="K32" s="15"/>
      <c r="L32" s="57" t="s">
        <v>68</v>
      </c>
      <c r="M32" s="58"/>
      <c r="N32" s="57" t="s">
        <v>9</v>
      </c>
      <c r="O32" s="17" t="s">
        <v>10</v>
      </c>
      <c r="P32" s="18" t="s">
        <v>11</v>
      </c>
      <c r="Q32" s="19" t="s">
        <v>12</v>
      </c>
      <c r="R32" s="20">
        <f>(DATE(2022,12,31)-DATE(YEAR(NOW()),MONTH(NOW()),DAY(NOW())))/365</f>
        <v>-3.136986301</v>
      </c>
      <c r="T32" s="4"/>
      <c r="U32" s="4"/>
    </row>
    <row r="33" ht="12.0" customHeight="1">
      <c r="D33" s="53"/>
      <c r="E33" s="51"/>
      <c r="F33" s="51" t="s">
        <v>69</v>
      </c>
      <c r="G33" s="52">
        <v>395100.0</v>
      </c>
      <c r="H33" s="2"/>
      <c r="L33" s="25" t="s">
        <v>70</v>
      </c>
      <c r="M33" s="26"/>
      <c r="N33" s="59">
        <v>5000000.0</v>
      </c>
      <c r="O33" s="27">
        <f>SUMIFS('지출내역'!$I:$I,'지출내역'!$F:$F,"변동비",'지출내역'!$G:$G,Summary!$L33)</f>
        <v>4730317</v>
      </c>
      <c r="P33" s="28">
        <f t="shared" ref="P33:P40" si="20">N33-O33</f>
        <v>269683</v>
      </c>
      <c r="Q33" s="29">
        <f t="shared" ref="Q33:Q40" si="21">1-IFERROR(O33/N33,"")</f>
        <v>0.0539366</v>
      </c>
      <c r="R33" s="3"/>
      <c r="T33" s="4"/>
      <c r="U33" s="4"/>
    </row>
    <row r="34" ht="12.0" customHeight="1">
      <c r="D34" s="60" t="s">
        <v>71</v>
      </c>
      <c r="E34" s="61"/>
      <c r="F34" s="61"/>
      <c r="G34" s="62"/>
      <c r="H34" s="2"/>
      <c r="L34" s="25" t="s">
        <v>72</v>
      </c>
      <c r="M34" s="26"/>
      <c r="N34" s="59">
        <f>4500*4*52</f>
        <v>936000</v>
      </c>
      <c r="O34" s="27">
        <f>SUMIFS('지출내역'!$I:$I,'지출내역'!$F:$F,"변동비",'지출내역'!$G:$G,Summary!$L34)</f>
        <v>908735</v>
      </c>
      <c r="P34" s="28">
        <f t="shared" si="20"/>
        <v>27265</v>
      </c>
      <c r="Q34" s="29">
        <f t="shared" si="21"/>
        <v>0.0291292735</v>
      </c>
      <c r="R34" s="3"/>
      <c r="S34" s="59"/>
      <c r="T34" s="4"/>
      <c r="U34" s="4"/>
    </row>
    <row r="35" ht="12.0" customHeight="1">
      <c r="E35" s="63"/>
      <c r="F35" s="1"/>
      <c r="G35" s="1"/>
      <c r="H35" s="2"/>
      <c r="L35" s="25" t="s">
        <v>73</v>
      </c>
      <c r="M35" s="26" t="s">
        <v>74</v>
      </c>
      <c r="N35" s="59">
        <v>1000000.0</v>
      </c>
      <c r="O35" s="27">
        <f>SUMIFS('지출내역'!$I:$I,'지출내역'!$F:$F,"변동비",'지출내역'!$G:$G,Summary!$L35)</f>
        <v>881470</v>
      </c>
      <c r="P35" s="28">
        <f t="shared" si="20"/>
        <v>118530</v>
      </c>
      <c r="Q35" s="29">
        <f t="shared" si="21"/>
        <v>0.11853</v>
      </c>
      <c r="R35" s="3"/>
      <c r="T35" s="4"/>
      <c r="U35" s="4"/>
    </row>
    <row r="36" ht="12.0" customHeight="1">
      <c r="D36" s="44" t="s">
        <v>51</v>
      </c>
      <c r="E36" s="64"/>
      <c r="F36" s="65" t="s">
        <v>75</v>
      </c>
      <c r="G36" s="66">
        <v>684148.0</v>
      </c>
      <c r="H36" s="2"/>
      <c r="L36" s="25" t="s">
        <v>76</v>
      </c>
      <c r="M36" s="26" t="s">
        <v>77</v>
      </c>
      <c r="N36" s="59">
        <v>6500000.0</v>
      </c>
      <c r="O36" s="27">
        <f>SUMIFS('지출내역'!$I:$I,'지출내역'!$F:$F,"변동비",'지출내역'!$G:$G,Summary!$L36)</f>
        <v>6401752</v>
      </c>
      <c r="P36" s="28">
        <f t="shared" si="20"/>
        <v>98248</v>
      </c>
      <c r="Q36" s="29">
        <f t="shared" si="21"/>
        <v>0.01511507692</v>
      </c>
      <c r="R36" s="3"/>
      <c r="T36" s="4"/>
      <c r="U36" s="4"/>
    </row>
    <row r="37" ht="12.0" customHeight="1">
      <c r="D37" s="47" t="s">
        <v>55</v>
      </c>
      <c r="E37" s="48" t="s">
        <v>56</v>
      </c>
      <c r="F37" s="51" t="s">
        <v>78</v>
      </c>
      <c r="G37" s="52">
        <v>329381.0</v>
      </c>
      <c r="H37" s="2"/>
      <c r="L37" s="25" t="s">
        <v>79</v>
      </c>
      <c r="M37" s="26" t="s">
        <v>80</v>
      </c>
      <c r="N37" s="59">
        <v>3500000.0</v>
      </c>
      <c r="O37" s="27">
        <f>SUMIFS('지출내역'!$I:$I,'지출내역'!$F:$F,"변동비",'지출내역'!$G:$G,Summary!$L37)</f>
        <v>3873179</v>
      </c>
      <c r="P37" s="28">
        <f t="shared" si="20"/>
        <v>-373179</v>
      </c>
      <c r="Q37" s="29">
        <f t="shared" si="21"/>
        <v>-0.1066225714</v>
      </c>
      <c r="R37" s="67"/>
      <c r="T37" s="4"/>
      <c r="U37" s="4"/>
    </row>
    <row r="38" ht="12.0" customHeight="1">
      <c r="D38" s="49"/>
      <c r="E38" s="50">
        <f>SUM(G36:G39)</f>
        <v>2921275</v>
      </c>
      <c r="F38" s="51" t="s">
        <v>81</v>
      </c>
      <c r="G38" s="52">
        <v>45652.0</v>
      </c>
      <c r="H38" s="2"/>
      <c r="L38" s="25" t="s">
        <v>82</v>
      </c>
      <c r="M38" s="26"/>
      <c r="N38" s="59">
        <v>2000000.0</v>
      </c>
      <c r="O38" s="27">
        <f>SUMIFS('지출내역'!$I:$I,'지출내역'!$F:$F,"변동비",'지출내역'!$G:$G,Summary!$L38)</f>
        <v>1658308</v>
      </c>
      <c r="P38" s="28">
        <f t="shared" si="20"/>
        <v>341692</v>
      </c>
      <c r="Q38" s="29">
        <f t="shared" si="21"/>
        <v>0.170846</v>
      </c>
      <c r="R38" s="67"/>
      <c r="T38" s="4"/>
      <c r="U38" s="4"/>
    </row>
    <row r="39" ht="12.0" customHeight="1">
      <c r="D39" s="60" t="s">
        <v>71</v>
      </c>
      <c r="E39" s="68"/>
      <c r="F39" s="61" t="s">
        <v>83</v>
      </c>
      <c r="G39" s="62">
        <v>1862094.0</v>
      </c>
      <c r="H39" s="2"/>
      <c r="L39" s="25" t="s">
        <v>84</v>
      </c>
      <c r="M39" s="26" t="s">
        <v>85</v>
      </c>
      <c r="N39" s="59">
        <v>200000.0</v>
      </c>
      <c r="O39" s="27">
        <f>SUMIFS('지출내역'!$I:$I,'지출내역'!$F:$F,"변동비",'지출내역'!$G:$G,Summary!$L39)</f>
        <v>68000</v>
      </c>
      <c r="P39" s="28">
        <f t="shared" si="20"/>
        <v>132000</v>
      </c>
      <c r="Q39" s="29">
        <f t="shared" si="21"/>
        <v>0.66</v>
      </c>
      <c r="R39" s="3"/>
      <c r="T39" s="4"/>
      <c r="U39" s="4"/>
    </row>
    <row r="40" ht="12.0" customHeight="1">
      <c r="F40" s="1"/>
      <c r="G40" s="1"/>
      <c r="H40" s="2"/>
      <c r="I40" s="21" t="s">
        <v>86</v>
      </c>
      <c r="L40" s="25" t="s">
        <v>87</v>
      </c>
      <c r="M40" s="26" t="s">
        <v>88</v>
      </c>
      <c r="N40" s="59">
        <f>12*30000+150000</f>
        <v>510000</v>
      </c>
      <c r="O40" s="27">
        <f>SUMIFS('지출내역'!$I:$I,'지출내역'!$F:$F,"변동비",'지출내역'!$G:$G,Summary!$L40)</f>
        <v>581655</v>
      </c>
      <c r="P40" s="28">
        <f t="shared" si="20"/>
        <v>-71655</v>
      </c>
      <c r="Q40" s="29">
        <f t="shared" si="21"/>
        <v>-0.1405</v>
      </c>
      <c r="R40" s="3"/>
      <c r="T40" s="4"/>
      <c r="U40" s="4"/>
    </row>
    <row r="41" ht="12.0" customHeight="1">
      <c r="F41" s="1"/>
      <c r="G41" s="1"/>
      <c r="H41" s="2"/>
      <c r="M41" s="26"/>
      <c r="N41" s="69"/>
      <c r="Q41" s="3"/>
      <c r="R41" s="3"/>
      <c r="U41" s="4"/>
    </row>
    <row r="42" ht="12.0" customHeight="1">
      <c r="B42" s="5" t="s">
        <v>89</v>
      </c>
      <c r="D42" s="6"/>
      <c r="E42" s="6"/>
      <c r="F42" s="7"/>
      <c r="G42" s="7"/>
      <c r="H42" s="8"/>
      <c r="L42" s="70"/>
      <c r="M42" s="71"/>
      <c r="N42" s="72"/>
      <c r="O42" s="71"/>
      <c r="P42" s="71"/>
      <c r="Q42" s="31"/>
      <c r="R42" s="3"/>
      <c r="U42" s="4"/>
    </row>
    <row r="43" ht="12.0" customHeight="1">
      <c r="C43" s="73" t="s">
        <v>3</v>
      </c>
      <c r="D43" s="73"/>
      <c r="E43" s="73" t="s">
        <v>5</v>
      </c>
      <c r="F43" s="74"/>
      <c r="G43" s="74"/>
      <c r="H43" s="75" t="s">
        <v>8</v>
      </c>
      <c r="L43" s="76" t="s">
        <v>90</v>
      </c>
      <c r="M43" s="76">
        <v>377000.0</v>
      </c>
      <c r="N43" s="77">
        <f>N31/52</f>
        <v>377807.6923</v>
      </c>
      <c r="O43" s="76"/>
      <c r="P43" s="76">
        <f>P31</f>
        <v>542584</v>
      </c>
      <c r="Q43" s="31"/>
      <c r="R43" s="3"/>
      <c r="U43" s="4"/>
    </row>
    <row r="44" ht="12.0" customHeight="1">
      <c r="E44" s="27">
        <f>E14-E16</f>
        <v>1780690.514</v>
      </c>
      <c r="F44" s="1"/>
      <c r="G44" s="1"/>
      <c r="H44" s="78" t="s">
        <v>91</v>
      </c>
      <c r="L44" s="76"/>
      <c r="M44" s="76"/>
      <c r="Q44" s="3"/>
      <c r="R44" s="3"/>
      <c r="U44" s="4"/>
    </row>
    <row r="45" ht="12.0" customHeight="1">
      <c r="F45" s="1"/>
      <c r="G45" s="1"/>
      <c r="H45" s="2"/>
      <c r="N45" s="69"/>
      <c r="Q45" s="3"/>
      <c r="R45" s="3"/>
      <c r="U45" s="4"/>
    </row>
    <row r="46" ht="12.0" customHeight="1">
      <c r="B46" s="5" t="s">
        <v>92</v>
      </c>
      <c r="D46" s="6"/>
      <c r="E46" s="6"/>
      <c r="F46" s="7"/>
      <c r="G46" s="7"/>
      <c r="H46" s="8"/>
      <c r="N46" s="4"/>
      <c r="Q46" s="3"/>
      <c r="R46" s="3"/>
      <c r="U46" s="4"/>
    </row>
    <row r="47" ht="12.0" customHeight="1">
      <c r="C47" s="79" t="s">
        <v>3</v>
      </c>
      <c r="D47" s="79" t="s">
        <v>55</v>
      </c>
      <c r="E47" s="79" t="s">
        <v>56</v>
      </c>
      <c r="F47" s="80" t="s">
        <v>6</v>
      </c>
      <c r="G47" s="80" t="s">
        <v>7</v>
      </c>
      <c r="H47" s="81" t="s">
        <v>8</v>
      </c>
      <c r="Q47" s="3"/>
      <c r="R47" s="3"/>
      <c r="U47" s="4"/>
    </row>
    <row r="48" ht="12.0" customHeight="1">
      <c r="C48" s="82" t="s">
        <v>93</v>
      </c>
      <c r="D48" s="83">
        <f t="shared" ref="D48:E48" si="22">SUM(D49:D55)-D50</f>
        <v>855638692</v>
      </c>
      <c r="E48" s="83">
        <f t="shared" si="22"/>
        <v>837057184</v>
      </c>
      <c r="F48" s="84"/>
      <c r="G48" s="85">
        <f t="shared" ref="G48:G55" si="23">E48-D48</f>
        <v>-18581508</v>
      </c>
      <c r="H48" s="86"/>
      <c r="Q48" s="3"/>
      <c r="R48" s="3"/>
      <c r="U48" s="4"/>
    </row>
    <row r="49" ht="12.0" customHeight="1">
      <c r="C49" s="87" t="s">
        <v>94</v>
      </c>
      <c r="D49" s="9">
        <v>7.1E8</v>
      </c>
      <c r="E49" s="9">
        <v>6.6E8</v>
      </c>
      <c r="F49" s="88">
        <f>E49/D49-1</f>
        <v>-0.07042253521</v>
      </c>
      <c r="G49" s="89">
        <f t="shared" si="23"/>
        <v>-50000000</v>
      </c>
      <c r="H49" s="90" t="s">
        <v>95</v>
      </c>
      <c r="Q49" s="3"/>
      <c r="R49" s="3"/>
      <c r="U49" s="4"/>
    </row>
    <row r="50" ht="12.0" customHeight="1">
      <c r="C50" s="91" t="s">
        <v>96</v>
      </c>
      <c r="D50" s="92">
        <f t="shared" ref="D50:E50" si="24">D49-427000000</f>
        <v>283000000</v>
      </c>
      <c r="E50" s="92">
        <f t="shared" si="24"/>
        <v>233000000</v>
      </c>
      <c r="F50" s="93">
        <f>IFERROR(E50/D50-1,"")</f>
        <v>-0.1766784452</v>
      </c>
      <c r="G50" s="94">
        <f t="shared" si="23"/>
        <v>-50000000</v>
      </c>
      <c r="H50" s="95" t="s">
        <v>97</v>
      </c>
      <c r="Q50" s="3"/>
      <c r="R50" s="3"/>
      <c r="U50" s="4"/>
    </row>
    <row r="51" ht="12.0" customHeight="1">
      <c r="C51" s="87" t="s">
        <v>98</v>
      </c>
      <c r="D51" s="9">
        <v>2000000.0</v>
      </c>
      <c r="E51" s="9">
        <v>2000000.0</v>
      </c>
      <c r="F51" s="88">
        <f t="shared" ref="F51:F55" si="25">E51/D51-1</f>
        <v>0</v>
      </c>
      <c r="G51" s="89">
        <f t="shared" si="23"/>
        <v>0</v>
      </c>
      <c r="H51" s="90"/>
      <c r="Q51" s="3"/>
      <c r="R51" s="3"/>
      <c r="U51" s="4"/>
    </row>
    <row r="52" ht="12.0" customHeight="1">
      <c r="C52" s="87" t="s">
        <v>99</v>
      </c>
      <c r="D52" s="9">
        <v>8.009142E7</v>
      </c>
      <c r="E52" s="9">
        <v>8.992163E7</v>
      </c>
      <c r="F52" s="88">
        <f t="shared" si="25"/>
        <v>0.1227373669</v>
      </c>
      <c r="G52" s="89">
        <f t="shared" si="23"/>
        <v>9830210</v>
      </c>
      <c r="H52" s="90"/>
      <c r="Q52" s="3"/>
      <c r="R52" s="3"/>
      <c r="U52" s="4"/>
    </row>
    <row r="53" ht="12.0" customHeight="1">
      <c r="C53" s="87" t="s">
        <v>100</v>
      </c>
      <c r="D53" s="9">
        <v>4584209.0</v>
      </c>
      <c r="E53" s="9">
        <v>9372591.0</v>
      </c>
      <c r="F53" s="88">
        <f t="shared" si="25"/>
        <v>1.044538327</v>
      </c>
      <c r="G53" s="89">
        <f t="shared" si="23"/>
        <v>4788382</v>
      </c>
      <c r="H53" s="96" t="s">
        <v>101</v>
      </c>
      <c r="Q53" s="3"/>
      <c r="R53" s="3"/>
      <c r="U53" s="4"/>
    </row>
    <row r="54" ht="12.0" customHeight="1">
      <c r="C54" s="87" t="s">
        <v>102</v>
      </c>
      <c r="D54" s="9">
        <v>3.589596E7</v>
      </c>
      <c r="E54" s="9">
        <v>3.830239E7</v>
      </c>
      <c r="F54" s="88">
        <f t="shared" si="25"/>
        <v>0.06703902055</v>
      </c>
      <c r="G54" s="89">
        <f t="shared" si="23"/>
        <v>2406430</v>
      </c>
      <c r="H54" s="90"/>
      <c r="Q54" s="3"/>
      <c r="R54" s="3"/>
      <c r="U54" s="4"/>
    </row>
    <row r="55" ht="12.0" customHeight="1">
      <c r="C55" s="87" t="s">
        <v>103</v>
      </c>
      <c r="D55" s="9">
        <f t="shared" ref="D55:E55" si="26">D26</f>
        <v>23067103</v>
      </c>
      <c r="E55" s="9">
        <f t="shared" si="26"/>
        <v>37460573</v>
      </c>
      <c r="F55" s="88">
        <f t="shared" si="25"/>
        <v>0.6239825608</v>
      </c>
      <c r="G55" s="89">
        <f t="shared" si="23"/>
        <v>14393470</v>
      </c>
      <c r="H55" s="90"/>
      <c r="Q55" s="3"/>
      <c r="R55" s="3"/>
      <c r="U55" s="4"/>
    </row>
    <row r="56" ht="12.0" customHeight="1">
      <c r="C56" s="15"/>
      <c r="D56" s="15"/>
      <c r="E56" s="15"/>
      <c r="F56" s="97"/>
      <c r="G56" s="97"/>
      <c r="H56" s="98"/>
      <c r="Q56" s="3"/>
      <c r="R56" s="3"/>
      <c r="U56" s="4"/>
    </row>
    <row r="57" ht="12.0" customHeight="1">
      <c r="C57" s="82" t="s">
        <v>104</v>
      </c>
      <c r="D57" s="83">
        <f t="shared" ref="D57:E57" si="27">SUM(D58:D60)</f>
        <v>165223781</v>
      </c>
      <c r="E57" s="99">
        <f t="shared" si="27"/>
        <v>122005131.1</v>
      </c>
      <c r="F57" s="84"/>
      <c r="G57" s="85">
        <f t="shared" ref="G57:G59" si="28">E57-D57</f>
        <v>-43218649.94</v>
      </c>
      <c r="H57" s="100" t="s">
        <v>105</v>
      </c>
      <c r="Q57" s="3"/>
      <c r="R57" s="3"/>
      <c r="U57" s="4"/>
    </row>
    <row r="58" ht="12.0" customHeight="1">
      <c r="C58" s="87" t="s">
        <v>106</v>
      </c>
      <c r="D58" s="9">
        <v>1.65223781E8</v>
      </c>
      <c r="E58" s="9">
        <f>D58-E19</f>
        <v>119083856.1</v>
      </c>
      <c r="F58" s="88">
        <f t="shared" ref="F58:F59" si="30">IFERROR(E58/D58-1,0)</f>
        <v>-0.2792571666</v>
      </c>
      <c r="G58" s="89">
        <f t="shared" si="28"/>
        <v>-46139924.94</v>
      </c>
      <c r="H58" s="101">
        <f>E58/E49</f>
        <v>0.1804300849</v>
      </c>
      <c r="Q58" s="3"/>
      <c r="R58" s="3"/>
      <c r="U58" s="4"/>
    </row>
    <row r="59" ht="12.0" customHeight="1">
      <c r="C59" s="87" t="s">
        <v>107</v>
      </c>
      <c r="D59" s="9" t="str">
        <f t="shared" ref="D59:E59" si="29">D38</f>
        <v/>
      </c>
      <c r="E59" s="9">
        <f t="shared" si="29"/>
        <v>2921275</v>
      </c>
      <c r="F59" s="88">
        <f t="shared" si="30"/>
        <v>0</v>
      </c>
      <c r="G59" s="89">
        <f t="shared" si="28"/>
        <v>2921275</v>
      </c>
      <c r="H59" s="90"/>
      <c r="Q59" s="3"/>
      <c r="R59" s="3"/>
      <c r="U59" s="4"/>
    </row>
    <row r="60" ht="12.0" customHeight="1">
      <c r="C60" s="15"/>
      <c r="D60" s="15"/>
      <c r="E60" s="15"/>
      <c r="F60" s="97"/>
      <c r="G60" s="97"/>
      <c r="H60" s="98"/>
      <c r="Q60" s="3"/>
      <c r="R60" s="3"/>
      <c r="U60" s="4"/>
    </row>
    <row r="61" ht="19.5" customHeight="1">
      <c r="C61" s="102" t="s">
        <v>108</v>
      </c>
      <c r="D61" s="103">
        <f t="shared" ref="D61:E61" si="31">D48-D57</f>
        <v>690414911</v>
      </c>
      <c r="E61" s="104">
        <f t="shared" si="31"/>
        <v>715052052.9</v>
      </c>
      <c r="F61" s="105">
        <f t="shared" ref="F61:F63" si="33">E61/D61-1</f>
        <v>0.03568454498</v>
      </c>
      <c r="G61" s="106">
        <f t="shared" ref="G61:G63" si="34">E61-D61</f>
        <v>24637141.94</v>
      </c>
      <c r="H61" s="107"/>
      <c r="Q61" s="3"/>
      <c r="R61" s="3"/>
      <c r="U61" s="4"/>
    </row>
    <row r="62" ht="19.5" customHeight="1">
      <c r="C62" s="108" t="s">
        <v>109</v>
      </c>
      <c r="D62" s="109">
        <f t="shared" ref="D62:E62" si="32">SUM(D51:D55)-D57+427000000</f>
        <v>407414911</v>
      </c>
      <c r="E62" s="110">
        <f t="shared" si="32"/>
        <v>482052052.9</v>
      </c>
      <c r="F62" s="111">
        <f t="shared" si="33"/>
        <v>0.1831968834</v>
      </c>
      <c r="G62" s="110">
        <f t="shared" si="34"/>
        <v>74637141.94</v>
      </c>
      <c r="H62" s="112"/>
      <c r="Q62" s="3"/>
      <c r="R62" s="3"/>
      <c r="U62" s="4"/>
    </row>
    <row r="63" ht="19.5" customHeight="1">
      <c r="C63" s="113" t="s">
        <v>110</v>
      </c>
      <c r="D63" s="114">
        <f t="shared" ref="D63:E63" si="35">D62-D51-D52</f>
        <v>325323491</v>
      </c>
      <c r="E63" s="115">
        <f t="shared" si="35"/>
        <v>390130422.9</v>
      </c>
      <c r="F63" s="116">
        <f t="shared" si="33"/>
        <v>0.1992076617</v>
      </c>
      <c r="G63" s="115">
        <f t="shared" si="34"/>
        <v>64806931.94</v>
      </c>
      <c r="H63" s="117"/>
      <c r="Q63" s="3"/>
      <c r="R63" s="3"/>
      <c r="U63" s="4"/>
    </row>
    <row r="64" ht="12.0" customHeight="1">
      <c r="F64" s="1"/>
      <c r="G64" s="1"/>
      <c r="H64" s="2"/>
      <c r="Q64" s="3"/>
      <c r="R64" s="3"/>
      <c r="U64" s="4"/>
    </row>
    <row r="65" ht="12.0" customHeight="1">
      <c r="F65" s="1"/>
      <c r="G65" s="1"/>
      <c r="H65" s="2"/>
      <c r="Q65" s="3"/>
      <c r="R65" s="3"/>
      <c r="U65" s="4"/>
    </row>
    <row r="66" ht="12.0" customHeight="1">
      <c r="F66" s="1"/>
      <c r="G66" s="1"/>
      <c r="H66" s="2"/>
      <c r="Q66" s="3"/>
      <c r="R66" s="3"/>
      <c r="U66" s="4"/>
    </row>
    <row r="67" ht="12.0" customHeight="1">
      <c r="F67" s="1"/>
      <c r="G67" s="1"/>
      <c r="H67" s="2"/>
      <c r="Q67" s="3"/>
      <c r="R67" s="3"/>
      <c r="U67" s="4"/>
    </row>
    <row r="68" ht="12.0" customHeight="1">
      <c r="F68" s="1"/>
      <c r="G68" s="1"/>
      <c r="H68" s="2"/>
      <c r="Q68" s="3"/>
      <c r="R68" s="3"/>
      <c r="U68" s="4"/>
    </row>
    <row r="69" ht="12.0" customHeight="1">
      <c r="F69" s="1"/>
      <c r="G69" s="1"/>
      <c r="H69" s="2"/>
      <c r="Q69" s="3"/>
      <c r="R69" s="3"/>
      <c r="U69" s="4"/>
    </row>
    <row r="70" ht="12.0" customHeight="1">
      <c r="F70" s="1"/>
      <c r="G70" s="1"/>
      <c r="H70" s="2"/>
      <c r="Q70" s="3"/>
      <c r="R70" s="3"/>
      <c r="U70" s="4"/>
    </row>
    <row r="71" ht="12.0" customHeight="1">
      <c r="F71" s="1"/>
      <c r="G71" s="1"/>
      <c r="H71" s="2"/>
      <c r="Q71" s="3"/>
      <c r="R71" s="3"/>
      <c r="U71" s="4"/>
    </row>
    <row r="72" ht="12.0" customHeight="1">
      <c r="F72" s="1"/>
      <c r="G72" s="1"/>
      <c r="H72" s="2"/>
      <c r="Q72" s="3"/>
      <c r="R72" s="3"/>
      <c r="U72" s="4"/>
    </row>
    <row r="73" ht="12.0" customHeight="1">
      <c r="F73" s="1"/>
      <c r="G73" s="1"/>
      <c r="H73" s="2"/>
      <c r="Q73" s="3"/>
      <c r="R73" s="3"/>
      <c r="U73" s="4"/>
    </row>
    <row r="74" ht="12.0" customHeight="1">
      <c r="F74" s="1"/>
      <c r="G74" s="1"/>
      <c r="H74" s="2"/>
      <c r="Q74" s="3"/>
      <c r="R74" s="3"/>
      <c r="U74" s="4"/>
    </row>
    <row r="75" ht="12.0" customHeight="1">
      <c r="F75" s="1"/>
      <c r="G75" s="1"/>
      <c r="H75" s="2"/>
      <c r="Q75" s="3"/>
      <c r="R75" s="3"/>
      <c r="U75" s="4"/>
    </row>
    <row r="76" ht="12.0" customHeight="1">
      <c r="F76" s="1"/>
      <c r="G76" s="1"/>
      <c r="H76" s="2"/>
      <c r="Q76" s="3"/>
      <c r="R76" s="3"/>
      <c r="U76" s="4"/>
    </row>
    <row r="77" ht="12.0" customHeight="1">
      <c r="F77" s="1"/>
      <c r="G77" s="1"/>
      <c r="H77" s="2"/>
      <c r="Q77" s="3"/>
      <c r="R77" s="3"/>
      <c r="U77" s="4"/>
    </row>
    <row r="78" ht="12.0" customHeight="1">
      <c r="F78" s="1"/>
      <c r="G78" s="1"/>
      <c r="H78" s="2"/>
      <c r="Q78" s="3"/>
      <c r="R78" s="3"/>
      <c r="U78" s="4"/>
    </row>
    <row r="79" ht="12.0" customHeight="1">
      <c r="F79" s="1"/>
      <c r="G79" s="1"/>
      <c r="H79" s="2"/>
      <c r="Q79" s="3"/>
      <c r="R79" s="3"/>
      <c r="U79" s="4"/>
    </row>
    <row r="80" ht="12.0" customHeight="1">
      <c r="F80" s="1"/>
      <c r="G80" s="1"/>
      <c r="H80" s="2"/>
      <c r="Q80" s="3"/>
      <c r="R80" s="3"/>
      <c r="U80" s="4"/>
    </row>
    <row r="81" ht="12.0" customHeight="1">
      <c r="F81" s="1"/>
      <c r="G81" s="1"/>
      <c r="H81" s="2"/>
      <c r="Q81" s="3"/>
      <c r="R81" s="3"/>
      <c r="U81" s="4"/>
    </row>
    <row r="82" ht="12.0" customHeight="1">
      <c r="F82" s="1"/>
      <c r="G82" s="1"/>
      <c r="H82" s="2"/>
      <c r="Q82" s="3"/>
      <c r="R82" s="3"/>
      <c r="U82" s="4"/>
    </row>
    <row r="83" ht="12.0" customHeight="1">
      <c r="F83" s="1"/>
      <c r="G83" s="1"/>
      <c r="H83" s="2"/>
      <c r="Q83" s="3"/>
      <c r="R83" s="3"/>
      <c r="U83" s="4"/>
    </row>
    <row r="84" ht="12.0" customHeight="1">
      <c r="F84" s="1"/>
      <c r="G84" s="1"/>
      <c r="H84" s="2"/>
      <c r="Q84" s="3"/>
      <c r="R84" s="3"/>
      <c r="U84" s="4"/>
    </row>
    <row r="85" ht="12.0" customHeight="1">
      <c r="F85" s="1"/>
      <c r="G85" s="1"/>
      <c r="H85" s="2"/>
      <c r="Q85" s="3"/>
      <c r="R85" s="3"/>
      <c r="U85" s="4"/>
    </row>
    <row r="86" ht="12.0" customHeight="1">
      <c r="F86" s="1"/>
      <c r="G86" s="1"/>
      <c r="H86" s="2"/>
      <c r="Q86" s="3"/>
      <c r="R86" s="3"/>
      <c r="U86" s="4"/>
    </row>
    <row r="87" ht="12.0" customHeight="1">
      <c r="F87" s="1"/>
      <c r="G87" s="1"/>
      <c r="H87" s="2"/>
      <c r="Q87" s="3"/>
      <c r="R87" s="3"/>
      <c r="U87" s="4"/>
    </row>
    <row r="88" ht="12.0" customHeight="1">
      <c r="F88" s="1"/>
      <c r="G88" s="1"/>
      <c r="H88" s="2"/>
      <c r="Q88" s="3"/>
      <c r="R88" s="3"/>
      <c r="U88" s="4"/>
    </row>
    <row r="89" ht="12.0" customHeight="1">
      <c r="F89" s="1"/>
      <c r="G89" s="1"/>
      <c r="H89" s="2"/>
      <c r="Q89" s="3"/>
      <c r="R89" s="3"/>
      <c r="U89" s="4"/>
    </row>
    <row r="90" ht="12.0" customHeight="1">
      <c r="F90" s="1"/>
      <c r="G90" s="1"/>
      <c r="H90" s="2"/>
      <c r="Q90" s="3"/>
      <c r="R90" s="3"/>
      <c r="U90" s="4"/>
    </row>
    <row r="91" ht="12.0" customHeight="1">
      <c r="F91" s="1"/>
      <c r="G91" s="1"/>
      <c r="H91" s="2"/>
      <c r="Q91" s="3"/>
      <c r="R91" s="3"/>
      <c r="U91" s="4"/>
    </row>
    <row r="92" ht="12.0" customHeight="1">
      <c r="F92" s="1"/>
      <c r="G92" s="1"/>
      <c r="H92" s="2"/>
      <c r="Q92" s="3"/>
      <c r="R92" s="3"/>
      <c r="U92" s="4"/>
    </row>
    <row r="93" ht="12.0" customHeight="1">
      <c r="F93" s="1"/>
      <c r="G93" s="1"/>
      <c r="H93" s="2"/>
      <c r="Q93" s="3"/>
      <c r="R93" s="3"/>
      <c r="U93" s="4"/>
    </row>
    <row r="94" ht="12.0" customHeight="1">
      <c r="F94" s="1"/>
      <c r="G94" s="1"/>
      <c r="H94" s="2"/>
      <c r="Q94" s="3"/>
      <c r="R94" s="3"/>
      <c r="U94" s="4"/>
    </row>
    <row r="95" ht="12.0" customHeight="1">
      <c r="F95" s="1"/>
      <c r="G95" s="1"/>
      <c r="H95" s="2"/>
      <c r="Q95" s="3"/>
      <c r="R95" s="3"/>
      <c r="U95" s="4"/>
    </row>
    <row r="96" ht="12.0" customHeight="1">
      <c r="F96" s="1"/>
      <c r="G96" s="1"/>
      <c r="H96" s="2"/>
      <c r="Q96" s="3"/>
      <c r="R96" s="3"/>
      <c r="U96" s="4"/>
    </row>
    <row r="97" ht="12.0" customHeight="1">
      <c r="F97" s="1"/>
      <c r="G97" s="1"/>
      <c r="H97" s="2"/>
      <c r="Q97" s="3"/>
      <c r="R97" s="3"/>
      <c r="U97" s="4"/>
    </row>
    <row r="98" ht="12.0" customHeight="1">
      <c r="F98" s="1"/>
      <c r="G98" s="1"/>
      <c r="H98" s="2"/>
      <c r="Q98" s="3"/>
      <c r="R98" s="3"/>
      <c r="U98" s="4"/>
    </row>
    <row r="99" ht="12.0" customHeight="1">
      <c r="F99" s="1"/>
      <c r="G99" s="1"/>
      <c r="H99" s="2"/>
      <c r="Q99" s="3"/>
      <c r="R99" s="3"/>
      <c r="U99" s="4"/>
    </row>
    <row r="100" ht="12.0" customHeight="1">
      <c r="F100" s="1"/>
      <c r="G100" s="1"/>
      <c r="H100" s="2"/>
      <c r="Q100" s="3"/>
      <c r="R100" s="3"/>
      <c r="U100" s="4"/>
    </row>
    <row r="101" ht="12.0" customHeight="1">
      <c r="F101" s="1"/>
      <c r="G101" s="1"/>
      <c r="H101" s="2"/>
      <c r="Q101" s="3"/>
      <c r="R101" s="3"/>
      <c r="U101" s="4"/>
    </row>
    <row r="102" ht="12.0" customHeight="1">
      <c r="F102" s="1"/>
      <c r="G102" s="1"/>
      <c r="H102" s="2"/>
      <c r="Q102" s="3"/>
      <c r="R102" s="3"/>
      <c r="U102" s="4"/>
    </row>
    <row r="103" ht="12.0" customHeight="1">
      <c r="F103" s="1"/>
      <c r="G103" s="1"/>
      <c r="H103" s="2"/>
      <c r="Q103" s="3"/>
      <c r="R103" s="3"/>
      <c r="U103" s="4"/>
    </row>
    <row r="104" ht="12.0" customHeight="1">
      <c r="F104" s="1"/>
      <c r="G104" s="1"/>
      <c r="H104" s="2"/>
      <c r="Q104" s="3"/>
      <c r="R104" s="3"/>
      <c r="U104" s="4"/>
    </row>
    <row r="105" ht="12.0" customHeight="1">
      <c r="F105" s="1"/>
      <c r="G105" s="1"/>
      <c r="H105" s="2"/>
      <c r="Q105" s="3"/>
      <c r="R105" s="3"/>
      <c r="U105" s="4"/>
    </row>
    <row r="106" ht="12.0" customHeight="1">
      <c r="F106" s="1"/>
      <c r="G106" s="1"/>
      <c r="H106" s="2"/>
      <c r="Q106" s="3"/>
      <c r="R106" s="3"/>
      <c r="U106" s="4"/>
    </row>
    <row r="107" ht="12.0" customHeight="1">
      <c r="F107" s="1"/>
      <c r="G107" s="1"/>
      <c r="H107" s="2"/>
      <c r="Q107" s="3"/>
      <c r="R107" s="3"/>
      <c r="U107" s="4"/>
    </row>
    <row r="108" ht="12.0" customHeight="1">
      <c r="F108" s="1"/>
      <c r="G108" s="1"/>
      <c r="H108" s="2"/>
      <c r="Q108" s="3"/>
      <c r="R108" s="3"/>
      <c r="U108" s="4"/>
    </row>
    <row r="109" ht="12.0" customHeight="1">
      <c r="F109" s="1"/>
      <c r="G109" s="1"/>
      <c r="H109" s="2"/>
      <c r="Q109" s="3"/>
      <c r="R109" s="3"/>
      <c r="U109" s="4"/>
    </row>
    <row r="110" ht="12.0" customHeight="1">
      <c r="F110" s="1"/>
      <c r="G110" s="1"/>
      <c r="H110" s="2"/>
      <c r="Q110" s="3"/>
      <c r="R110" s="3"/>
      <c r="U110" s="4"/>
    </row>
    <row r="111" ht="12.0" customHeight="1">
      <c r="F111" s="1"/>
      <c r="G111" s="1"/>
      <c r="H111" s="2"/>
      <c r="Q111" s="3"/>
      <c r="R111" s="3"/>
      <c r="U111" s="4"/>
    </row>
    <row r="112" ht="12.0" customHeight="1">
      <c r="F112" s="1"/>
      <c r="G112" s="1"/>
      <c r="H112" s="2"/>
      <c r="Q112" s="3"/>
      <c r="R112" s="3"/>
      <c r="U112" s="4"/>
    </row>
    <row r="113" ht="12.0" customHeight="1">
      <c r="F113" s="1"/>
      <c r="G113" s="1"/>
      <c r="H113" s="2"/>
      <c r="Q113" s="3"/>
      <c r="R113" s="3"/>
      <c r="U113" s="4"/>
    </row>
    <row r="114" ht="12.0" customHeight="1">
      <c r="F114" s="1"/>
      <c r="G114" s="1"/>
      <c r="H114" s="2"/>
      <c r="Q114" s="3"/>
      <c r="R114" s="3"/>
      <c r="U114" s="4"/>
    </row>
    <row r="115" ht="12.0" customHeight="1">
      <c r="F115" s="1"/>
      <c r="G115" s="1"/>
      <c r="H115" s="2"/>
      <c r="Q115" s="3"/>
      <c r="R115" s="3"/>
      <c r="U115" s="4"/>
    </row>
    <row r="116" ht="12.0" customHeight="1">
      <c r="F116" s="1"/>
      <c r="G116" s="1"/>
      <c r="H116" s="2"/>
      <c r="Q116" s="3"/>
      <c r="R116" s="3"/>
      <c r="U116" s="4"/>
    </row>
    <row r="117" ht="12.0" customHeight="1">
      <c r="F117" s="1"/>
      <c r="G117" s="1"/>
      <c r="H117" s="2"/>
      <c r="Q117" s="3"/>
      <c r="R117" s="3"/>
      <c r="U117" s="4"/>
    </row>
    <row r="118" ht="12.0" customHeight="1">
      <c r="F118" s="1"/>
      <c r="G118" s="1"/>
      <c r="H118" s="2"/>
      <c r="Q118" s="3"/>
      <c r="R118" s="3"/>
      <c r="U118" s="4"/>
    </row>
    <row r="119" ht="12.0" customHeight="1">
      <c r="F119" s="1"/>
      <c r="G119" s="1"/>
      <c r="H119" s="2"/>
      <c r="Q119" s="3"/>
      <c r="R119" s="3"/>
      <c r="U119" s="4"/>
    </row>
    <row r="120" ht="12.0" customHeight="1">
      <c r="F120" s="1"/>
      <c r="G120" s="1"/>
      <c r="H120" s="2"/>
      <c r="Q120" s="3"/>
      <c r="R120" s="3"/>
      <c r="U120" s="4"/>
    </row>
    <row r="121" ht="12.0" customHeight="1">
      <c r="F121" s="1"/>
      <c r="G121" s="1"/>
      <c r="H121" s="2"/>
      <c r="Q121" s="3"/>
      <c r="R121" s="3"/>
      <c r="U121" s="4"/>
    </row>
    <row r="122" ht="12.0" customHeight="1">
      <c r="F122" s="1"/>
      <c r="G122" s="1"/>
      <c r="H122" s="2"/>
      <c r="Q122" s="3"/>
      <c r="R122" s="3"/>
      <c r="U122" s="4"/>
    </row>
    <row r="123" ht="12.0" customHeight="1">
      <c r="F123" s="1"/>
      <c r="G123" s="1"/>
      <c r="H123" s="2"/>
      <c r="Q123" s="3"/>
      <c r="R123" s="3"/>
      <c r="U123" s="4"/>
    </row>
    <row r="124" ht="12.0" customHeight="1">
      <c r="F124" s="1"/>
      <c r="G124" s="1"/>
      <c r="H124" s="2"/>
      <c r="Q124" s="3"/>
      <c r="R124" s="3"/>
      <c r="U124" s="4"/>
    </row>
    <row r="125" ht="12.0" customHeight="1">
      <c r="F125" s="1"/>
      <c r="G125" s="1"/>
      <c r="H125" s="2"/>
      <c r="Q125" s="3"/>
      <c r="R125" s="3"/>
      <c r="U125" s="4"/>
    </row>
    <row r="126" ht="12.0" customHeight="1">
      <c r="F126" s="1"/>
      <c r="G126" s="1"/>
      <c r="H126" s="2"/>
      <c r="Q126" s="3"/>
      <c r="R126" s="3"/>
      <c r="U126" s="4"/>
    </row>
    <row r="127" ht="12.0" customHeight="1">
      <c r="F127" s="1"/>
      <c r="G127" s="1"/>
      <c r="H127" s="2"/>
      <c r="Q127" s="3"/>
      <c r="R127" s="3"/>
      <c r="U127" s="4"/>
    </row>
    <row r="128" ht="12.0" customHeight="1">
      <c r="F128" s="1"/>
      <c r="G128" s="1"/>
      <c r="H128" s="2"/>
      <c r="Q128" s="3"/>
      <c r="R128" s="3"/>
      <c r="U128" s="4"/>
    </row>
    <row r="129" ht="12.0" customHeight="1">
      <c r="F129" s="1"/>
      <c r="G129" s="1"/>
      <c r="H129" s="2"/>
      <c r="Q129" s="3"/>
      <c r="R129" s="3"/>
      <c r="U129" s="4"/>
    </row>
    <row r="130" ht="12.0" customHeight="1">
      <c r="F130" s="1"/>
      <c r="G130" s="1"/>
      <c r="H130" s="2"/>
      <c r="Q130" s="3"/>
      <c r="R130" s="3"/>
      <c r="U130" s="4"/>
    </row>
    <row r="131" ht="12.0" customHeight="1">
      <c r="F131" s="1"/>
      <c r="G131" s="1"/>
      <c r="H131" s="2"/>
      <c r="Q131" s="3"/>
      <c r="R131" s="3"/>
      <c r="U131" s="4"/>
    </row>
    <row r="132" ht="12.0" customHeight="1">
      <c r="F132" s="1"/>
      <c r="G132" s="1"/>
      <c r="H132" s="2"/>
      <c r="Q132" s="3"/>
      <c r="R132" s="3"/>
      <c r="U132" s="4"/>
    </row>
    <row r="133" ht="12.0" customHeight="1">
      <c r="F133" s="1"/>
      <c r="G133" s="1"/>
      <c r="H133" s="2"/>
      <c r="Q133" s="3"/>
      <c r="R133" s="3"/>
      <c r="U133" s="4"/>
    </row>
    <row r="134" ht="12.0" customHeight="1">
      <c r="F134" s="1"/>
      <c r="G134" s="1"/>
      <c r="H134" s="2"/>
      <c r="Q134" s="3"/>
      <c r="R134" s="3"/>
      <c r="U134" s="4"/>
    </row>
    <row r="135" ht="12.0" customHeight="1">
      <c r="F135" s="1"/>
      <c r="G135" s="1"/>
      <c r="H135" s="2"/>
      <c r="Q135" s="3"/>
      <c r="R135" s="3"/>
      <c r="U135" s="4"/>
    </row>
    <row r="136" ht="12.0" customHeight="1">
      <c r="F136" s="1"/>
      <c r="G136" s="1"/>
      <c r="H136" s="2"/>
      <c r="Q136" s="3"/>
      <c r="R136" s="3"/>
      <c r="U136" s="4"/>
    </row>
    <row r="137" ht="12.0" customHeight="1">
      <c r="F137" s="1"/>
      <c r="G137" s="1"/>
      <c r="H137" s="2"/>
      <c r="Q137" s="3"/>
      <c r="R137" s="3"/>
      <c r="U137" s="4"/>
    </row>
    <row r="138" ht="12.0" customHeight="1">
      <c r="F138" s="1"/>
      <c r="G138" s="1"/>
      <c r="H138" s="2"/>
      <c r="Q138" s="3"/>
      <c r="R138" s="3"/>
      <c r="U138" s="4"/>
    </row>
    <row r="139" ht="12.0" customHeight="1">
      <c r="F139" s="1"/>
      <c r="G139" s="1"/>
      <c r="H139" s="2"/>
      <c r="Q139" s="3"/>
      <c r="R139" s="3"/>
      <c r="U139" s="4"/>
    </row>
    <row r="140" ht="12.0" customHeight="1">
      <c r="F140" s="1"/>
      <c r="G140" s="1"/>
      <c r="H140" s="2"/>
      <c r="Q140" s="3"/>
      <c r="R140" s="3"/>
      <c r="U140" s="4"/>
    </row>
    <row r="141" ht="12.0" customHeight="1">
      <c r="F141" s="1"/>
      <c r="G141" s="1"/>
      <c r="H141" s="2"/>
      <c r="Q141" s="3"/>
      <c r="R141" s="3"/>
      <c r="U141" s="4"/>
    </row>
    <row r="142" ht="12.0" customHeight="1">
      <c r="F142" s="1"/>
      <c r="G142" s="1"/>
      <c r="H142" s="2"/>
      <c r="Q142" s="3"/>
      <c r="R142" s="3"/>
      <c r="U142" s="4"/>
    </row>
    <row r="143" ht="12.0" customHeight="1">
      <c r="F143" s="1"/>
      <c r="G143" s="1"/>
      <c r="H143" s="2"/>
      <c r="Q143" s="3"/>
      <c r="R143" s="3"/>
      <c r="U143" s="4"/>
    </row>
    <row r="144" ht="12.0" customHeight="1">
      <c r="F144" s="1"/>
      <c r="G144" s="1"/>
      <c r="H144" s="2"/>
      <c r="Q144" s="3"/>
      <c r="R144" s="3"/>
      <c r="U144" s="4"/>
    </row>
    <row r="145" ht="12.0" customHeight="1">
      <c r="F145" s="1"/>
      <c r="G145" s="1"/>
      <c r="H145" s="2"/>
      <c r="Q145" s="3"/>
      <c r="R145" s="3"/>
      <c r="U145" s="4"/>
    </row>
    <row r="146" ht="12.0" customHeight="1">
      <c r="F146" s="1"/>
      <c r="G146" s="1"/>
      <c r="H146" s="2"/>
      <c r="Q146" s="3"/>
      <c r="R146" s="3"/>
      <c r="U146" s="4"/>
    </row>
    <row r="147" ht="12.0" customHeight="1">
      <c r="F147" s="1"/>
      <c r="G147" s="1"/>
      <c r="H147" s="2"/>
      <c r="Q147" s="3"/>
      <c r="R147" s="3"/>
      <c r="U147" s="4"/>
    </row>
    <row r="148" ht="12.0" customHeight="1">
      <c r="F148" s="1"/>
      <c r="G148" s="1"/>
      <c r="H148" s="2"/>
      <c r="Q148" s="3"/>
      <c r="R148" s="3"/>
      <c r="U148" s="4"/>
    </row>
    <row r="149" ht="12.0" customHeight="1">
      <c r="F149" s="1"/>
      <c r="G149" s="1"/>
      <c r="H149" s="2"/>
      <c r="Q149" s="3"/>
      <c r="R149" s="3"/>
      <c r="U149" s="4"/>
    </row>
    <row r="150" ht="12.0" customHeight="1">
      <c r="F150" s="1"/>
      <c r="G150" s="1"/>
      <c r="H150" s="2"/>
      <c r="Q150" s="3"/>
      <c r="R150" s="3"/>
      <c r="U150" s="4"/>
    </row>
    <row r="151" ht="12.0" customHeight="1">
      <c r="F151" s="1"/>
      <c r="G151" s="1"/>
      <c r="H151" s="2"/>
      <c r="Q151" s="3"/>
      <c r="R151" s="3"/>
      <c r="U151" s="4"/>
    </row>
    <row r="152" ht="12.0" customHeight="1">
      <c r="F152" s="1"/>
      <c r="G152" s="1"/>
      <c r="H152" s="2"/>
      <c r="Q152" s="3"/>
      <c r="R152" s="3"/>
      <c r="U152" s="4"/>
    </row>
    <row r="153" ht="12.0" customHeight="1">
      <c r="F153" s="1"/>
      <c r="G153" s="1"/>
      <c r="H153" s="2"/>
      <c r="Q153" s="3"/>
      <c r="R153" s="3"/>
      <c r="U153" s="4"/>
    </row>
    <row r="154" ht="12.0" customHeight="1">
      <c r="F154" s="1"/>
      <c r="G154" s="1"/>
      <c r="H154" s="2"/>
      <c r="Q154" s="3"/>
      <c r="R154" s="3"/>
      <c r="U154" s="4"/>
    </row>
    <row r="155" ht="12.0" customHeight="1">
      <c r="F155" s="1"/>
      <c r="G155" s="1"/>
      <c r="H155" s="2"/>
      <c r="Q155" s="3"/>
      <c r="R155" s="3"/>
      <c r="U155" s="4"/>
    </row>
    <row r="156" ht="12.0" customHeight="1">
      <c r="F156" s="1"/>
      <c r="G156" s="1"/>
      <c r="H156" s="2"/>
      <c r="Q156" s="3"/>
      <c r="R156" s="3"/>
      <c r="U156" s="4"/>
    </row>
    <row r="157" ht="12.0" customHeight="1">
      <c r="F157" s="1"/>
      <c r="G157" s="1"/>
      <c r="H157" s="2"/>
      <c r="Q157" s="3"/>
      <c r="R157" s="3"/>
      <c r="U157" s="4"/>
    </row>
    <row r="158" ht="12.0" customHeight="1">
      <c r="F158" s="1"/>
      <c r="G158" s="1"/>
      <c r="H158" s="2"/>
      <c r="Q158" s="3"/>
      <c r="R158" s="3"/>
      <c r="U158" s="4"/>
    </row>
    <row r="159" ht="12.0" customHeight="1">
      <c r="F159" s="1"/>
      <c r="G159" s="1"/>
      <c r="H159" s="2"/>
      <c r="Q159" s="3"/>
      <c r="R159" s="3"/>
      <c r="U159" s="4"/>
    </row>
    <row r="160" ht="12.0" customHeight="1">
      <c r="F160" s="1"/>
      <c r="G160" s="1"/>
      <c r="H160" s="2"/>
      <c r="Q160" s="3"/>
      <c r="R160" s="3"/>
      <c r="U160" s="4"/>
    </row>
    <row r="161" ht="12.0" customHeight="1">
      <c r="F161" s="1"/>
      <c r="G161" s="1"/>
      <c r="H161" s="2"/>
      <c r="Q161" s="3"/>
      <c r="R161" s="3"/>
      <c r="U161" s="4"/>
    </row>
    <row r="162" ht="12.0" customHeight="1">
      <c r="F162" s="1"/>
      <c r="G162" s="1"/>
      <c r="H162" s="2"/>
      <c r="Q162" s="3"/>
      <c r="R162" s="3"/>
      <c r="U162" s="4"/>
    </row>
    <row r="163" ht="12.0" customHeight="1">
      <c r="F163" s="1"/>
      <c r="G163" s="1"/>
      <c r="H163" s="2"/>
      <c r="Q163" s="3"/>
      <c r="R163" s="3"/>
      <c r="U163" s="4"/>
    </row>
    <row r="164" ht="12.0" customHeight="1">
      <c r="F164" s="1"/>
      <c r="G164" s="1"/>
      <c r="H164" s="2"/>
      <c r="Q164" s="3"/>
      <c r="R164" s="3"/>
      <c r="U164" s="4"/>
    </row>
    <row r="165" ht="12.0" customHeight="1">
      <c r="F165" s="1"/>
      <c r="G165" s="1"/>
      <c r="H165" s="2"/>
      <c r="Q165" s="3"/>
      <c r="R165" s="3"/>
      <c r="U165" s="4"/>
    </row>
    <row r="166" ht="12.0" customHeight="1">
      <c r="F166" s="1"/>
      <c r="G166" s="1"/>
      <c r="H166" s="2"/>
      <c r="Q166" s="3"/>
      <c r="R166" s="3"/>
      <c r="U166" s="4"/>
    </row>
    <row r="167" ht="12.0" customHeight="1">
      <c r="F167" s="1"/>
      <c r="G167" s="1"/>
      <c r="H167" s="2"/>
      <c r="Q167" s="3"/>
      <c r="R167" s="3"/>
      <c r="U167" s="4"/>
    </row>
    <row r="168" ht="12.0" customHeight="1">
      <c r="F168" s="1"/>
      <c r="G168" s="1"/>
      <c r="H168" s="2"/>
      <c r="Q168" s="3"/>
      <c r="R168" s="3"/>
      <c r="U168" s="4"/>
    </row>
    <row r="169" ht="12.0" customHeight="1">
      <c r="F169" s="1"/>
      <c r="G169" s="1"/>
      <c r="H169" s="2"/>
      <c r="Q169" s="3"/>
      <c r="R169" s="3"/>
      <c r="U169" s="4"/>
    </row>
    <row r="170" ht="12.0" customHeight="1">
      <c r="F170" s="1"/>
      <c r="G170" s="1"/>
      <c r="H170" s="2"/>
      <c r="Q170" s="3"/>
      <c r="R170" s="3"/>
      <c r="U170" s="4"/>
    </row>
    <row r="171" ht="12.0" customHeight="1">
      <c r="F171" s="1"/>
      <c r="G171" s="1"/>
      <c r="H171" s="2"/>
      <c r="Q171" s="3"/>
      <c r="R171" s="3"/>
      <c r="U171" s="4"/>
    </row>
    <row r="172" ht="12.0" customHeight="1">
      <c r="F172" s="1"/>
      <c r="G172" s="1"/>
      <c r="H172" s="2"/>
      <c r="Q172" s="3"/>
      <c r="R172" s="3"/>
      <c r="U172" s="4"/>
    </row>
    <row r="173" ht="12.0" customHeight="1">
      <c r="F173" s="1"/>
      <c r="G173" s="1"/>
      <c r="H173" s="2"/>
      <c r="Q173" s="3"/>
      <c r="R173" s="3"/>
      <c r="U173" s="4"/>
    </row>
    <row r="174" ht="12.0" customHeight="1">
      <c r="F174" s="1"/>
      <c r="G174" s="1"/>
      <c r="H174" s="2"/>
      <c r="Q174" s="3"/>
      <c r="R174" s="3"/>
      <c r="U174" s="4"/>
    </row>
    <row r="175" ht="12.0" customHeight="1">
      <c r="F175" s="1"/>
      <c r="G175" s="1"/>
      <c r="H175" s="2"/>
      <c r="Q175" s="3"/>
      <c r="R175" s="3"/>
      <c r="U175" s="4"/>
    </row>
    <row r="176" ht="12.0" customHeight="1">
      <c r="F176" s="1"/>
      <c r="G176" s="1"/>
      <c r="H176" s="2"/>
      <c r="Q176" s="3"/>
      <c r="R176" s="3"/>
      <c r="U176" s="4"/>
    </row>
    <row r="177" ht="12.0" customHeight="1">
      <c r="F177" s="1"/>
      <c r="G177" s="1"/>
      <c r="H177" s="2"/>
      <c r="Q177" s="3"/>
      <c r="R177" s="3"/>
      <c r="U177" s="4"/>
    </row>
    <row r="178" ht="12.0" customHeight="1">
      <c r="F178" s="1"/>
      <c r="G178" s="1"/>
      <c r="H178" s="2"/>
      <c r="Q178" s="3"/>
      <c r="R178" s="3"/>
      <c r="U178" s="4"/>
    </row>
    <row r="179" ht="12.0" customHeight="1">
      <c r="F179" s="1"/>
      <c r="G179" s="1"/>
      <c r="H179" s="2"/>
      <c r="Q179" s="3"/>
      <c r="R179" s="3"/>
      <c r="U179" s="4"/>
    </row>
    <row r="180" ht="12.0" customHeight="1">
      <c r="F180" s="1"/>
      <c r="G180" s="1"/>
      <c r="H180" s="2"/>
      <c r="Q180" s="3"/>
      <c r="R180" s="3"/>
      <c r="U180" s="4"/>
    </row>
    <row r="181" ht="12.0" customHeight="1">
      <c r="F181" s="1"/>
      <c r="G181" s="1"/>
      <c r="H181" s="2"/>
      <c r="Q181" s="3"/>
      <c r="R181" s="3"/>
      <c r="U181" s="4"/>
    </row>
    <row r="182" ht="12.0" customHeight="1">
      <c r="F182" s="1"/>
      <c r="G182" s="1"/>
      <c r="H182" s="2"/>
      <c r="Q182" s="3"/>
      <c r="R182" s="3"/>
      <c r="U182" s="4"/>
    </row>
    <row r="183" ht="12.0" customHeight="1">
      <c r="F183" s="1"/>
      <c r="G183" s="1"/>
      <c r="H183" s="2"/>
      <c r="Q183" s="3"/>
      <c r="R183" s="3"/>
      <c r="U183" s="4"/>
    </row>
    <row r="184" ht="12.0" customHeight="1">
      <c r="F184" s="1"/>
      <c r="G184" s="1"/>
      <c r="H184" s="2"/>
      <c r="Q184" s="3"/>
      <c r="R184" s="3"/>
      <c r="U184" s="4"/>
    </row>
    <row r="185" ht="12.0" customHeight="1">
      <c r="F185" s="1"/>
      <c r="G185" s="1"/>
      <c r="H185" s="2"/>
      <c r="Q185" s="3"/>
      <c r="R185" s="3"/>
      <c r="U185" s="4"/>
    </row>
    <row r="186" ht="12.0" customHeight="1">
      <c r="F186" s="1"/>
      <c r="G186" s="1"/>
      <c r="H186" s="2"/>
      <c r="Q186" s="3"/>
      <c r="R186" s="3"/>
      <c r="U186" s="4"/>
    </row>
    <row r="187" ht="12.0" customHeight="1">
      <c r="F187" s="1"/>
      <c r="G187" s="1"/>
      <c r="H187" s="2"/>
      <c r="Q187" s="3"/>
      <c r="R187" s="3"/>
      <c r="U187" s="4"/>
    </row>
    <row r="188" ht="12.0" customHeight="1">
      <c r="F188" s="1"/>
      <c r="G188" s="1"/>
      <c r="H188" s="2"/>
      <c r="Q188" s="3"/>
      <c r="R188" s="3"/>
      <c r="U188" s="4"/>
    </row>
    <row r="189" ht="12.0" customHeight="1">
      <c r="F189" s="1"/>
      <c r="G189" s="1"/>
      <c r="H189" s="2"/>
      <c r="Q189" s="3"/>
      <c r="R189" s="3"/>
      <c r="U189" s="4"/>
    </row>
    <row r="190" ht="12.0" customHeight="1">
      <c r="F190" s="1"/>
      <c r="G190" s="1"/>
      <c r="H190" s="2"/>
      <c r="Q190" s="3"/>
      <c r="R190" s="3"/>
      <c r="U190" s="4"/>
    </row>
    <row r="191" ht="12.0" customHeight="1">
      <c r="F191" s="1"/>
      <c r="G191" s="1"/>
      <c r="H191" s="2"/>
      <c r="Q191" s="3"/>
      <c r="R191" s="3"/>
      <c r="U191" s="4"/>
    </row>
    <row r="192" ht="12.0" customHeight="1">
      <c r="F192" s="1"/>
      <c r="G192" s="1"/>
      <c r="H192" s="2"/>
      <c r="Q192" s="3"/>
      <c r="R192" s="3"/>
      <c r="U192" s="4"/>
    </row>
    <row r="193" ht="12.0" customHeight="1">
      <c r="F193" s="1"/>
      <c r="G193" s="1"/>
      <c r="H193" s="2"/>
      <c r="Q193" s="3"/>
      <c r="R193" s="3"/>
      <c r="U193" s="4"/>
    </row>
    <row r="194" ht="12.0" customHeight="1">
      <c r="F194" s="1"/>
      <c r="G194" s="1"/>
      <c r="H194" s="2"/>
      <c r="Q194" s="3"/>
      <c r="R194" s="3"/>
      <c r="U194" s="4"/>
    </row>
    <row r="195" ht="12.0" customHeight="1">
      <c r="F195" s="1"/>
      <c r="G195" s="1"/>
      <c r="H195" s="2"/>
      <c r="Q195" s="3"/>
      <c r="R195" s="3"/>
      <c r="U195" s="4"/>
    </row>
    <row r="196" ht="12.0" customHeight="1">
      <c r="F196" s="1"/>
      <c r="G196" s="1"/>
      <c r="H196" s="2"/>
      <c r="Q196" s="3"/>
      <c r="R196" s="3"/>
      <c r="U196" s="4"/>
    </row>
    <row r="197" ht="12.0" customHeight="1">
      <c r="F197" s="1"/>
      <c r="G197" s="1"/>
      <c r="H197" s="2"/>
      <c r="Q197" s="3"/>
      <c r="R197" s="3"/>
      <c r="U197" s="4"/>
    </row>
    <row r="198" ht="12.0" customHeight="1">
      <c r="F198" s="1"/>
      <c r="G198" s="1"/>
      <c r="H198" s="2"/>
      <c r="Q198" s="3"/>
      <c r="R198" s="3"/>
      <c r="U198" s="4"/>
    </row>
    <row r="199" ht="12.0" customHeight="1">
      <c r="F199" s="1"/>
      <c r="G199" s="1"/>
      <c r="H199" s="2"/>
      <c r="Q199" s="3"/>
      <c r="R199" s="3"/>
      <c r="U199" s="4"/>
    </row>
    <row r="200" ht="12.0" customHeight="1">
      <c r="F200" s="1"/>
      <c r="G200" s="1"/>
      <c r="H200" s="2"/>
      <c r="Q200" s="3"/>
      <c r="R200" s="3"/>
      <c r="U200" s="4"/>
    </row>
    <row r="201" ht="12.0" customHeight="1">
      <c r="F201" s="1"/>
      <c r="G201" s="1"/>
      <c r="H201" s="2"/>
      <c r="Q201" s="3"/>
      <c r="R201" s="3"/>
      <c r="U201" s="4"/>
    </row>
    <row r="202" ht="12.0" customHeight="1">
      <c r="F202" s="1"/>
      <c r="G202" s="1"/>
      <c r="H202" s="2"/>
      <c r="Q202" s="3"/>
      <c r="R202" s="3"/>
      <c r="U202" s="4"/>
    </row>
    <row r="203" ht="12.0" customHeight="1">
      <c r="F203" s="1"/>
      <c r="G203" s="1"/>
      <c r="H203" s="2"/>
      <c r="Q203" s="3"/>
      <c r="R203" s="3"/>
      <c r="U203" s="4"/>
    </row>
    <row r="204" ht="12.0" customHeight="1">
      <c r="F204" s="1"/>
      <c r="G204" s="1"/>
      <c r="H204" s="2"/>
      <c r="Q204" s="3"/>
      <c r="R204" s="3"/>
      <c r="U204" s="4"/>
    </row>
    <row r="205" ht="12.0" customHeight="1">
      <c r="F205" s="1"/>
      <c r="G205" s="1"/>
      <c r="H205" s="2"/>
      <c r="Q205" s="3"/>
      <c r="R205" s="3"/>
      <c r="U205" s="4"/>
    </row>
    <row r="206" ht="12.0" customHeight="1">
      <c r="F206" s="1"/>
      <c r="G206" s="1"/>
      <c r="H206" s="2"/>
      <c r="Q206" s="3"/>
      <c r="R206" s="3"/>
      <c r="U206" s="4"/>
    </row>
    <row r="207" ht="12.0" customHeight="1">
      <c r="F207" s="1"/>
      <c r="G207" s="1"/>
      <c r="H207" s="2"/>
      <c r="Q207" s="3"/>
      <c r="R207" s="3"/>
      <c r="U207" s="4"/>
    </row>
    <row r="208" ht="12.0" customHeight="1">
      <c r="F208" s="1"/>
      <c r="G208" s="1"/>
      <c r="H208" s="2"/>
      <c r="Q208" s="3"/>
      <c r="R208" s="3"/>
      <c r="U208" s="4"/>
    </row>
    <row r="209" ht="12.0" customHeight="1">
      <c r="F209" s="1"/>
      <c r="G209" s="1"/>
      <c r="H209" s="2"/>
      <c r="Q209" s="3"/>
      <c r="R209" s="3"/>
      <c r="U209" s="4"/>
    </row>
    <row r="210" ht="12.0" customHeight="1">
      <c r="F210" s="1"/>
      <c r="G210" s="1"/>
      <c r="H210" s="2"/>
      <c r="Q210" s="3"/>
      <c r="R210" s="3"/>
      <c r="U210" s="4"/>
    </row>
    <row r="211" ht="12.0" customHeight="1">
      <c r="F211" s="1"/>
      <c r="G211" s="1"/>
      <c r="H211" s="2"/>
      <c r="Q211" s="3"/>
      <c r="R211" s="3"/>
      <c r="U211" s="4"/>
    </row>
    <row r="212" ht="12.0" customHeight="1">
      <c r="F212" s="1"/>
      <c r="G212" s="1"/>
      <c r="H212" s="2"/>
      <c r="Q212" s="3"/>
      <c r="R212" s="3"/>
      <c r="U212" s="4"/>
    </row>
    <row r="213" ht="12.0" customHeight="1">
      <c r="F213" s="1"/>
      <c r="G213" s="1"/>
      <c r="H213" s="2"/>
      <c r="Q213" s="3"/>
      <c r="R213" s="3"/>
      <c r="U213" s="4"/>
    </row>
    <row r="214" ht="12.0" customHeight="1">
      <c r="F214" s="1"/>
      <c r="G214" s="1"/>
      <c r="H214" s="2"/>
      <c r="Q214" s="3"/>
      <c r="R214" s="3"/>
      <c r="U214" s="4"/>
    </row>
    <row r="215" ht="12.0" customHeight="1">
      <c r="F215" s="1"/>
      <c r="G215" s="1"/>
      <c r="H215" s="2"/>
      <c r="Q215" s="3"/>
      <c r="R215" s="3"/>
      <c r="U215" s="4"/>
    </row>
    <row r="216" ht="12.0" customHeight="1">
      <c r="F216" s="1"/>
      <c r="G216" s="1"/>
      <c r="H216" s="2"/>
      <c r="Q216" s="3"/>
      <c r="R216" s="3"/>
      <c r="U216" s="4"/>
    </row>
    <row r="217" ht="12.0" customHeight="1">
      <c r="F217" s="1"/>
      <c r="G217" s="1"/>
      <c r="H217" s="2"/>
      <c r="Q217" s="3"/>
      <c r="R217" s="3"/>
      <c r="U217" s="4"/>
    </row>
    <row r="218" ht="12.0" customHeight="1">
      <c r="F218" s="1"/>
      <c r="G218" s="1"/>
      <c r="H218" s="2"/>
      <c r="Q218" s="3"/>
      <c r="R218" s="3"/>
      <c r="U218" s="4"/>
    </row>
    <row r="219" ht="12.0" customHeight="1">
      <c r="F219" s="1"/>
      <c r="G219" s="1"/>
      <c r="H219" s="2"/>
      <c r="Q219" s="3"/>
      <c r="R219" s="3"/>
      <c r="U219" s="4"/>
    </row>
    <row r="220" ht="12.0" customHeight="1">
      <c r="F220" s="1"/>
      <c r="G220" s="1"/>
      <c r="H220" s="2"/>
      <c r="Q220" s="3"/>
      <c r="R220" s="3"/>
      <c r="U220" s="4"/>
    </row>
    <row r="221" ht="12.0" customHeight="1">
      <c r="F221" s="1"/>
      <c r="G221" s="1"/>
      <c r="H221" s="2"/>
      <c r="Q221" s="3"/>
      <c r="R221" s="3"/>
      <c r="U221" s="4"/>
    </row>
    <row r="222" ht="12.0" customHeight="1">
      <c r="F222" s="1"/>
      <c r="G222" s="1"/>
      <c r="H222" s="2"/>
      <c r="Q222" s="3"/>
      <c r="R222" s="3"/>
      <c r="U222" s="4"/>
    </row>
    <row r="223" ht="12.0" customHeight="1">
      <c r="F223" s="1"/>
      <c r="G223" s="1"/>
      <c r="H223" s="2"/>
      <c r="Q223" s="3"/>
      <c r="R223" s="3"/>
      <c r="U223" s="4"/>
    </row>
    <row r="224" ht="12.0" customHeight="1">
      <c r="F224" s="1"/>
      <c r="G224" s="1"/>
      <c r="H224" s="2"/>
      <c r="Q224" s="3"/>
      <c r="R224" s="3"/>
      <c r="U224" s="4"/>
    </row>
    <row r="225" ht="12.0" customHeight="1">
      <c r="F225" s="1"/>
      <c r="G225" s="1"/>
      <c r="H225" s="2"/>
      <c r="Q225" s="3"/>
      <c r="R225" s="3"/>
      <c r="U225" s="4"/>
    </row>
    <row r="226" ht="12.0" customHeight="1">
      <c r="F226" s="1"/>
      <c r="G226" s="1"/>
      <c r="H226" s="2"/>
      <c r="Q226" s="3"/>
      <c r="R226" s="3"/>
      <c r="U226" s="4"/>
    </row>
    <row r="227" ht="12.0" customHeight="1">
      <c r="F227" s="1"/>
      <c r="G227" s="1"/>
      <c r="H227" s="2"/>
      <c r="Q227" s="3"/>
      <c r="R227" s="3"/>
      <c r="U227" s="4"/>
    </row>
    <row r="228" ht="12.0" customHeight="1">
      <c r="F228" s="1"/>
      <c r="G228" s="1"/>
      <c r="H228" s="2"/>
      <c r="Q228" s="3"/>
      <c r="R228" s="3"/>
      <c r="U228" s="4"/>
    </row>
    <row r="229" ht="12.0" customHeight="1">
      <c r="F229" s="1"/>
      <c r="G229" s="1"/>
      <c r="H229" s="2"/>
      <c r="Q229" s="3"/>
      <c r="R229" s="3"/>
      <c r="U229" s="4"/>
    </row>
    <row r="230" ht="12.0" customHeight="1">
      <c r="F230" s="1"/>
      <c r="G230" s="1"/>
      <c r="H230" s="2"/>
      <c r="Q230" s="3"/>
      <c r="R230" s="3"/>
      <c r="U230" s="4"/>
    </row>
    <row r="231" ht="12.0" customHeight="1">
      <c r="F231" s="1"/>
      <c r="G231" s="1"/>
      <c r="H231" s="2"/>
      <c r="Q231" s="3"/>
      <c r="R231" s="3"/>
      <c r="U231" s="4"/>
    </row>
    <row r="232" ht="12.0" customHeight="1">
      <c r="F232" s="1"/>
      <c r="G232" s="1"/>
      <c r="H232" s="2"/>
      <c r="Q232" s="3"/>
      <c r="R232" s="3"/>
      <c r="U232" s="4"/>
    </row>
    <row r="233" ht="12.0" customHeight="1">
      <c r="F233" s="1"/>
      <c r="G233" s="1"/>
      <c r="H233" s="2"/>
      <c r="Q233" s="3"/>
      <c r="R233" s="3"/>
      <c r="U233" s="4"/>
    </row>
    <row r="234" ht="12.0" customHeight="1">
      <c r="F234" s="1"/>
      <c r="G234" s="1"/>
      <c r="H234" s="2"/>
      <c r="Q234" s="3"/>
      <c r="R234" s="3"/>
      <c r="U234" s="4"/>
    </row>
    <row r="235" ht="12.0" customHeight="1">
      <c r="F235" s="1"/>
      <c r="G235" s="1"/>
      <c r="H235" s="2"/>
      <c r="Q235" s="3"/>
      <c r="R235" s="3"/>
      <c r="U235" s="4"/>
    </row>
    <row r="236" ht="12.0" customHeight="1">
      <c r="F236" s="1"/>
      <c r="G236" s="1"/>
      <c r="H236" s="2"/>
      <c r="Q236" s="3"/>
      <c r="R236" s="3"/>
      <c r="U236" s="4"/>
    </row>
    <row r="237" ht="12.0" customHeight="1">
      <c r="F237" s="1"/>
      <c r="G237" s="1"/>
      <c r="H237" s="2"/>
      <c r="Q237" s="3"/>
      <c r="R237" s="3"/>
      <c r="U237" s="4"/>
    </row>
    <row r="238" ht="12.0" customHeight="1">
      <c r="F238" s="1"/>
      <c r="G238" s="1"/>
      <c r="H238" s="2"/>
      <c r="Q238" s="3"/>
      <c r="R238" s="3"/>
      <c r="U238" s="4"/>
    </row>
    <row r="239" ht="12.0" customHeight="1">
      <c r="F239" s="1"/>
      <c r="G239" s="1"/>
      <c r="H239" s="2"/>
      <c r="Q239" s="3"/>
      <c r="R239" s="3"/>
      <c r="U239" s="4"/>
    </row>
    <row r="240" ht="12.0" customHeight="1">
      <c r="F240" s="1"/>
      <c r="G240" s="1"/>
      <c r="H240" s="2"/>
      <c r="Q240" s="3"/>
      <c r="R240" s="3"/>
      <c r="U240" s="4"/>
    </row>
    <row r="241" ht="12.0" customHeight="1">
      <c r="F241" s="1"/>
      <c r="G241" s="1"/>
      <c r="H241" s="2"/>
      <c r="Q241" s="3"/>
      <c r="R241" s="3"/>
      <c r="U241" s="4"/>
    </row>
    <row r="242" ht="12.0" customHeight="1">
      <c r="F242" s="1"/>
      <c r="G242" s="1"/>
      <c r="H242" s="2"/>
      <c r="Q242" s="3"/>
      <c r="R242" s="3"/>
      <c r="U242" s="4"/>
    </row>
    <row r="243" ht="12.0" customHeight="1">
      <c r="F243" s="1"/>
      <c r="G243" s="1"/>
      <c r="H243" s="2"/>
      <c r="Q243" s="3"/>
      <c r="R243" s="3"/>
      <c r="U243" s="4"/>
    </row>
    <row r="244" ht="12.0" customHeight="1">
      <c r="F244" s="1"/>
      <c r="G244" s="1"/>
      <c r="H244" s="2"/>
      <c r="Q244" s="3"/>
      <c r="R244" s="3"/>
      <c r="U244" s="4"/>
    </row>
    <row r="245" ht="12.0" customHeight="1">
      <c r="F245" s="1"/>
      <c r="G245" s="1"/>
      <c r="H245" s="2"/>
      <c r="Q245" s="3"/>
      <c r="R245" s="3"/>
      <c r="U245" s="4"/>
    </row>
    <row r="246" ht="12.0" customHeight="1">
      <c r="F246" s="1"/>
      <c r="G246" s="1"/>
      <c r="H246" s="2"/>
      <c r="Q246" s="3"/>
      <c r="R246" s="3"/>
      <c r="U246" s="4"/>
    </row>
    <row r="247" ht="12.0" customHeight="1">
      <c r="F247" s="1"/>
      <c r="G247" s="1"/>
      <c r="H247" s="2"/>
      <c r="Q247" s="3"/>
      <c r="R247" s="3"/>
      <c r="U247" s="4"/>
    </row>
    <row r="248" ht="12.0" customHeight="1">
      <c r="F248" s="1"/>
      <c r="G248" s="1"/>
      <c r="H248" s="2"/>
      <c r="Q248" s="3"/>
      <c r="R248" s="3"/>
      <c r="U248" s="4"/>
    </row>
    <row r="249" ht="12.0" customHeight="1">
      <c r="F249" s="1"/>
      <c r="G249" s="1"/>
      <c r="H249" s="2"/>
      <c r="Q249" s="3"/>
      <c r="R249" s="3"/>
      <c r="U249" s="4"/>
    </row>
    <row r="250" ht="12.0" customHeight="1">
      <c r="F250" s="1"/>
      <c r="G250" s="1"/>
      <c r="H250" s="2"/>
      <c r="Q250" s="3"/>
      <c r="R250" s="3"/>
      <c r="U250" s="4"/>
    </row>
    <row r="251" ht="12.0" customHeight="1">
      <c r="F251" s="1"/>
      <c r="G251" s="1"/>
      <c r="H251" s="2"/>
      <c r="Q251" s="3"/>
      <c r="R251" s="3"/>
      <c r="U251" s="4"/>
    </row>
    <row r="252" ht="12.0" customHeight="1">
      <c r="F252" s="1"/>
      <c r="G252" s="1"/>
      <c r="H252" s="2"/>
      <c r="Q252" s="3"/>
      <c r="R252" s="3"/>
      <c r="U252" s="4"/>
    </row>
    <row r="253" ht="12.0" customHeight="1">
      <c r="F253" s="1"/>
      <c r="G253" s="1"/>
      <c r="H253" s="2"/>
      <c r="Q253" s="3"/>
      <c r="R253" s="3"/>
      <c r="U253" s="4"/>
    </row>
    <row r="254" ht="12.0" customHeight="1">
      <c r="F254" s="1"/>
      <c r="G254" s="1"/>
      <c r="H254" s="2"/>
      <c r="Q254" s="3"/>
      <c r="R254" s="3"/>
      <c r="U254" s="4"/>
    </row>
    <row r="255" ht="12.0" customHeight="1">
      <c r="F255" s="1"/>
      <c r="G255" s="1"/>
      <c r="H255" s="2"/>
      <c r="Q255" s="3"/>
      <c r="R255" s="3"/>
      <c r="U255" s="4"/>
    </row>
    <row r="256" ht="12.0" customHeight="1">
      <c r="F256" s="1"/>
      <c r="G256" s="1"/>
      <c r="H256" s="2"/>
      <c r="Q256" s="3"/>
      <c r="R256" s="3"/>
      <c r="U256" s="4"/>
    </row>
    <row r="257" ht="12.0" customHeight="1">
      <c r="F257" s="1"/>
      <c r="G257" s="1"/>
      <c r="H257" s="2"/>
      <c r="Q257" s="3"/>
      <c r="R257" s="3"/>
      <c r="U257" s="4"/>
    </row>
    <row r="258" ht="12.0" customHeight="1">
      <c r="F258" s="1"/>
      <c r="G258" s="1"/>
      <c r="H258" s="2"/>
      <c r="Q258" s="3"/>
      <c r="R258" s="3"/>
      <c r="U258" s="4"/>
    </row>
    <row r="259" ht="12.0" customHeight="1">
      <c r="F259" s="1"/>
      <c r="G259" s="1"/>
      <c r="H259" s="2"/>
      <c r="Q259" s="3"/>
      <c r="R259" s="3"/>
      <c r="U259" s="4"/>
    </row>
    <row r="260" ht="12.0" customHeight="1">
      <c r="F260" s="1"/>
      <c r="G260" s="1"/>
      <c r="H260" s="2"/>
      <c r="Q260" s="3"/>
      <c r="R260" s="3"/>
      <c r="U260" s="4"/>
    </row>
    <row r="261" ht="12.0" customHeight="1">
      <c r="F261" s="1"/>
      <c r="G261" s="1"/>
      <c r="H261" s="2"/>
      <c r="Q261" s="3"/>
      <c r="R261" s="3"/>
      <c r="U261" s="4"/>
    </row>
    <row r="262" ht="12.0" customHeight="1">
      <c r="F262" s="1"/>
      <c r="G262" s="1"/>
      <c r="H262" s="2"/>
      <c r="Q262" s="3"/>
      <c r="R262" s="3"/>
      <c r="U262" s="4"/>
    </row>
    <row r="263" ht="12.0" customHeight="1">
      <c r="F263" s="1"/>
      <c r="G263" s="1"/>
      <c r="H263" s="2"/>
      <c r="Q263" s="3"/>
      <c r="R263" s="3"/>
      <c r="U263" s="4"/>
    </row>
    <row r="264" ht="12.0" customHeight="1">
      <c r="F264" s="1"/>
      <c r="G264" s="1"/>
      <c r="H264" s="2"/>
      <c r="Q264" s="3"/>
      <c r="R264" s="3"/>
      <c r="U264" s="4"/>
    </row>
    <row r="265" ht="12.0" customHeight="1">
      <c r="F265" s="1"/>
      <c r="G265" s="1"/>
      <c r="H265" s="2"/>
      <c r="Q265" s="3"/>
      <c r="R265" s="3"/>
      <c r="U265" s="4"/>
    </row>
    <row r="266" ht="12.0" customHeight="1">
      <c r="F266" s="1"/>
      <c r="G266" s="1"/>
      <c r="H266" s="2"/>
      <c r="Q266" s="3"/>
      <c r="R266" s="3"/>
      <c r="U266" s="4"/>
    </row>
    <row r="267" ht="12.0" customHeight="1">
      <c r="F267" s="1"/>
      <c r="G267" s="1"/>
      <c r="H267" s="2"/>
      <c r="Q267" s="3"/>
      <c r="R267" s="3"/>
      <c r="U267" s="4"/>
    </row>
    <row r="268" ht="12.0" customHeight="1">
      <c r="F268" s="1"/>
      <c r="G268" s="1"/>
      <c r="H268" s="2"/>
      <c r="Q268" s="3"/>
      <c r="R268" s="3"/>
      <c r="U268" s="4"/>
    </row>
    <row r="269" ht="12.0" customHeight="1">
      <c r="F269" s="1"/>
      <c r="G269" s="1"/>
      <c r="H269" s="2"/>
      <c r="Q269" s="3"/>
      <c r="R269" s="3"/>
      <c r="U269" s="4"/>
    </row>
    <row r="270" ht="12.0" customHeight="1">
      <c r="F270" s="1"/>
      <c r="G270" s="1"/>
      <c r="H270" s="2"/>
      <c r="Q270" s="3"/>
      <c r="R270" s="3"/>
      <c r="U270" s="4"/>
    </row>
    <row r="271" ht="12.0" customHeight="1">
      <c r="F271" s="1"/>
      <c r="G271" s="1"/>
      <c r="H271" s="2"/>
      <c r="Q271" s="3"/>
      <c r="R271" s="3"/>
      <c r="U271" s="4"/>
    </row>
    <row r="272" ht="12.0" customHeight="1">
      <c r="F272" s="1"/>
      <c r="G272" s="1"/>
      <c r="H272" s="2"/>
      <c r="Q272" s="3"/>
      <c r="R272" s="3"/>
      <c r="U272" s="4"/>
    </row>
    <row r="273" ht="12.0" customHeight="1">
      <c r="F273" s="1"/>
      <c r="G273" s="1"/>
      <c r="H273" s="2"/>
      <c r="Q273" s="3"/>
      <c r="R273" s="3"/>
      <c r="U273" s="4"/>
    </row>
    <row r="274" ht="12.0" customHeight="1">
      <c r="F274" s="1"/>
      <c r="G274" s="1"/>
      <c r="H274" s="2"/>
      <c r="Q274" s="3"/>
      <c r="R274" s="3"/>
      <c r="U274" s="4"/>
    </row>
    <row r="275" ht="12.0" customHeight="1">
      <c r="F275" s="1"/>
      <c r="G275" s="1"/>
      <c r="H275" s="2"/>
      <c r="Q275" s="3"/>
      <c r="R275" s="3"/>
      <c r="U275" s="4"/>
    </row>
    <row r="276" ht="12.0" customHeight="1">
      <c r="F276" s="1"/>
      <c r="G276" s="1"/>
      <c r="H276" s="2"/>
      <c r="Q276" s="3"/>
      <c r="R276" s="3"/>
      <c r="U276" s="4"/>
    </row>
    <row r="277" ht="12.0" customHeight="1">
      <c r="F277" s="1"/>
      <c r="G277" s="1"/>
      <c r="H277" s="2"/>
      <c r="Q277" s="3"/>
      <c r="R277" s="3"/>
      <c r="U277" s="4"/>
    </row>
    <row r="278" ht="12.0" customHeight="1">
      <c r="F278" s="1"/>
      <c r="G278" s="1"/>
      <c r="H278" s="2"/>
      <c r="Q278" s="3"/>
      <c r="R278" s="3"/>
      <c r="U278" s="4"/>
    </row>
    <row r="279" ht="12.0" customHeight="1">
      <c r="F279" s="1"/>
      <c r="G279" s="1"/>
      <c r="H279" s="2"/>
      <c r="Q279" s="3"/>
      <c r="R279" s="3"/>
      <c r="U279" s="4"/>
    </row>
    <row r="280" ht="12.0" customHeight="1">
      <c r="F280" s="1"/>
      <c r="G280" s="1"/>
      <c r="H280" s="2"/>
      <c r="Q280" s="3"/>
      <c r="R280" s="3"/>
      <c r="U280" s="4"/>
    </row>
    <row r="281" ht="12.0" customHeight="1">
      <c r="F281" s="1"/>
      <c r="G281" s="1"/>
      <c r="H281" s="2"/>
      <c r="Q281" s="3"/>
      <c r="R281" s="3"/>
      <c r="U281" s="4"/>
    </row>
    <row r="282" ht="12.0" customHeight="1">
      <c r="F282" s="1"/>
      <c r="G282" s="1"/>
      <c r="H282" s="2"/>
      <c r="Q282" s="3"/>
      <c r="R282" s="3"/>
      <c r="U282" s="4"/>
    </row>
    <row r="283" ht="12.0" customHeight="1">
      <c r="F283" s="1"/>
      <c r="G283" s="1"/>
      <c r="H283" s="2"/>
      <c r="Q283" s="3"/>
      <c r="R283" s="3"/>
      <c r="U283" s="4"/>
    </row>
    <row r="284" ht="12.0" customHeight="1">
      <c r="F284" s="1"/>
      <c r="G284" s="1"/>
      <c r="H284" s="2"/>
      <c r="Q284" s="3"/>
      <c r="R284" s="3"/>
      <c r="U284" s="4"/>
    </row>
    <row r="285" ht="12.0" customHeight="1">
      <c r="F285" s="1"/>
      <c r="G285" s="1"/>
      <c r="H285" s="2"/>
      <c r="Q285" s="3"/>
      <c r="R285" s="3"/>
      <c r="U285" s="4"/>
    </row>
    <row r="286" ht="12.0" customHeight="1">
      <c r="F286" s="1"/>
      <c r="G286" s="1"/>
      <c r="H286" s="2"/>
      <c r="Q286" s="3"/>
      <c r="R286" s="3"/>
      <c r="U286" s="4"/>
    </row>
    <row r="287" ht="12.0" customHeight="1">
      <c r="F287" s="1"/>
      <c r="G287" s="1"/>
      <c r="H287" s="2"/>
      <c r="Q287" s="3"/>
      <c r="R287" s="3"/>
      <c r="U287" s="4"/>
    </row>
    <row r="288" ht="12.0" customHeight="1">
      <c r="F288" s="1"/>
      <c r="G288" s="1"/>
      <c r="H288" s="2"/>
      <c r="Q288" s="3"/>
      <c r="R288" s="3"/>
      <c r="U288" s="4"/>
    </row>
    <row r="289" ht="12.0" customHeight="1">
      <c r="F289" s="1"/>
      <c r="G289" s="1"/>
      <c r="H289" s="2"/>
      <c r="Q289" s="3"/>
      <c r="R289" s="3"/>
      <c r="U289" s="4"/>
    </row>
    <row r="290" ht="12.0" customHeight="1">
      <c r="F290" s="1"/>
      <c r="G290" s="1"/>
      <c r="H290" s="2"/>
      <c r="Q290" s="3"/>
      <c r="R290" s="3"/>
      <c r="U290" s="4"/>
    </row>
    <row r="291" ht="12.0" customHeight="1">
      <c r="F291" s="1"/>
      <c r="G291" s="1"/>
      <c r="H291" s="2"/>
      <c r="Q291" s="3"/>
      <c r="R291" s="3"/>
      <c r="U291" s="4"/>
    </row>
    <row r="292" ht="12.0" customHeight="1">
      <c r="F292" s="1"/>
      <c r="G292" s="1"/>
      <c r="H292" s="2"/>
      <c r="Q292" s="3"/>
      <c r="R292" s="3"/>
      <c r="U292" s="4"/>
    </row>
    <row r="293" ht="12.0" customHeight="1">
      <c r="F293" s="1"/>
      <c r="G293" s="1"/>
      <c r="H293" s="2"/>
      <c r="Q293" s="3"/>
      <c r="R293" s="3"/>
      <c r="U293" s="4"/>
    </row>
    <row r="294" ht="12.0" customHeight="1">
      <c r="F294" s="1"/>
      <c r="G294" s="1"/>
      <c r="H294" s="2"/>
      <c r="Q294" s="3"/>
      <c r="R294" s="3"/>
      <c r="U294" s="4"/>
    </row>
    <row r="295" ht="12.0" customHeight="1">
      <c r="F295" s="1"/>
      <c r="G295" s="1"/>
      <c r="H295" s="2"/>
      <c r="Q295" s="3"/>
      <c r="R295" s="3"/>
      <c r="U295" s="4"/>
    </row>
    <row r="296" ht="12.0" customHeight="1">
      <c r="F296" s="1"/>
      <c r="G296" s="1"/>
      <c r="H296" s="2"/>
      <c r="Q296" s="3"/>
      <c r="R296" s="3"/>
      <c r="U296" s="4"/>
    </row>
    <row r="297" ht="12.0" customHeight="1">
      <c r="F297" s="1"/>
      <c r="G297" s="1"/>
      <c r="H297" s="2"/>
      <c r="Q297" s="3"/>
      <c r="R297" s="3"/>
      <c r="U297" s="4"/>
    </row>
    <row r="298" ht="12.0" customHeight="1">
      <c r="F298" s="1"/>
      <c r="G298" s="1"/>
      <c r="H298" s="2"/>
      <c r="Q298" s="3"/>
      <c r="R298" s="3"/>
      <c r="U298" s="4"/>
    </row>
    <row r="299" ht="12.0" customHeight="1">
      <c r="F299" s="1"/>
      <c r="G299" s="1"/>
      <c r="H299" s="2"/>
      <c r="Q299" s="3"/>
      <c r="R299" s="3"/>
      <c r="U299" s="4"/>
    </row>
    <row r="300" ht="12.0" customHeight="1">
      <c r="F300" s="1"/>
      <c r="G300" s="1"/>
      <c r="H300" s="2"/>
      <c r="Q300" s="3"/>
      <c r="R300" s="3"/>
      <c r="U300" s="4"/>
    </row>
    <row r="301" ht="12.0" customHeight="1">
      <c r="F301" s="1"/>
      <c r="G301" s="1"/>
      <c r="H301" s="2"/>
      <c r="Q301" s="3"/>
      <c r="R301" s="3"/>
      <c r="U301" s="4"/>
    </row>
    <row r="302" ht="12.0" customHeight="1">
      <c r="F302" s="1"/>
      <c r="G302" s="1"/>
      <c r="H302" s="2"/>
      <c r="Q302" s="3"/>
      <c r="R302" s="3"/>
      <c r="U302" s="4"/>
    </row>
    <row r="303" ht="12.0" customHeight="1">
      <c r="F303" s="1"/>
      <c r="G303" s="1"/>
      <c r="H303" s="2"/>
      <c r="Q303" s="3"/>
      <c r="R303" s="3"/>
      <c r="U303" s="4"/>
    </row>
    <row r="304" ht="12.0" customHeight="1">
      <c r="F304" s="1"/>
      <c r="G304" s="1"/>
      <c r="H304" s="2"/>
      <c r="Q304" s="3"/>
      <c r="R304" s="3"/>
      <c r="U304" s="4"/>
    </row>
    <row r="305" ht="12.0" customHeight="1">
      <c r="F305" s="1"/>
      <c r="G305" s="1"/>
      <c r="H305" s="2"/>
      <c r="Q305" s="3"/>
      <c r="R305" s="3"/>
      <c r="U305" s="4"/>
    </row>
    <row r="306" ht="12.0" customHeight="1">
      <c r="F306" s="1"/>
      <c r="G306" s="1"/>
      <c r="H306" s="2"/>
      <c r="Q306" s="3"/>
      <c r="R306" s="3"/>
      <c r="U306" s="4"/>
    </row>
    <row r="307" ht="12.0" customHeight="1">
      <c r="F307" s="1"/>
      <c r="G307" s="1"/>
      <c r="H307" s="2"/>
      <c r="Q307" s="3"/>
      <c r="R307" s="3"/>
      <c r="U307" s="4"/>
    </row>
    <row r="308" ht="12.0" customHeight="1">
      <c r="F308" s="1"/>
      <c r="G308" s="1"/>
      <c r="H308" s="2"/>
      <c r="Q308" s="3"/>
      <c r="R308" s="3"/>
      <c r="U308" s="4"/>
    </row>
    <row r="309" ht="12.0" customHeight="1">
      <c r="F309" s="1"/>
      <c r="G309" s="1"/>
      <c r="H309" s="2"/>
      <c r="Q309" s="3"/>
      <c r="R309" s="3"/>
      <c r="U309" s="4"/>
    </row>
    <row r="310" ht="12.0" customHeight="1">
      <c r="F310" s="1"/>
      <c r="G310" s="1"/>
      <c r="H310" s="2"/>
      <c r="Q310" s="3"/>
      <c r="R310" s="3"/>
      <c r="U310" s="4"/>
    </row>
    <row r="311" ht="12.0" customHeight="1">
      <c r="F311" s="1"/>
      <c r="G311" s="1"/>
      <c r="H311" s="2"/>
      <c r="Q311" s="3"/>
      <c r="R311" s="3"/>
      <c r="U311" s="4"/>
    </row>
    <row r="312" ht="12.0" customHeight="1">
      <c r="F312" s="1"/>
      <c r="G312" s="1"/>
      <c r="H312" s="2"/>
      <c r="Q312" s="3"/>
      <c r="R312" s="3"/>
      <c r="U312" s="4"/>
    </row>
    <row r="313" ht="12.0" customHeight="1">
      <c r="F313" s="1"/>
      <c r="G313" s="1"/>
      <c r="H313" s="2"/>
      <c r="Q313" s="3"/>
      <c r="R313" s="3"/>
      <c r="U313" s="4"/>
    </row>
    <row r="314" ht="12.0" customHeight="1">
      <c r="F314" s="1"/>
      <c r="G314" s="1"/>
      <c r="H314" s="2"/>
      <c r="Q314" s="3"/>
      <c r="R314" s="3"/>
      <c r="U314" s="4"/>
    </row>
    <row r="315" ht="12.0" customHeight="1">
      <c r="F315" s="1"/>
      <c r="G315" s="1"/>
      <c r="H315" s="2"/>
      <c r="Q315" s="3"/>
      <c r="R315" s="3"/>
      <c r="U315" s="4"/>
    </row>
    <row r="316" ht="12.0" customHeight="1">
      <c r="F316" s="1"/>
      <c r="G316" s="1"/>
      <c r="H316" s="2"/>
      <c r="Q316" s="3"/>
      <c r="R316" s="3"/>
      <c r="U316" s="4"/>
    </row>
    <row r="317" ht="12.0" customHeight="1">
      <c r="F317" s="1"/>
      <c r="G317" s="1"/>
      <c r="H317" s="2"/>
      <c r="Q317" s="3"/>
      <c r="R317" s="3"/>
      <c r="U317" s="4"/>
    </row>
    <row r="318" ht="12.0" customHeight="1">
      <c r="F318" s="1"/>
      <c r="G318" s="1"/>
      <c r="H318" s="2"/>
      <c r="Q318" s="3"/>
      <c r="R318" s="3"/>
      <c r="U318" s="4"/>
    </row>
    <row r="319" ht="12.0" customHeight="1">
      <c r="F319" s="1"/>
      <c r="G319" s="1"/>
      <c r="H319" s="2"/>
      <c r="Q319" s="3"/>
      <c r="R319" s="3"/>
      <c r="U319" s="4"/>
    </row>
    <row r="320" ht="12.0" customHeight="1">
      <c r="F320" s="1"/>
      <c r="G320" s="1"/>
      <c r="H320" s="2"/>
      <c r="Q320" s="3"/>
      <c r="R320" s="3"/>
      <c r="U320" s="4"/>
    </row>
    <row r="321" ht="12.0" customHeight="1">
      <c r="F321" s="1"/>
      <c r="G321" s="1"/>
      <c r="H321" s="2"/>
      <c r="Q321" s="3"/>
      <c r="R321" s="3"/>
      <c r="U321" s="4"/>
    </row>
    <row r="322" ht="12.0" customHeight="1">
      <c r="F322" s="1"/>
      <c r="G322" s="1"/>
      <c r="H322" s="2"/>
      <c r="Q322" s="3"/>
      <c r="R322" s="3"/>
      <c r="U322" s="4"/>
    </row>
    <row r="323" ht="12.0" customHeight="1">
      <c r="F323" s="1"/>
      <c r="G323" s="1"/>
      <c r="H323" s="2"/>
      <c r="Q323" s="3"/>
      <c r="R323" s="3"/>
      <c r="U323" s="4"/>
    </row>
    <row r="324" ht="12.0" customHeight="1">
      <c r="F324" s="1"/>
      <c r="G324" s="1"/>
      <c r="H324" s="2"/>
      <c r="Q324" s="3"/>
      <c r="R324" s="3"/>
      <c r="U324" s="4"/>
    </row>
    <row r="325" ht="12.0" customHeight="1">
      <c r="F325" s="1"/>
      <c r="G325" s="1"/>
      <c r="H325" s="2"/>
      <c r="Q325" s="3"/>
      <c r="R325" s="3"/>
      <c r="U325" s="4"/>
    </row>
    <row r="326" ht="12.0" customHeight="1">
      <c r="F326" s="1"/>
      <c r="G326" s="1"/>
      <c r="H326" s="2"/>
      <c r="Q326" s="3"/>
      <c r="R326" s="3"/>
      <c r="U326" s="4"/>
    </row>
    <row r="327" ht="12.0" customHeight="1">
      <c r="F327" s="1"/>
      <c r="G327" s="1"/>
      <c r="H327" s="2"/>
      <c r="Q327" s="3"/>
      <c r="R327" s="3"/>
      <c r="U327" s="4"/>
    </row>
    <row r="328" ht="12.0" customHeight="1">
      <c r="F328" s="1"/>
      <c r="G328" s="1"/>
      <c r="H328" s="2"/>
      <c r="Q328" s="3"/>
      <c r="R328" s="3"/>
      <c r="U328" s="4"/>
    </row>
    <row r="329" ht="12.0" customHeight="1">
      <c r="F329" s="1"/>
      <c r="G329" s="1"/>
      <c r="H329" s="2"/>
      <c r="Q329" s="3"/>
      <c r="R329" s="3"/>
      <c r="U329" s="4"/>
    </row>
    <row r="330" ht="12.0" customHeight="1">
      <c r="F330" s="1"/>
      <c r="G330" s="1"/>
      <c r="H330" s="2"/>
      <c r="Q330" s="3"/>
      <c r="R330" s="3"/>
      <c r="U330" s="4"/>
    </row>
    <row r="331" ht="12.0" customHeight="1">
      <c r="F331" s="1"/>
      <c r="G331" s="1"/>
      <c r="H331" s="2"/>
      <c r="Q331" s="3"/>
      <c r="R331" s="3"/>
      <c r="U331" s="4"/>
    </row>
    <row r="332" ht="12.0" customHeight="1">
      <c r="F332" s="1"/>
      <c r="G332" s="1"/>
      <c r="H332" s="2"/>
      <c r="Q332" s="3"/>
      <c r="R332" s="3"/>
      <c r="U332" s="4"/>
    </row>
    <row r="333" ht="12.0" customHeight="1">
      <c r="F333" s="1"/>
      <c r="G333" s="1"/>
      <c r="H333" s="2"/>
      <c r="Q333" s="3"/>
      <c r="R333" s="3"/>
      <c r="U333" s="4"/>
    </row>
    <row r="334" ht="12.0" customHeight="1">
      <c r="F334" s="1"/>
      <c r="G334" s="1"/>
      <c r="H334" s="2"/>
      <c r="Q334" s="3"/>
      <c r="R334" s="3"/>
      <c r="U334" s="4"/>
    </row>
    <row r="335" ht="12.0" customHeight="1">
      <c r="F335" s="1"/>
      <c r="G335" s="1"/>
      <c r="H335" s="2"/>
      <c r="Q335" s="3"/>
      <c r="R335" s="3"/>
      <c r="U335" s="4"/>
    </row>
    <row r="336" ht="12.0" customHeight="1">
      <c r="F336" s="1"/>
      <c r="G336" s="1"/>
      <c r="H336" s="2"/>
      <c r="Q336" s="3"/>
      <c r="R336" s="3"/>
      <c r="U336" s="4"/>
    </row>
    <row r="337" ht="12.0" customHeight="1">
      <c r="F337" s="1"/>
      <c r="G337" s="1"/>
      <c r="H337" s="2"/>
      <c r="Q337" s="3"/>
      <c r="R337" s="3"/>
      <c r="U337" s="4"/>
    </row>
    <row r="338" ht="12.0" customHeight="1">
      <c r="F338" s="1"/>
      <c r="G338" s="1"/>
      <c r="H338" s="2"/>
      <c r="Q338" s="3"/>
      <c r="R338" s="3"/>
      <c r="U338" s="4"/>
    </row>
    <row r="339" ht="12.0" customHeight="1">
      <c r="F339" s="1"/>
      <c r="G339" s="1"/>
      <c r="H339" s="2"/>
      <c r="Q339" s="3"/>
      <c r="R339" s="3"/>
      <c r="U339" s="4"/>
    </row>
    <row r="340" ht="12.0" customHeight="1">
      <c r="F340" s="1"/>
      <c r="G340" s="1"/>
      <c r="H340" s="2"/>
      <c r="Q340" s="3"/>
      <c r="R340" s="3"/>
      <c r="U340" s="4"/>
    </row>
    <row r="341" ht="12.0" customHeight="1">
      <c r="F341" s="1"/>
      <c r="G341" s="1"/>
      <c r="H341" s="2"/>
      <c r="Q341" s="3"/>
      <c r="R341" s="3"/>
      <c r="U341" s="4"/>
    </row>
    <row r="342" ht="12.0" customHeight="1">
      <c r="F342" s="1"/>
      <c r="G342" s="1"/>
      <c r="H342" s="2"/>
      <c r="Q342" s="3"/>
      <c r="R342" s="3"/>
      <c r="U342" s="4"/>
    </row>
    <row r="343" ht="12.0" customHeight="1">
      <c r="F343" s="1"/>
      <c r="G343" s="1"/>
      <c r="H343" s="2"/>
      <c r="Q343" s="3"/>
      <c r="R343" s="3"/>
      <c r="U343" s="4"/>
    </row>
    <row r="344" ht="12.0" customHeight="1">
      <c r="F344" s="1"/>
      <c r="G344" s="1"/>
      <c r="H344" s="2"/>
      <c r="Q344" s="3"/>
      <c r="R344" s="3"/>
      <c r="U344" s="4"/>
    </row>
    <row r="345" ht="12.0" customHeight="1">
      <c r="F345" s="1"/>
      <c r="G345" s="1"/>
      <c r="H345" s="2"/>
      <c r="Q345" s="3"/>
      <c r="R345" s="3"/>
      <c r="U345" s="4"/>
    </row>
    <row r="346" ht="12.0" customHeight="1">
      <c r="F346" s="1"/>
      <c r="G346" s="1"/>
      <c r="H346" s="2"/>
      <c r="Q346" s="3"/>
      <c r="R346" s="3"/>
      <c r="U346" s="4"/>
    </row>
    <row r="347" ht="12.0" customHeight="1">
      <c r="F347" s="1"/>
      <c r="G347" s="1"/>
      <c r="H347" s="2"/>
      <c r="Q347" s="3"/>
      <c r="R347" s="3"/>
      <c r="U347" s="4"/>
    </row>
    <row r="348" ht="12.0" customHeight="1">
      <c r="F348" s="1"/>
      <c r="G348" s="1"/>
      <c r="H348" s="2"/>
      <c r="Q348" s="3"/>
      <c r="R348" s="3"/>
      <c r="U348" s="4"/>
    </row>
    <row r="349" ht="12.0" customHeight="1">
      <c r="F349" s="1"/>
      <c r="G349" s="1"/>
      <c r="H349" s="2"/>
      <c r="Q349" s="3"/>
      <c r="R349" s="3"/>
      <c r="U349" s="4"/>
    </row>
    <row r="350" ht="12.0" customHeight="1">
      <c r="F350" s="1"/>
      <c r="G350" s="1"/>
      <c r="H350" s="2"/>
      <c r="Q350" s="3"/>
      <c r="R350" s="3"/>
      <c r="U350" s="4"/>
    </row>
    <row r="351" ht="12.0" customHeight="1">
      <c r="F351" s="1"/>
      <c r="G351" s="1"/>
      <c r="H351" s="2"/>
      <c r="Q351" s="3"/>
      <c r="R351" s="3"/>
      <c r="U351" s="4"/>
    </row>
    <row r="352" ht="12.0" customHeight="1">
      <c r="F352" s="1"/>
      <c r="G352" s="1"/>
      <c r="H352" s="2"/>
      <c r="Q352" s="3"/>
      <c r="R352" s="3"/>
      <c r="U352" s="4"/>
    </row>
    <row r="353" ht="12.0" customHeight="1">
      <c r="F353" s="1"/>
      <c r="G353" s="1"/>
      <c r="H353" s="2"/>
      <c r="Q353" s="3"/>
      <c r="R353" s="3"/>
      <c r="U353" s="4"/>
    </row>
    <row r="354" ht="12.0" customHeight="1">
      <c r="F354" s="1"/>
      <c r="G354" s="1"/>
      <c r="H354" s="2"/>
      <c r="Q354" s="3"/>
      <c r="R354" s="3"/>
      <c r="U354" s="4"/>
    </row>
    <row r="355" ht="12.0" customHeight="1">
      <c r="F355" s="1"/>
      <c r="G355" s="1"/>
      <c r="H355" s="2"/>
      <c r="Q355" s="3"/>
      <c r="R355" s="3"/>
      <c r="U355" s="4"/>
    </row>
    <row r="356" ht="12.0" customHeight="1">
      <c r="F356" s="1"/>
      <c r="G356" s="1"/>
      <c r="H356" s="2"/>
      <c r="Q356" s="3"/>
      <c r="R356" s="3"/>
      <c r="U356" s="4"/>
    </row>
    <row r="357" ht="12.0" customHeight="1">
      <c r="F357" s="1"/>
      <c r="G357" s="1"/>
      <c r="H357" s="2"/>
      <c r="Q357" s="3"/>
      <c r="R357" s="3"/>
      <c r="U357" s="4"/>
    </row>
    <row r="358" ht="12.0" customHeight="1">
      <c r="F358" s="1"/>
      <c r="G358" s="1"/>
      <c r="H358" s="2"/>
      <c r="Q358" s="3"/>
      <c r="R358" s="3"/>
      <c r="U358" s="4"/>
    </row>
    <row r="359" ht="12.0" customHeight="1">
      <c r="F359" s="1"/>
      <c r="G359" s="1"/>
      <c r="H359" s="2"/>
      <c r="Q359" s="3"/>
      <c r="R359" s="3"/>
      <c r="U359" s="4"/>
    </row>
    <row r="360" ht="12.0" customHeight="1">
      <c r="F360" s="1"/>
      <c r="G360" s="1"/>
      <c r="H360" s="2"/>
      <c r="Q360" s="3"/>
      <c r="R360" s="3"/>
      <c r="U360" s="4"/>
    </row>
    <row r="361" ht="12.0" customHeight="1">
      <c r="F361" s="1"/>
      <c r="G361" s="1"/>
      <c r="H361" s="2"/>
      <c r="Q361" s="3"/>
      <c r="R361" s="3"/>
      <c r="U361" s="4"/>
    </row>
    <row r="362" ht="12.0" customHeight="1">
      <c r="F362" s="1"/>
      <c r="G362" s="1"/>
      <c r="H362" s="2"/>
      <c r="Q362" s="3"/>
      <c r="R362" s="3"/>
      <c r="U362" s="4"/>
    </row>
    <row r="363" ht="12.0" customHeight="1">
      <c r="F363" s="1"/>
      <c r="G363" s="1"/>
      <c r="H363" s="2"/>
      <c r="Q363" s="3"/>
      <c r="R363" s="3"/>
      <c r="U363" s="4"/>
    </row>
    <row r="364" ht="12.0" customHeight="1">
      <c r="F364" s="1"/>
      <c r="G364" s="1"/>
      <c r="H364" s="2"/>
      <c r="Q364" s="3"/>
      <c r="R364" s="3"/>
      <c r="U364" s="4"/>
    </row>
    <row r="365" ht="12.0" customHeight="1">
      <c r="F365" s="1"/>
      <c r="G365" s="1"/>
      <c r="H365" s="2"/>
      <c r="Q365" s="3"/>
      <c r="R365" s="3"/>
      <c r="U365" s="4"/>
    </row>
    <row r="366" ht="12.0" customHeight="1">
      <c r="F366" s="1"/>
      <c r="G366" s="1"/>
      <c r="H366" s="2"/>
      <c r="Q366" s="3"/>
      <c r="R366" s="3"/>
      <c r="U366" s="4"/>
    </row>
    <row r="367" ht="12.0" customHeight="1">
      <c r="F367" s="1"/>
      <c r="G367" s="1"/>
      <c r="H367" s="2"/>
      <c r="Q367" s="3"/>
      <c r="R367" s="3"/>
      <c r="U367" s="4"/>
    </row>
    <row r="368" ht="12.0" customHeight="1">
      <c r="F368" s="1"/>
      <c r="G368" s="1"/>
      <c r="H368" s="2"/>
      <c r="Q368" s="3"/>
      <c r="R368" s="3"/>
      <c r="U368" s="4"/>
    </row>
    <row r="369" ht="12.0" customHeight="1">
      <c r="F369" s="1"/>
      <c r="G369" s="1"/>
      <c r="H369" s="2"/>
      <c r="Q369" s="3"/>
      <c r="R369" s="3"/>
      <c r="U369" s="4"/>
    </row>
    <row r="370" ht="12.0" customHeight="1">
      <c r="F370" s="1"/>
      <c r="G370" s="1"/>
      <c r="H370" s="2"/>
      <c r="Q370" s="3"/>
      <c r="R370" s="3"/>
      <c r="U370" s="4"/>
    </row>
    <row r="371" ht="12.0" customHeight="1">
      <c r="F371" s="1"/>
      <c r="G371" s="1"/>
      <c r="H371" s="2"/>
      <c r="Q371" s="3"/>
      <c r="R371" s="3"/>
      <c r="U371" s="4"/>
    </row>
    <row r="372" ht="12.0" customHeight="1">
      <c r="F372" s="1"/>
      <c r="G372" s="1"/>
      <c r="H372" s="2"/>
      <c r="Q372" s="3"/>
      <c r="R372" s="3"/>
      <c r="U372" s="4"/>
    </row>
    <row r="373" ht="12.0" customHeight="1">
      <c r="F373" s="1"/>
      <c r="G373" s="1"/>
      <c r="H373" s="2"/>
      <c r="Q373" s="3"/>
      <c r="R373" s="3"/>
      <c r="U373" s="4"/>
    </row>
    <row r="374" ht="12.0" customHeight="1">
      <c r="F374" s="1"/>
      <c r="G374" s="1"/>
      <c r="H374" s="2"/>
      <c r="Q374" s="3"/>
      <c r="R374" s="3"/>
      <c r="U374" s="4"/>
    </row>
    <row r="375" ht="12.0" customHeight="1">
      <c r="F375" s="1"/>
      <c r="G375" s="1"/>
      <c r="H375" s="2"/>
      <c r="Q375" s="3"/>
      <c r="R375" s="3"/>
      <c r="U375" s="4"/>
    </row>
    <row r="376" ht="12.0" customHeight="1">
      <c r="F376" s="1"/>
      <c r="G376" s="1"/>
      <c r="H376" s="2"/>
      <c r="Q376" s="3"/>
      <c r="R376" s="3"/>
      <c r="U376" s="4"/>
    </row>
    <row r="377" ht="12.0" customHeight="1">
      <c r="F377" s="1"/>
      <c r="G377" s="1"/>
      <c r="H377" s="2"/>
      <c r="Q377" s="3"/>
      <c r="R377" s="3"/>
      <c r="U377" s="4"/>
    </row>
    <row r="378" ht="12.0" customHeight="1">
      <c r="F378" s="1"/>
      <c r="G378" s="1"/>
      <c r="H378" s="2"/>
      <c r="Q378" s="3"/>
      <c r="R378" s="3"/>
      <c r="U378" s="4"/>
    </row>
    <row r="379" ht="12.0" customHeight="1">
      <c r="F379" s="1"/>
      <c r="G379" s="1"/>
      <c r="H379" s="2"/>
      <c r="Q379" s="3"/>
      <c r="R379" s="3"/>
      <c r="U379" s="4"/>
    </row>
    <row r="380" ht="12.0" customHeight="1">
      <c r="F380" s="1"/>
      <c r="G380" s="1"/>
      <c r="H380" s="2"/>
      <c r="Q380" s="3"/>
      <c r="R380" s="3"/>
      <c r="U380" s="4"/>
    </row>
    <row r="381" ht="12.0" customHeight="1">
      <c r="F381" s="1"/>
      <c r="G381" s="1"/>
      <c r="H381" s="2"/>
      <c r="Q381" s="3"/>
      <c r="R381" s="3"/>
      <c r="U381" s="4"/>
    </row>
    <row r="382" ht="12.0" customHeight="1">
      <c r="F382" s="1"/>
      <c r="G382" s="1"/>
      <c r="H382" s="2"/>
      <c r="Q382" s="3"/>
      <c r="R382" s="3"/>
      <c r="U382" s="4"/>
    </row>
    <row r="383" ht="12.0" customHeight="1">
      <c r="F383" s="1"/>
      <c r="G383" s="1"/>
      <c r="H383" s="2"/>
      <c r="Q383" s="3"/>
      <c r="R383" s="3"/>
      <c r="U383" s="4"/>
    </row>
    <row r="384" ht="12.0" customHeight="1">
      <c r="F384" s="1"/>
      <c r="G384" s="1"/>
      <c r="H384" s="2"/>
      <c r="Q384" s="3"/>
      <c r="R384" s="3"/>
      <c r="U384" s="4"/>
    </row>
    <row r="385" ht="12.0" customHeight="1">
      <c r="F385" s="1"/>
      <c r="G385" s="1"/>
      <c r="H385" s="2"/>
      <c r="Q385" s="3"/>
      <c r="R385" s="3"/>
      <c r="U385" s="4"/>
    </row>
    <row r="386" ht="12.0" customHeight="1">
      <c r="F386" s="1"/>
      <c r="G386" s="1"/>
      <c r="H386" s="2"/>
      <c r="Q386" s="3"/>
      <c r="R386" s="3"/>
      <c r="U386" s="4"/>
    </row>
    <row r="387" ht="12.0" customHeight="1">
      <c r="F387" s="1"/>
      <c r="G387" s="1"/>
      <c r="H387" s="2"/>
      <c r="Q387" s="3"/>
      <c r="R387" s="3"/>
      <c r="U387" s="4"/>
    </row>
    <row r="388" ht="12.0" customHeight="1">
      <c r="F388" s="1"/>
      <c r="G388" s="1"/>
      <c r="H388" s="2"/>
      <c r="Q388" s="3"/>
      <c r="R388" s="3"/>
      <c r="U388" s="4"/>
    </row>
    <row r="389" ht="12.0" customHeight="1">
      <c r="F389" s="1"/>
      <c r="G389" s="1"/>
      <c r="H389" s="2"/>
      <c r="Q389" s="3"/>
      <c r="R389" s="3"/>
      <c r="U389" s="4"/>
    </row>
    <row r="390" ht="12.0" customHeight="1">
      <c r="F390" s="1"/>
      <c r="G390" s="1"/>
      <c r="H390" s="2"/>
      <c r="Q390" s="3"/>
      <c r="R390" s="3"/>
      <c r="U390" s="4"/>
    </row>
    <row r="391" ht="12.0" customHeight="1">
      <c r="F391" s="1"/>
      <c r="G391" s="1"/>
      <c r="H391" s="2"/>
      <c r="Q391" s="3"/>
      <c r="R391" s="3"/>
      <c r="U391" s="4"/>
    </row>
    <row r="392" ht="12.0" customHeight="1">
      <c r="F392" s="1"/>
      <c r="G392" s="1"/>
      <c r="H392" s="2"/>
      <c r="Q392" s="3"/>
      <c r="R392" s="3"/>
      <c r="U392" s="4"/>
    </row>
    <row r="393" ht="12.0" customHeight="1">
      <c r="F393" s="1"/>
      <c r="G393" s="1"/>
      <c r="H393" s="2"/>
      <c r="Q393" s="3"/>
      <c r="R393" s="3"/>
      <c r="U393" s="4"/>
    </row>
    <row r="394" ht="12.0" customHeight="1">
      <c r="F394" s="1"/>
      <c r="G394" s="1"/>
      <c r="H394" s="2"/>
      <c r="Q394" s="3"/>
      <c r="R394" s="3"/>
      <c r="U394" s="4"/>
    </row>
    <row r="395" ht="12.0" customHeight="1">
      <c r="F395" s="1"/>
      <c r="G395" s="1"/>
      <c r="H395" s="2"/>
      <c r="Q395" s="3"/>
      <c r="R395" s="3"/>
      <c r="U395" s="4"/>
    </row>
    <row r="396" ht="12.0" customHeight="1">
      <c r="F396" s="1"/>
      <c r="G396" s="1"/>
      <c r="H396" s="2"/>
      <c r="Q396" s="3"/>
      <c r="R396" s="3"/>
      <c r="U396" s="4"/>
    </row>
    <row r="397" ht="12.0" customHeight="1">
      <c r="F397" s="1"/>
      <c r="G397" s="1"/>
      <c r="H397" s="2"/>
      <c r="Q397" s="3"/>
      <c r="R397" s="3"/>
      <c r="U397" s="4"/>
    </row>
    <row r="398" ht="12.0" customHeight="1">
      <c r="F398" s="1"/>
      <c r="G398" s="1"/>
      <c r="H398" s="2"/>
      <c r="Q398" s="3"/>
      <c r="R398" s="3"/>
      <c r="U398" s="4"/>
    </row>
    <row r="399" ht="12.0" customHeight="1">
      <c r="F399" s="1"/>
      <c r="G399" s="1"/>
      <c r="H399" s="2"/>
      <c r="Q399" s="3"/>
      <c r="R399" s="3"/>
      <c r="U399" s="4"/>
    </row>
    <row r="400" ht="12.0" customHeight="1">
      <c r="F400" s="1"/>
      <c r="G400" s="1"/>
      <c r="H400" s="2"/>
      <c r="Q400" s="3"/>
      <c r="R400" s="3"/>
      <c r="U400" s="4"/>
    </row>
    <row r="401" ht="12.0" customHeight="1">
      <c r="F401" s="1"/>
      <c r="G401" s="1"/>
      <c r="H401" s="2"/>
      <c r="Q401" s="3"/>
      <c r="R401" s="3"/>
      <c r="U401" s="4"/>
    </row>
    <row r="402" ht="12.0" customHeight="1">
      <c r="F402" s="1"/>
      <c r="G402" s="1"/>
      <c r="H402" s="2"/>
      <c r="Q402" s="3"/>
      <c r="R402" s="3"/>
      <c r="U402" s="4"/>
    </row>
    <row r="403" ht="12.0" customHeight="1">
      <c r="F403" s="1"/>
      <c r="G403" s="1"/>
      <c r="H403" s="2"/>
      <c r="Q403" s="3"/>
      <c r="R403" s="3"/>
      <c r="U403" s="4"/>
    </row>
    <row r="404" ht="12.0" customHeight="1">
      <c r="F404" s="1"/>
      <c r="G404" s="1"/>
      <c r="H404" s="2"/>
      <c r="Q404" s="3"/>
      <c r="R404" s="3"/>
      <c r="U404" s="4"/>
    </row>
    <row r="405" ht="12.0" customHeight="1">
      <c r="F405" s="1"/>
      <c r="G405" s="1"/>
      <c r="H405" s="2"/>
      <c r="Q405" s="3"/>
      <c r="R405" s="3"/>
      <c r="U405" s="4"/>
    </row>
    <row r="406" ht="12.0" customHeight="1">
      <c r="F406" s="1"/>
      <c r="G406" s="1"/>
      <c r="H406" s="2"/>
      <c r="Q406" s="3"/>
      <c r="R406" s="3"/>
      <c r="U406" s="4"/>
    </row>
    <row r="407" ht="12.0" customHeight="1">
      <c r="F407" s="1"/>
      <c r="G407" s="1"/>
      <c r="H407" s="2"/>
      <c r="Q407" s="3"/>
      <c r="R407" s="3"/>
      <c r="U407" s="4"/>
    </row>
    <row r="408" ht="12.0" customHeight="1">
      <c r="F408" s="1"/>
      <c r="G408" s="1"/>
      <c r="H408" s="2"/>
      <c r="Q408" s="3"/>
      <c r="R408" s="3"/>
      <c r="U408" s="4"/>
    </row>
    <row r="409" ht="12.0" customHeight="1">
      <c r="F409" s="1"/>
      <c r="G409" s="1"/>
      <c r="H409" s="2"/>
      <c r="Q409" s="3"/>
      <c r="R409" s="3"/>
      <c r="U409" s="4"/>
    </row>
    <row r="410" ht="12.0" customHeight="1">
      <c r="F410" s="1"/>
      <c r="G410" s="1"/>
      <c r="H410" s="2"/>
      <c r="Q410" s="3"/>
      <c r="R410" s="3"/>
      <c r="U410" s="4"/>
    </row>
    <row r="411" ht="12.0" customHeight="1">
      <c r="F411" s="1"/>
      <c r="G411" s="1"/>
      <c r="H411" s="2"/>
      <c r="Q411" s="3"/>
      <c r="R411" s="3"/>
      <c r="U411" s="4"/>
    </row>
    <row r="412" ht="12.0" customHeight="1">
      <c r="F412" s="1"/>
      <c r="G412" s="1"/>
      <c r="H412" s="2"/>
      <c r="Q412" s="3"/>
      <c r="R412" s="3"/>
      <c r="U412" s="4"/>
    </row>
    <row r="413" ht="12.0" customHeight="1">
      <c r="F413" s="1"/>
      <c r="G413" s="1"/>
      <c r="H413" s="2"/>
      <c r="Q413" s="3"/>
      <c r="R413" s="3"/>
      <c r="U413" s="4"/>
    </row>
    <row r="414" ht="12.0" customHeight="1">
      <c r="F414" s="1"/>
      <c r="G414" s="1"/>
      <c r="H414" s="2"/>
      <c r="Q414" s="3"/>
      <c r="R414" s="3"/>
      <c r="U414" s="4"/>
    </row>
    <row r="415" ht="12.0" customHeight="1">
      <c r="F415" s="1"/>
      <c r="G415" s="1"/>
      <c r="H415" s="2"/>
      <c r="Q415" s="3"/>
      <c r="R415" s="3"/>
      <c r="U415" s="4"/>
    </row>
    <row r="416" ht="12.0" customHeight="1">
      <c r="F416" s="1"/>
      <c r="G416" s="1"/>
      <c r="H416" s="2"/>
      <c r="Q416" s="3"/>
      <c r="R416" s="3"/>
      <c r="U416" s="4"/>
    </row>
    <row r="417" ht="12.0" customHeight="1">
      <c r="F417" s="1"/>
      <c r="G417" s="1"/>
      <c r="H417" s="2"/>
      <c r="Q417" s="3"/>
      <c r="R417" s="3"/>
      <c r="U417" s="4"/>
    </row>
    <row r="418" ht="12.0" customHeight="1">
      <c r="F418" s="1"/>
      <c r="G418" s="1"/>
      <c r="H418" s="2"/>
      <c r="Q418" s="3"/>
      <c r="R418" s="3"/>
      <c r="U418" s="4"/>
    </row>
    <row r="419" ht="12.0" customHeight="1">
      <c r="F419" s="1"/>
      <c r="G419" s="1"/>
      <c r="H419" s="2"/>
      <c r="Q419" s="3"/>
      <c r="R419" s="3"/>
      <c r="U419" s="4"/>
    </row>
    <row r="420" ht="12.0" customHeight="1">
      <c r="F420" s="1"/>
      <c r="G420" s="1"/>
      <c r="H420" s="2"/>
      <c r="Q420" s="3"/>
      <c r="R420" s="3"/>
      <c r="U420" s="4"/>
    </row>
    <row r="421" ht="12.0" customHeight="1">
      <c r="F421" s="1"/>
      <c r="G421" s="1"/>
      <c r="H421" s="2"/>
      <c r="Q421" s="3"/>
      <c r="R421" s="3"/>
      <c r="U421" s="4"/>
    </row>
    <row r="422" ht="12.0" customHeight="1">
      <c r="F422" s="1"/>
      <c r="G422" s="1"/>
      <c r="H422" s="2"/>
      <c r="Q422" s="3"/>
      <c r="R422" s="3"/>
      <c r="U422" s="4"/>
    </row>
    <row r="423" ht="12.0" customHeight="1">
      <c r="F423" s="1"/>
      <c r="G423" s="1"/>
      <c r="H423" s="2"/>
      <c r="Q423" s="3"/>
      <c r="R423" s="3"/>
      <c r="U423" s="4"/>
    </row>
    <row r="424" ht="12.0" customHeight="1">
      <c r="F424" s="1"/>
      <c r="G424" s="1"/>
      <c r="H424" s="2"/>
      <c r="Q424" s="3"/>
      <c r="R424" s="3"/>
      <c r="U424" s="4"/>
    </row>
    <row r="425" ht="12.0" customHeight="1">
      <c r="F425" s="1"/>
      <c r="G425" s="1"/>
      <c r="H425" s="2"/>
      <c r="Q425" s="3"/>
      <c r="R425" s="3"/>
      <c r="U425" s="4"/>
    </row>
    <row r="426" ht="12.0" customHeight="1">
      <c r="F426" s="1"/>
      <c r="G426" s="1"/>
      <c r="H426" s="2"/>
      <c r="Q426" s="3"/>
      <c r="R426" s="3"/>
      <c r="U426" s="4"/>
    </row>
    <row r="427" ht="12.0" customHeight="1">
      <c r="F427" s="1"/>
      <c r="G427" s="1"/>
      <c r="H427" s="2"/>
      <c r="Q427" s="3"/>
      <c r="R427" s="3"/>
      <c r="U427" s="4"/>
    </row>
    <row r="428" ht="12.0" customHeight="1">
      <c r="F428" s="1"/>
      <c r="G428" s="1"/>
      <c r="H428" s="2"/>
      <c r="Q428" s="3"/>
      <c r="R428" s="3"/>
      <c r="U428" s="4"/>
    </row>
    <row r="429" ht="12.0" customHeight="1">
      <c r="F429" s="1"/>
      <c r="G429" s="1"/>
      <c r="H429" s="2"/>
      <c r="Q429" s="3"/>
      <c r="R429" s="3"/>
      <c r="U429" s="4"/>
    </row>
    <row r="430" ht="12.0" customHeight="1">
      <c r="F430" s="1"/>
      <c r="G430" s="1"/>
      <c r="H430" s="2"/>
      <c r="Q430" s="3"/>
      <c r="R430" s="3"/>
      <c r="U430" s="4"/>
    </row>
    <row r="431" ht="12.0" customHeight="1">
      <c r="F431" s="1"/>
      <c r="G431" s="1"/>
      <c r="H431" s="2"/>
      <c r="Q431" s="3"/>
      <c r="R431" s="3"/>
      <c r="U431" s="4"/>
    </row>
    <row r="432" ht="12.0" customHeight="1">
      <c r="F432" s="1"/>
      <c r="G432" s="1"/>
      <c r="H432" s="2"/>
      <c r="Q432" s="3"/>
      <c r="R432" s="3"/>
      <c r="U432" s="4"/>
    </row>
    <row r="433" ht="12.0" customHeight="1">
      <c r="F433" s="1"/>
      <c r="G433" s="1"/>
      <c r="H433" s="2"/>
      <c r="Q433" s="3"/>
      <c r="R433" s="3"/>
      <c r="U433" s="4"/>
    </row>
    <row r="434" ht="12.0" customHeight="1">
      <c r="F434" s="1"/>
      <c r="G434" s="1"/>
      <c r="H434" s="2"/>
      <c r="Q434" s="3"/>
      <c r="R434" s="3"/>
      <c r="U434" s="4"/>
    </row>
    <row r="435" ht="12.0" customHeight="1">
      <c r="F435" s="1"/>
      <c r="G435" s="1"/>
      <c r="H435" s="2"/>
      <c r="Q435" s="3"/>
      <c r="R435" s="3"/>
      <c r="U435" s="4"/>
    </row>
    <row r="436" ht="12.0" customHeight="1">
      <c r="F436" s="1"/>
      <c r="G436" s="1"/>
      <c r="H436" s="2"/>
      <c r="Q436" s="3"/>
      <c r="R436" s="3"/>
      <c r="U436" s="4"/>
    </row>
    <row r="437" ht="12.0" customHeight="1">
      <c r="F437" s="1"/>
      <c r="G437" s="1"/>
      <c r="H437" s="2"/>
      <c r="Q437" s="3"/>
      <c r="R437" s="3"/>
      <c r="U437" s="4"/>
    </row>
    <row r="438" ht="12.0" customHeight="1">
      <c r="F438" s="1"/>
      <c r="G438" s="1"/>
      <c r="H438" s="2"/>
      <c r="Q438" s="3"/>
      <c r="R438" s="3"/>
      <c r="U438" s="4"/>
    </row>
    <row r="439" ht="12.0" customHeight="1">
      <c r="F439" s="1"/>
      <c r="G439" s="1"/>
      <c r="H439" s="2"/>
      <c r="Q439" s="3"/>
      <c r="R439" s="3"/>
      <c r="U439" s="4"/>
    </row>
    <row r="440" ht="12.0" customHeight="1">
      <c r="F440" s="1"/>
      <c r="G440" s="1"/>
      <c r="H440" s="2"/>
      <c r="Q440" s="3"/>
      <c r="R440" s="3"/>
      <c r="U440" s="4"/>
    </row>
    <row r="441" ht="12.0" customHeight="1">
      <c r="F441" s="1"/>
      <c r="G441" s="1"/>
      <c r="H441" s="2"/>
      <c r="Q441" s="3"/>
      <c r="R441" s="3"/>
      <c r="U441" s="4"/>
    </row>
    <row r="442" ht="12.0" customHeight="1">
      <c r="F442" s="1"/>
      <c r="G442" s="1"/>
      <c r="H442" s="2"/>
      <c r="Q442" s="3"/>
      <c r="R442" s="3"/>
      <c r="U442" s="4"/>
    </row>
    <row r="443" ht="12.0" customHeight="1">
      <c r="F443" s="1"/>
      <c r="G443" s="1"/>
      <c r="H443" s="2"/>
      <c r="Q443" s="3"/>
      <c r="R443" s="3"/>
      <c r="U443" s="4"/>
    </row>
    <row r="444" ht="12.0" customHeight="1">
      <c r="F444" s="1"/>
      <c r="G444" s="1"/>
      <c r="H444" s="2"/>
      <c r="Q444" s="3"/>
      <c r="R444" s="3"/>
      <c r="U444" s="4"/>
    </row>
    <row r="445" ht="12.0" customHeight="1">
      <c r="F445" s="1"/>
      <c r="G445" s="1"/>
      <c r="H445" s="2"/>
      <c r="Q445" s="3"/>
      <c r="R445" s="3"/>
      <c r="U445" s="4"/>
    </row>
    <row r="446" ht="12.0" customHeight="1">
      <c r="F446" s="1"/>
      <c r="G446" s="1"/>
      <c r="H446" s="2"/>
      <c r="Q446" s="3"/>
      <c r="R446" s="3"/>
      <c r="U446" s="4"/>
    </row>
    <row r="447" ht="12.0" customHeight="1">
      <c r="F447" s="1"/>
      <c r="G447" s="1"/>
      <c r="H447" s="2"/>
      <c r="Q447" s="3"/>
      <c r="R447" s="3"/>
      <c r="U447" s="4"/>
    </row>
    <row r="448" ht="12.0" customHeight="1">
      <c r="F448" s="1"/>
      <c r="G448" s="1"/>
      <c r="H448" s="2"/>
      <c r="Q448" s="3"/>
      <c r="R448" s="3"/>
      <c r="U448" s="4"/>
    </row>
    <row r="449" ht="12.0" customHeight="1">
      <c r="F449" s="1"/>
      <c r="G449" s="1"/>
      <c r="H449" s="2"/>
      <c r="Q449" s="3"/>
      <c r="R449" s="3"/>
      <c r="U449" s="4"/>
    </row>
    <row r="450" ht="12.0" customHeight="1">
      <c r="F450" s="1"/>
      <c r="G450" s="1"/>
      <c r="H450" s="2"/>
      <c r="Q450" s="3"/>
      <c r="R450" s="3"/>
      <c r="U450" s="4"/>
    </row>
    <row r="451" ht="12.0" customHeight="1">
      <c r="F451" s="1"/>
      <c r="G451" s="1"/>
      <c r="H451" s="2"/>
      <c r="Q451" s="3"/>
      <c r="R451" s="3"/>
      <c r="U451" s="4"/>
    </row>
    <row r="452" ht="12.0" customHeight="1">
      <c r="F452" s="1"/>
      <c r="G452" s="1"/>
      <c r="H452" s="2"/>
      <c r="Q452" s="3"/>
      <c r="R452" s="3"/>
      <c r="U452" s="4"/>
    </row>
    <row r="453" ht="12.0" customHeight="1">
      <c r="F453" s="1"/>
      <c r="G453" s="1"/>
      <c r="H453" s="2"/>
      <c r="Q453" s="3"/>
      <c r="R453" s="3"/>
      <c r="U453" s="4"/>
    </row>
    <row r="454" ht="12.0" customHeight="1">
      <c r="F454" s="1"/>
      <c r="G454" s="1"/>
      <c r="H454" s="2"/>
      <c r="Q454" s="3"/>
      <c r="R454" s="3"/>
      <c r="U454" s="4"/>
    </row>
    <row r="455" ht="12.0" customHeight="1">
      <c r="F455" s="1"/>
      <c r="G455" s="1"/>
      <c r="H455" s="2"/>
      <c r="Q455" s="3"/>
      <c r="R455" s="3"/>
      <c r="U455" s="4"/>
    </row>
    <row r="456" ht="12.0" customHeight="1">
      <c r="F456" s="1"/>
      <c r="G456" s="1"/>
      <c r="H456" s="2"/>
      <c r="Q456" s="3"/>
      <c r="R456" s="3"/>
      <c r="U456" s="4"/>
    </row>
    <row r="457" ht="12.0" customHeight="1">
      <c r="F457" s="1"/>
      <c r="G457" s="1"/>
      <c r="H457" s="2"/>
      <c r="Q457" s="3"/>
      <c r="R457" s="3"/>
      <c r="U457" s="4"/>
    </row>
    <row r="458" ht="12.0" customHeight="1">
      <c r="F458" s="1"/>
      <c r="G458" s="1"/>
      <c r="H458" s="2"/>
      <c r="Q458" s="3"/>
      <c r="R458" s="3"/>
      <c r="U458" s="4"/>
    </row>
    <row r="459" ht="12.0" customHeight="1">
      <c r="F459" s="1"/>
      <c r="G459" s="1"/>
      <c r="H459" s="2"/>
      <c r="Q459" s="3"/>
      <c r="R459" s="3"/>
      <c r="U459" s="4"/>
    </row>
    <row r="460" ht="12.0" customHeight="1">
      <c r="F460" s="1"/>
      <c r="G460" s="1"/>
      <c r="H460" s="2"/>
      <c r="Q460" s="3"/>
      <c r="R460" s="3"/>
      <c r="U460" s="4"/>
    </row>
    <row r="461" ht="12.0" customHeight="1">
      <c r="F461" s="1"/>
      <c r="G461" s="1"/>
      <c r="H461" s="2"/>
      <c r="Q461" s="3"/>
      <c r="R461" s="3"/>
      <c r="U461" s="4"/>
    </row>
    <row r="462" ht="12.0" customHeight="1">
      <c r="F462" s="1"/>
      <c r="G462" s="1"/>
      <c r="H462" s="2"/>
      <c r="Q462" s="3"/>
      <c r="R462" s="3"/>
      <c r="U462" s="4"/>
    </row>
    <row r="463" ht="12.0" customHeight="1">
      <c r="F463" s="1"/>
      <c r="G463" s="1"/>
      <c r="H463" s="2"/>
      <c r="Q463" s="3"/>
      <c r="R463" s="3"/>
      <c r="U463" s="4"/>
    </row>
    <row r="464" ht="12.0" customHeight="1">
      <c r="F464" s="1"/>
      <c r="G464" s="1"/>
      <c r="H464" s="2"/>
      <c r="Q464" s="3"/>
      <c r="R464" s="3"/>
      <c r="U464" s="4"/>
    </row>
    <row r="465" ht="12.0" customHeight="1">
      <c r="F465" s="1"/>
      <c r="G465" s="1"/>
      <c r="H465" s="2"/>
      <c r="Q465" s="3"/>
      <c r="R465" s="3"/>
      <c r="U465" s="4"/>
    </row>
    <row r="466" ht="12.0" customHeight="1">
      <c r="F466" s="1"/>
      <c r="G466" s="1"/>
      <c r="H466" s="2"/>
      <c r="Q466" s="3"/>
      <c r="R466" s="3"/>
      <c r="U466" s="4"/>
    </row>
    <row r="467" ht="12.0" customHeight="1">
      <c r="F467" s="1"/>
      <c r="G467" s="1"/>
      <c r="H467" s="2"/>
      <c r="Q467" s="3"/>
      <c r="R467" s="3"/>
      <c r="U467" s="4"/>
    </row>
    <row r="468" ht="12.0" customHeight="1">
      <c r="F468" s="1"/>
      <c r="G468" s="1"/>
      <c r="H468" s="2"/>
      <c r="Q468" s="3"/>
      <c r="R468" s="3"/>
      <c r="U468" s="4"/>
    </row>
    <row r="469" ht="12.0" customHeight="1">
      <c r="F469" s="1"/>
      <c r="G469" s="1"/>
      <c r="H469" s="2"/>
      <c r="Q469" s="3"/>
      <c r="R469" s="3"/>
      <c r="U469" s="4"/>
    </row>
    <row r="470" ht="12.0" customHeight="1">
      <c r="F470" s="1"/>
      <c r="G470" s="1"/>
      <c r="H470" s="2"/>
      <c r="Q470" s="3"/>
      <c r="R470" s="3"/>
      <c r="U470" s="4"/>
    </row>
    <row r="471" ht="12.0" customHeight="1">
      <c r="F471" s="1"/>
      <c r="G471" s="1"/>
      <c r="H471" s="2"/>
      <c r="Q471" s="3"/>
      <c r="R471" s="3"/>
      <c r="U471" s="4"/>
    </row>
    <row r="472" ht="12.0" customHeight="1">
      <c r="F472" s="1"/>
      <c r="G472" s="1"/>
      <c r="H472" s="2"/>
      <c r="Q472" s="3"/>
      <c r="R472" s="3"/>
      <c r="U472" s="4"/>
    </row>
    <row r="473" ht="12.0" customHeight="1">
      <c r="F473" s="1"/>
      <c r="G473" s="1"/>
      <c r="H473" s="2"/>
      <c r="Q473" s="3"/>
      <c r="R473" s="3"/>
      <c r="U473" s="4"/>
    </row>
    <row r="474" ht="12.0" customHeight="1">
      <c r="F474" s="1"/>
      <c r="G474" s="1"/>
      <c r="H474" s="2"/>
      <c r="Q474" s="3"/>
      <c r="R474" s="3"/>
      <c r="U474" s="4"/>
    </row>
    <row r="475" ht="12.0" customHeight="1">
      <c r="F475" s="1"/>
      <c r="G475" s="1"/>
      <c r="H475" s="2"/>
      <c r="Q475" s="3"/>
      <c r="R475" s="3"/>
      <c r="U475" s="4"/>
    </row>
    <row r="476" ht="12.0" customHeight="1">
      <c r="F476" s="1"/>
      <c r="G476" s="1"/>
      <c r="H476" s="2"/>
      <c r="Q476" s="3"/>
      <c r="R476" s="3"/>
      <c r="U476" s="4"/>
    </row>
    <row r="477" ht="12.0" customHeight="1">
      <c r="F477" s="1"/>
      <c r="G477" s="1"/>
      <c r="H477" s="2"/>
      <c r="Q477" s="3"/>
      <c r="R477" s="3"/>
      <c r="U477" s="4"/>
    </row>
    <row r="478" ht="12.0" customHeight="1">
      <c r="F478" s="1"/>
      <c r="G478" s="1"/>
      <c r="H478" s="2"/>
      <c r="Q478" s="3"/>
      <c r="R478" s="3"/>
      <c r="U478" s="4"/>
    </row>
    <row r="479" ht="12.0" customHeight="1">
      <c r="F479" s="1"/>
      <c r="G479" s="1"/>
      <c r="H479" s="2"/>
      <c r="Q479" s="3"/>
      <c r="R479" s="3"/>
      <c r="U479" s="4"/>
    </row>
    <row r="480" ht="12.0" customHeight="1">
      <c r="F480" s="1"/>
      <c r="G480" s="1"/>
      <c r="H480" s="2"/>
      <c r="Q480" s="3"/>
      <c r="R480" s="3"/>
      <c r="U480" s="4"/>
    </row>
    <row r="481" ht="12.0" customHeight="1">
      <c r="F481" s="1"/>
      <c r="G481" s="1"/>
      <c r="H481" s="2"/>
      <c r="Q481" s="3"/>
      <c r="R481" s="3"/>
      <c r="U481" s="4"/>
    </row>
    <row r="482" ht="12.0" customHeight="1">
      <c r="F482" s="1"/>
      <c r="G482" s="1"/>
      <c r="H482" s="2"/>
      <c r="Q482" s="3"/>
      <c r="R482" s="3"/>
      <c r="U482" s="4"/>
    </row>
    <row r="483" ht="12.0" customHeight="1">
      <c r="F483" s="1"/>
      <c r="G483" s="1"/>
      <c r="H483" s="2"/>
      <c r="Q483" s="3"/>
      <c r="R483" s="3"/>
      <c r="U483" s="4"/>
    </row>
    <row r="484" ht="12.0" customHeight="1">
      <c r="F484" s="1"/>
      <c r="G484" s="1"/>
      <c r="H484" s="2"/>
      <c r="Q484" s="3"/>
      <c r="R484" s="3"/>
      <c r="U484" s="4"/>
    </row>
    <row r="485" ht="12.0" customHeight="1">
      <c r="F485" s="1"/>
      <c r="G485" s="1"/>
      <c r="H485" s="2"/>
      <c r="Q485" s="3"/>
      <c r="R485" s="3"/>
      <c r="U485" s="4"/>
    </row>
    <row r="486" ht="12.0" customHeight="1">
      <c r="F486" s="1"/>
      <c r="G486" s="1"/>
      <c r="H486" s="2"/>
      <c r="Q486" s="3"/>
      <c r="R486" s="3"/>
      <c r="U486" s="4"/>
    </row>
    <row r="487" ht="12.0" customHeight="1">
      <c r="F487" s="1"/>
      <c r="G487" s="1"/>
      <c r="H487" s="2"/>
      <c r="Q487" s="3"/>
      <c r="R487" s="3"/>
      <c r="U487" s="4"/>
    </row>
    <row r="488" ht="12.0" customHeight="1">
      <c r="F488" s="1"/>
      <c r="G488" s="1"/>
      <c r="H488" s="2"/>
      <c r="Q488" s="3"/>
      <c r="R488" s="3"/>
      <c r="U488" s="4"/>
    </row>
    <row r="489" ht="12.0" customHeight="1">
      <c r="F489" s="1"/>
      <c r="G489" s="1"/>
      <c r="H489" s="2"/>
      <c r="Q489" s="3"/>
      <c r="R489" s="3"/>
      <c r="U489" s="4"/>
    </row>
    <row r="490" ht="12.0" customHeight="1">
      <c r="F490" s="1"/>
      <c r="G490" s="1"/>
      <c r="H490" s="2"/>
      <c r="Q490" s="3"/>
      <c r="R490" s="3"/>
      <c r="U490" s="4"/>
    </row>
    <row r="491" ht="12.0" customHeight="1">
      <c r="F491" s="1"/>
      <c r="G491" s="1"/>
      <c r="H491" s="2"/>
      <c r="Q491" s="3"/>
      <c r="R491" s="3"/>
      <c r="U491" s="4"/>
    </row>
    <row r="492" ht="12.0" customHeight="1">
      <c r="F492" s="1"/>
      <c r="G492" s="1"/>
      <c r="H492" s="2"/>
      <c r="Q492" s="3"/>
      <c r="R492" s="3"/>
      <c r="U492" s="4"/>
    </row>
    <row r="493" ht="12.0" customHeight="1">
      <c r="F493" s="1"/>
      <c r="G493" s="1"/>
      <c r="H493" s="2"/>
      <c r="Q493" s="3"/>
      <c r="R493" s="3"/>
      <c r="U493" s="4"/>
    </row>
    <row r="494" ht="12.0" customHeight="1">
      <c r="F494" s="1"/>
      <c r="G494" s="1"/>
      <c r="H494" s="2"/>
      <c r="Q494" s="3"/>
      <c r="R494" s="3"/>
      <c r="U494" s="4"/>
    </row>
    <row r="495" ht="12.0" customHeight="1">
      <c r="F495" s="1"/>
      <c r="G495" s="1"/>
      <c r="H495" s="2"/>
      <c r="Q495" s="3"/>
      <c r="R495" s="3"/>
      <c r="U495" s="4"/>
    </row>
    <row r="496" ht="12.0" customHeight="1">
      <c r="F496" s="1"/>
      <c r="G496" s="1"/>
      <c r="H496" s="2"/>
      <c r="Q496" s="3"/>
      <c r="R496" s="3"/>
      <c r="U496" s="4"/>
    </row>
    <row r="497" ht="12.0" customHeight="1">
      <c r="F497" s="1"/>
      <c r="G497" s="1"/>
      <c r="H497" s="2"/>
      <c r="Q497" s="3"/>
      <c r="R497" s="3"/>
      <c r="U497" s="4"/>
    </row>
    <row r="498" ht="12.0" customHeight="1">
      <c r="F498" s="1"/>
      <c r="G498" s="1"/>
      <c r="H498" s="2"/>
      <c r="Q498" s="3"/>
      <c r="R498" s="3"/>
      <c r="U498" s="4"/>
    </row>
    <row r="499" ht="12.0" customHeight="1">
      <c r="F499" s="1"/>
      <c r="G499" s="1"/>
      <c r="H499" s="2"/>
      <c r="Q499" s="3"/>
      <c r="R499" s="3"/>
      <c r="U499" s="4"/>
    </row>
    <row r="500" ht="12.0" customHeight="1">
      <c r="F500" s="1"/>
      <c r="G500" s="1"/>
      <c r="H500" s="2"/>
      <c r="Q500" s="3"/>
      <c r="R500" s="3"/>
      <c r="U500" s="4"/>
    </row>
    <row r="501" ht="12.0" customHeight="1">
      <c r="F501" s="1"/>
      <c r="G501" s="1"/>
      <c r="H501" s="2"/>
      <c r="Q501" s="3"/>
      <c r="R501" s="3"/>
      <c r="U501" s="4"/>
    </row>
    <row r="502" ht="12.0" customHeight="1">
      <c r="F502" s="1"/>
      <c r="G502" s="1"/>
      <c r="H502" s="2"/>
      <c r="Q502" s="3"/>
      <c r="R502" s="3"/>
      <c r="U502" s="4"/>
    </row>
    <row r="503" ht="12.0" customHeight="1">
      <c r="F503" s="1"/>
      <c r="G503" s="1"/>
      <c r="H503" s="2"/>
      <c r="Q503" s="3"/>
      <c r="R503" s="3"/>
      <c r="U503" s="4"/>
    </row>
    <row r="504" ht="12.0" customHeight="1">
      <c r="F504" s="1"/>
      <c r="G504" s="1"/>
      <c r="H504" s="2"/>
      <c r="Q504" s="3"/>
      <c r="R504" s="3"/>
      <c r="U504" s="4"/>
    </row>
    <row r="505" ht="12.0" customHeight="1">
      <c r="F505" s="1"/>
      <c r="G505" s="1"/>
      <c r="H505" s="2"/>
      <c r="Q505" s="3"/>
      <c r="R505" s="3"/>
      <c r="U505" s="4"/>
    </row>
    <row r="506" ht="12.0" customHeight="1">
      <c r="F506" s="1"/>
      <c r="G506" s="1"/>
      <c r="H506" s="2"/>
      <c r="Q506" s="3"/>
      <c r="R506" s="3"/>
      <c r="U506" s="4"/>
    </row>
    <row r="507" ht="12.0" customHeight="1">
      <c r="F507" s="1"/>
      <c r="G507" s="1"/>
      <c r="H507" s="2"/>
      <c r="Q507" s="3"/>
      <c r="R507" s="3"/>
      <c r="U507" s="4"/>
    </row>
    <row r="508" ht="12.0" customHeight="1">
      <c r="F508" s="1"/>
      <c r="G508" s="1"/>
      <c r="H508" s="2"/>
      <c r="Q508" s="3"/>
      <c r="R508" s="3"/>
      <c r="U508" s="4"/>
    </row>
    <row r="509" ht="12.0" customHeight="1">
      <c r="F509" s="1"/>
      <c r="G509" s="1"/>
      <c r="H509" s="2"/>
      <c r="Q509" s="3"/>
      <c r="R509" s="3"/>
      <c r="U509" s="4"/>
    </row>
    <row r="510" ht="12.0" customHeight="1">
      <c r="F510" s="1"/>
      <c r="G510" s="1"/>
      <c r="H510" s="2"/>
      <c r="Q510" s="3"/>
      <c r="R510" s="3"/>
      <c r="U510" s="4"/>
    </row>
    <row r="511" ht="12.0" customHeight="1">
      <c r="F511" s="1"/>
      <c r="G511" s="1"/>
      <c r="H511" s="2"/>
      <c r="Q511" s="3"/>
      <c r="R511" s="3"/>
      <c r="U511" s="4"/>
    </row>
    <row r="512" ht="12.0" customHeight="1">
      <c r="F512" s="1"/>
      <c r="G512" s="1"/>
      <c r="H512" s="2"/>
      <c r="Q512" s="3"/>
      <c r="R512" s="3"/>
      <c r="U512" s="4"/>
    </row>
    <row r="513" ht="12.0" customHeight="1">
      <c r="F513" s="1"/>
      <c r="G513" s="1"/>
      <c r="H513" s="2"/>
      <c r="Q513" s="3"/>
      <c r="R513" s="3"/>
      <c r="U513" s="4"/>
    </row>
    <row r="514" ht="12.0" customHeight="1">
      <c r="F514" s="1"/>
      <c r="G514" s="1"/>
      <c r="H514" s="2"/>
      <c r="Q514" s="3"/>
      <c r="R514" s="3"/>
      <c r="U514" s="4"/>
    </row>
    <row r="515" ht="12.0" customHeight="1">
      <c r="F515" s="1"/>
      <c r="G515" s="1"/>
      <c r="H515" s="2"/>
      <c r="Q515" s="3"/>
      <c r="R515" s="3"/>
      <c r="U515" s="4"/>
    </row>
    <row r="516" ht="12.0" customHeight="1">
      <c r="F516" s="1"/>
      <c r="G516" s="1"/>
      <c r="H516" s="2"/>
      <c r="Q516" s="3"/>
      <c r="R516" s="3"/>
      <c r="U516" s="4"/>
    </row>
    <row r="517" ht="12.0" customHeight="1">
      <c r="F517" s="1"/>
      <c r="G517" s="1"/>
      <c r="H517" s="2"/>
      <c r="Q517" s="3"/>
      <c r="R517" s="3"/>
      <c r="U517" s="4"/>
    </row>
    <row r="518" ht="12.0" customHeight="1">
      <c r="F518" s="1"/>
      <c r="G518" s="1"/>
      <c r="H518" s="2"/>
      <c r="Q518" s="3"/>
      <c r="R518" s="3"/>
      <c r="U518" s="4"/>
    </row>
    <row r="519" ht="12.0" customHeight="1">
      <c r="F519" s="1"/>
      <c r="G519" s="1"/>
      <c r="H519" s="2"/>
      <c r="Q519" s="3"/>
      <c r="R519" s="3"/>
      <c r="U519" s="4"/>
    </row>
    <row r="520" ht="12.0" customHeight="1">
      <c r="F520" s="1"/>
      <c r="G520" s="1"/>
      <c r="H520" s="2"/>
      <c r="Q520" s="3"/>
      <c r="R520" s="3"/>
      <c r="U520" s="4"/>
    </row>
    <row r="521" ht="12.0" customHeight="1">
      <c r="F521" s="1"/>
      <c r="G521" s="1"/>
      <c r="H521" s="2"/>
      <c r="Q521" s="3"/>
      <c r="R521" s="3"/>
      <c r="U521" s="4"/>
    </row>
    <row r="522" ht="12.0" customHeight="1">
      <c r="F522" s="1"/>
      <c r="G522" s="1"/>
      <c r="H522" s="2"/>
      <c r="Q522" s="3"/>
      <c r="R522" s="3"/>
      <c r="U522" s="4"/>
    </row>
    <row r="523" ht="12.0" customHeight="1">
      <c r="F523" s="1"/>
      <c r="G523" s="1"/>
      <c r="H523" s="2"/>
      <c r="Q523" s="3"/>
      <c r="R523" s="3"/>
      <c r="U523" s="4"/>
    </row>
    <row r="524" ht="12.0" customHeight="1">
      <c r="F524" s="1"/>
      <c r="G524" s="1"/>
      <c r="H524" s="2"/>
      <c r="Q524" s="3"/>
      <c r="R524" s="3"/>
      <c r="U524" s="4"/>
    </row>
    <row r="525" ht="12.0" customHeight="1">
      <c r="F525" s="1"/>
      <c r="G525" s="1"/>
      <c r="H525" s="2"/>
      <c r="Q525" s="3"/>
      <c r="R525" s="3"/>
      <c r="U525" s="4"/>
    </row>
    <row r="526" ht="12.0" customHeight="1">
      <c r="F526" s="1"/>
      <c r="G526" s="1"/>
      <c r="H526" s="2"/>
      <c r="Q526" s="3"/>
      <c r="R526" s="3"/>
      <c r="U526" s="4"/>
    </row>
    <row r="527" ht="12.0" customHeight="1">
      <c r="F527" s="1"/>
      <c r="G527" s="1"/>
      <c r="H527" s="2"/>
      <c r="Q527" s="3"/>
      <c r="R527" s="3"/>
      <c r="U527" s="4"/>
    </row>
    <row r="528" ht="12.0" customHeight="1">
      <c r="F528" s="1"/>
      <c r="G528" s="1"/>
      <c r="H528" s="2"/>
      <c r="Q528" s="3"/>
      <c r="R528" s="3"/>
      <c r="U528" s="4"/>
    </row>
    <row r="529" ht="12.0" customHeight="1">
      <c r="F529" s="1"/>
      <c r="G529" s="1"/>
      <c r="H529" s="2"/>
      <c r="Q529" s="3"/>
      <c r="R529" s="3"/>
      <c r="U529" s="4"/>
    </row>
    <row r="530" ht="12.0" customHeight="1">
      <c r="F530" s="1"/>
      <c r="G530" s="1"/>
      <c r="H530" s="2"/>
      <c r="Q530" s="3"/>
      <c r="R530" s="3"/>
      <c r="U530" s="4"/>
    </row>
    <row r="531" ht="12.0" customHeight="1">
      <c r="F531" s="1"/>
      <c r="G531" s="1"/>
      <c r="H531" s="2"/>
      <c r="Q531" s="3"/>
      <c r="R531" s="3"/>
      <c r="U531" s="4"/>
    </row>
    <row r="532" ht="12.0" customHeight="1">
      <c r="F532" s="1"/>
      <c r="G532" s="1"/>
      <c r="H532" s="2"/>
      <c r="Q532" s="3"/>
      <c r="R532" s="3"/>
      <c r="U532" s="4"/>
    </row>
    <row r="533" ht="12.0" customHeight="1">
      <c r="F533" s="1"/>
      <c r="G533" s="1"/>
      <c r="H533" s="2"/>
      <c r="Q533" s="3"/>
      <c r="R533" s="3"/>
      <c r="U533" s="4"/>
    </row>
    <row r="534" ht="12.0" customHeight="1">
      <c r="F534" s="1"/>
      <c r="G534" s="1"/>
      <c r="H534" s="2"/>
      <c r="Q534" s="3"/>
      <c r="R534" s="3"/>
      <c r="U534" s="4"/>
    </row>
    <row r="535" ht="12.0" customHeight="1">
      <c r="F535" s="1"/>
      <c r="G535" s="1"/>
      <c r="H535" s="2"/>
      <c r="Q535" s="3"/>
      <c r="R535" s="3"/>
      <c r="U535" s="4"/>
    </row>
    <row r="536" ht="12.0" customHeight="1">
      <c r="F536" s="1"/>
      <c r="G536" s="1"/>
      <c r="H536" s="2"/>
      <c r="Q536" s="3"/>
      <c r="R536" s="3"/>
      <c r="U536" s="4"/>
    </row>
    <row r="537" ht="12.0" customHeight="1">
      <c r="F537" s="1"/>
      <c r="G537" s="1"/>
      <c r="H537" s="2"/>
      <c r="Q537" s="3"/>
      <c r="R537" s="3"/>
      <c r="U537" s="4"/>
    </row>
    <row r="538" ht="12.0" customHeight="1">
      <c r="F538" s="1"/>
      <c r="G538" s="1"/>
      <c r="H538" s="2"/>
      <c r="Q538" s="3"/>
      <c r="R538" s="3"/>
      <c r="U538" s="4"/>
    </row>
    <row r="539" ht="12.0" customHeight="1">
      <c r="F539" s="1"/>
      <c r="G539" s="1"/>
      <c r="H539" s="2"/>
      <c r="Q539" s="3"/>
      <c r="R539" s="3"/>
      <c r="U539" s="4"/>
    </row>
    <row r="540" ht="12.0" customHeight="1">
      <c r="F540" s="1"/>
      <c r="G540" s="1"/>
      <c r="H540" s="2"/>
      <c r="Q540" s="3"/>
      <c r="R540" s="3"/>
      <c r="U540" s="4"/>
    </row>
    <row r="541" ht="12.0" customHeight="1">
      <c r="F541" s="1"/>
      <c r="G541" s="1"/>
      <c r="H541" s="2"/>
      <c r="Q541" s="3"/>
      <c r="R541" s="3"/>
      <c r="U541" s="4"/>
    </row>
    <row r="542" ht="12.0" customHeight="1">
      <c r="F542" s="1"/>
      <c r="G542" s="1"/>
      <c r="H542" s="2"/>
      <c r="Q542" s="3"/>
      <c r="R542" s="3"/>
      <c r="U542" s="4"/>
    </row>
    <row r="543" ht="12.0" customHeight="1">
      <c r="F543" s="1"/>
      <c r="G543" s="1"/>
      <c r="H543" s="2"/>
      <c r="Q543" s="3"/>
      <c r="R543" s="3"/>
      <c r="U543" s="4"/>
    </row>
    <row r="544" ht="12.0" customHeight="1">
      <c r="F544" s="1"/>
      <c r="G544" s="1"/>
      <c r="H544" s="2"/>
      <c r="Q544" s="3"/>
      <c r="R544" s="3"/>
      <c r="U544" s="4"/>
    </row>
    <row r="545" ht="12.0" customHeight="1">
      <c r="F545" s="1"/>
      <c r="G545" s="1"/>
      <c r="H545" s="2"/>
      <c r="Q545" s="3"/>
      <c r="R545" s="3"/>
      <c r="U545" s="4"/>
    </row>
    <row r="546" ht="12.0" customHeight="1">
      <c r="F546" s="1"/>
      <c r="G546" s="1"/>
      <c r="H546" s="2"/>
      <c r="Q546" s="3"/>
      <c r="R546" s="3"/>
      <c r="U546" s="4"/>
    </row>
    <row r="547" ht="12.0" customHeight="1">
      <c r="F547" s="1"/>
      <c r="G547" s="1"/>
      <c r="H547" s="2"/>
      <c r="Q547" s="3"/>
      <c r="R547" s="3"/>
      <c r="U547" s="4"/>
    </row>
    <row r="548" ht="12.0" customHeight="1">
      <c r="F548" s="1"/>
      <c r="G548" s="1"/>
      <c r="H548" s="2"/>
      <c r="Q548" s="3"/>
      <c r="R548" s="3"/>
      <c r="U548" s="4"/>
    </row>
    <row r="549" ht="12.0" customHeight="1">
      <c r="F549" s="1"/>
      <c r="G549" s="1"/>
      <c r="H549" s="2"/>
      <c r="Q549" s="3"/>
      <c r="R549" s="3"/>
      <c r="U549" s="4"/>
    </row>
    <row r="550" ht="12.0" customHeight="1">
      <c r="F550" s="1"/>
      <c r="G550" s="1"/>
      <c r="H550" s="2"/>
      <c r="Q550" s="3"/>
      <c r="R550" s="3"/>
      <c r="U550" s="4"/>
    </row>
    <row r="551" ht="12.0" customHeight="1">
      <c r="F551" s="1"/>
      <c r="G551" s="1"/>
      <c r="H551" s="2"/>
      <c r="Q551" s="3"/>
      <c r="R551" s="3"/>
      <c r="U551" s="4"/>
    </row>
    <row r="552" ht="12.0" customHeight="1">
      <c r="F552" s="1"/>
      <c r="G552" s="1"/>
      <c r="H552" s="2"/>
      <c r="Q552" s="3"/>
      <c r="R552" s="3"/>
      <c r="U552" s="4"/>
    </row>
    <row r="553" ht="12.0" customHeight="1">
      <c r="F553" s="1"/>
      <c r="G553" s="1"/>
      <c r="H553" s="2"/>
      <c r="Q553" s="3"/>
      <c r="R553" s="3"/>
      <c r="U553" s="4"/>
    </row>
    <row r="554" ht="12.0" customHeight="1">
      <c r="F554" s="1"/>
      <c r="G554" s="1"/>
      <c r="H554" s="2"/>
      <c r="Q554" s="3"/>
      <c r="R554" s="3"/>
      <c r="U554" s="4"/>
    </row>
    <row r="555" ht="12.0" customHeight="1">
      <c r="F555" s="1"/>
      <c r="G555" s="1"/>
      <c r="H555" s="2"/>
      <c r="Q555" s="3"/>
      <c r="R555" s="3"/>
      <c r="U555" s="4"/>
    </row>
    <row r="556" ht="12.0" customHeight="1">
      <c r="F556" s="1"/>
      <c r="G556" s="1"/>
      <c r="H556" s="2"/>
      <c r="Q556" s="3"/>
      <c r="R556" s="3"/>
      <c r="U556" s="4"/>
    </row>
    <row r="557" ht="12.0" customHeight="1">
      <c r="F557" s="1"/>
      <c r="G557" s="1"/>
      <c r="H557" s="2"/>
      <c r="Q557" s="3"/>
      <c r="R557" s="3"/>
      <c r="U557" s="4"/>
    </row>
    <row r="558" ht="12.0" customHeight="1">
      <c r="F558" s="1"/>
      <c r="G558" s="1"/>
      <c r="H558" s="2"/>
      <c r="Q558" s="3"/>
      <c r="R558" s="3"/>
      <c r="U558" s="4"/>
    </row>
    <row r="559" ht="12.0" customHeight="1">
      <c r="F559" s="1"/>
      <c r="G559" s="1"/>
      <c r="H559" s="2"/>
      <c r="Q559" s="3"/>
      <c r="R559" s="3"/>
      <c r="U559" s="4"/>
    </row>
    <row r="560" ht="12.0" customHeight="1">
      <c r="F560" s="1"/>
      <c r="G560" s="1"/>
      <c r="H560" s="2"/>
      <c r="Q560" s="3"/>
      <c r="R560" s="3"/>
      <c r="U560" s="4"/>
    </row>
    <row r="561" ht="12.0" customHeight="1">
      <c r="F561" s="1"/>
      <c r="G561" s="1"/>
      <c r="H561" s="2"/>
      <c r="Q561" s="3"/>
      <c r="R561" s="3"/>
      <c r="U561" s="4"/>
    </row>
    <row r="562" ht="12.0" customHeight="1">
      <c r="F562" s="1"/>
      <c r="G562" s="1"/>
      <c r="H562" s="2"/>
      <c r="Q562" s="3"/>
      <c r="R562" s="3"/>
      <c r="U562" s="4"/>
    </row>
    <row r="563" ht="12.0" customHeight="1">
      <c r="F563" s="1"/>
      <c r="G563" s="1"/>
      <c r="H563" s="2"/>
      <c r="Q563" s="3"/>
      <c r="R563" s="3"/>
      <c r="U563" s="4"/>
    </row>
    <row r="564" ht="12.0" customHeight="1">
      <c r="F564" s="1"/>
      <c r="G564" s="1"/>
      <c r="H564" s="2"/>
      <c r="Q564" s="3"/>
      <c r="R564" s="3"/>
      <c r="U564" s="4"/>
    </row>
    <row r="565" ht="12.0" customHeight="1">
      <c r="F565" s="1"/>
      <c r="G565" s="1"/>
      <c r="H565" s="2"/>
      <c r="Q565" s="3"/>
      <c r="R565" s="3"/>
      <c r="U565" s="4"/>
    </row>
    <row r="566" ht="12.0" customHeight="1">
      <c r="F566" s="1"/>
      <c r="G566" s="1"/>
      <c r="H566" s="2"/>
      <c r="Q566" s="3"/>
      <c r="R566" s="3"/>
      <c r="U566" s="4"/>
    </row>
    <row r="567" ht="12.0" customHeight="1">
      <c r="F567" s="1"/>
      <c r="G567" s="1"/>
      <c r="H567" s="2"/>
      <c r="Q567" s="3"/>
      <c r="R567" s="3"/>
      <c r="U567" s="4"/>
    </row>
    <row r="568" ht="12.0" customHeight="1">
      <c r="F568" s="1"/>
      <c r="G568" s="1"/>
      <c r="H568" s="2"/>
      <c r="Q568" s="3"/>
      <c r="R568" s="3"/>
      <c r="U568" s="4"/>
    </row>
    <row r="569" ht="12.0" customHeight="1">
      <c r="F569" s="1"/>
      <c r="G569" s="1"/>
      <c r="H569" s="2"/>
      <c r="Q569" s="3"/>
      <c r="R569" s="3"/>
      <c r="U569" s="4"/>
    </row>
    <row r="570" ht="12.0" customHeight="1">
      <c r="F570" s="1"/>
      <c r="G570" s="1"/>
      <c r="H570" s="2"/>
      <c r="Q570" s="3"/>
      <c r="R570" s="3"/>
      <c r="U570" s="4"/>
    </row>
    <row r="571" ht="12.0" customHeight="1">
      <c r="F571" s="1"/>
      <c r="G571" s="1"/>
      <c r="H571" s="2"/>
      <c r="Q571" s="3"/>
      <c r="R571" s="3"/>
      <c r="U571" s="4"/>
    </row>
    <row r="572" ht="12.0" customHeight="1">
      <c r="F572" s="1"/>
      <c r="G572" s="1"/>
      <c r="H572" s="2"/>
      <c r="Q572" s="3"/>
      <c r="R572" s="3"/>
      <c r="U572" s="4"/>
    </row>
    <row r="573" ht="12.0" customHeight="1">
      <c r="F573" s="1"/>
      <c r="G573" s="1"/>
      <c r="H573" s="2"/>
      <c r="Q573" s="3"/>
      <c r="R573" s="3"/>
      <c r="U573" s="4"/>
    </row>
    <row r="574" ht="12.0" customHeight="1">
      <c r="F574" s="1"/>
      <c r="G574" s="1"/>
      <c r="H574" s="2"/>
      <c r="Q574" s="3"/>
      <c r="R574" s="3"/>
      <c r="U574" s="4"/>
    </row>
    <row r="575" ht="12.0" customHeight="1">
      <c r="F575" s="1"/>
      <c r="G575" s="1"/>
      <c r="H575" s="2"/>
      <c r="Q575" s="3"/>
      <c r="R575" s="3"/>
      <c r="U575" s="4"/>
    </row>
    <row r="576" ht="12.0" customHeight="1">
      <c r="F576" s="1"/>
      <c r="G576" s="1"/>
      <c r="H576" s="2"/>
      <c r="Q576" s="3"/>
      <c r="R576" s="3"/>
      <c r="U576" s="4"/>
    </row>
    <row r="577" ht="12.0" customHeight="1">
      <c r="F577" s="1"/>
      <c r="G577" s="1"/>
      <c r="H577" s="2"/>
      <c r="Q577" s="3"/>
      <c r="R577" s="3"/>
      <c r="U577" s="4"/>
    </row>
    <row r="578" ht="12.0" customHeight="1">
      <c r="F578" s="1"/>
      <c r="G578" s="1"/>
      <c r="H578" s="2"/>
      <c r="Q578" s="3"/>
      <c r="R578" s="3"/>
      <c r="U578" s="4"/>
    </row>
    <row r="579" ht="12.0" customHeight="1">
      <c r="F579" s="1"/>
      <c r="G579" s="1"/>
      <c r="H579" s="2"/>
      <c r="Q579" s="3"/>
      <c r="R579" s="3"/>
      <c r="U579" s="4"/>
    </row>
    <row r="580" ht="12.0" customHeight="1">
      <c r="F580" s="1"/>
      <c r="G580" s="1"/>
      <c r="H580" s="2"/>
      <c r="Q580" s="3"/>
      <c r="R580" s="3"/>
      <c r="U580" s="4"/>
    </row>
    <row r="581" ht="12.0" customHeight="1">
      <c r="F581" s="1"/>
      <c r="G581" s="1"/>
      <c r="H581" s="2"/>
      <c r="Q581" s="3"/>
      <c r="R581" s="3"/>
      <c r="U581" s="4"/>
    </row>
    <row r="582" ht="12.0" customHeight="1">
      <c r="F582" s="1"/>
      <c r="G582" s="1"/>
      <c r="H582" s="2"/>
      <c r="Q582" s="3"/>
      <c r="R582" s="3"/>
      <c r="U582" s="4"/>
    </row>
    <row r="583" ht="12.0" customHeight="1">
      <c r="F583" s="1"/>
      <c r="G583" s="1"/>
      <c r="H583" s="2"/>
      <c r="Q583" s="3"/>
      <c r="R583" s="3"/>
      <c r="U583" s="4"/>
    </row>
    <row r="584" ht="12.0" customHeight="1">
      <c r="F584" s="1"/>
      <c r="G584" s="1"/>
      <c r="H584" s="2"/>
      <c r="Q584" s="3"/>
      <c r="R584" s="3"/>
      <c r="U584" s="4"/>
    </row>
    <row r="585" ht="12.0" customHeight="1">
      <c r="F585" s="1"/>
      <c r="G585" s="1"/>
      <c r="H585" s="2"/>
      <c r="Q585" s="3"/>
      <c r="R585" s="3"/>
      <c r="U585" s="4"/>
    </row>
    <row r="586" ht="12.0" customHeight="1">
      <c r="F586" s="1"/>
      <c r="G586" s="1"/>
      <c r="H586" s="2"/>
      <c r="Q586" s="3"/>
      <c r="R586" s="3"/>
      <c r="U586" s="4"/>
    </row>
    <row r="587" ht="12.0" customHeight="1">
      <c r="F587" s="1"/>
      <c r="G587" s="1"/>
      <c r="H587" s="2"/>
      <c r="Q587" s="3"/>
      <c r="R587" s="3"/>
      <c r="U587" s="4"/>
    </row>
    <row r="588" ht="12.0" customHeight="1">
      <c r="F588" s="1"/>
      <c r="G588" s="1"/>
      <c r="H588" s="2"/>
      <c r="Q588" s="3"/>
      <c r="R588" s="3"/>
      <c r="U588" s="4"/>
    </row>
    <row r="589" ht="12.0" customHeight="1">
      <c r="F589" s="1"/>
      <c r="G589" s="1"/>
      <c r="H589" s="2"/>
      <c r="Q589" s="3"/>
      <c r="R589" s="3"/>
      <c r="U589" s="4"/>
    </row>
    <row r="590" ht="12.0" customHeight="1">
      <c r="F590" s="1"/>
      <c r="G590" s="1"/>
      <c r="H590" s="2"/>
      <c r="Q590" s="3"/>
      <c r="R590" s="3"/>
      <c r="U590" s="4"/>
    </row>
    <row r="591" ht="12.0" customHeight="1">
      <c r="F591" s="1"/>
      <c r="G591" s="1"/>
      <c r="H591" s="2"/>
      <c r="Q591" s="3"/>
      <c r="R591" s="3"/>
      <c r="U591" s="4"/>
    </row>
    <row r="592" ht="12.0" customHeight="1">
      <c r="F592" s="1"/>
      <c r="G592" s="1"/>
      <c r="H592" s="2"/>
      <c r="Q592" s="3"/>
      <c r="R592" s="3"/>
      <c r="U592" s="4"/>
    </row>
    <row r="593" ht="12.0" customHeight="1">
      <c r="F593" s="1"/>
      <c r="G593" s="1"/>
      <c r="H593" s="2"/>
      <c r="Q593" s="3"/>
      <c r="R593" s="3"/>
      <c r="U593" s="4"/>
    </row>
    <row r="594" ht="12.0" customHeight="1">
      <c r="F594" s="1"/>
      <c r="G594" s="1"/>
      <c r="H594" s="2"/>
      <c r="Q594" s="3"/>
      <c r="R594" s="3"/>
      <c r="U594" s="4"/>
    </row>
    <row r="595" ht="12.0" customHeight="1">
      <c r="F595" s="1"/>
      <c r="G595" s="1"/>
      <c r="H595" s="2"/>
      <c r="Q595" s="3"/>
      <c r="R595" s="3"/>
      <c r="U595" s="4"/>
    </row>
    <row r="596" ht="12.0" customHeight="1">
      <c r="F596" s="1"/>
      <c r="G596" s="1"/>
      <c r="H596" s="2"/>
      <c r="Q596" s="3"/>
      <c r="R596" s="3"/>
      <c r="U596" s="4"/>
    </row>
    <row r="597" ht="12.0" customHeight="1">
      <c r="F597" s="1"/>
      <c r="G597" s="1"/>
      <c r="H597" s="2"/>
      <c r="Q597" s="3"/>
      <c r="R597" s="3"/>
      <c r="U597" s="4"/>
    </row>
    <row r="598" ht="12.0" customHeight="1">
      <c r="F598" s="1"/>
      <c r="G598" s="1"/>
      <c r="H598" s="2"/>
      <c r="Q598" s="3"/>
      <c r="R598" s="3"/>
      <c r="U598" s="4"/>
    </row>
    <row r="599" ht="12.0" customHeight="1">
      <c r="F599" s="1"/>
      <c r="G599" s="1"/>
      <c r="H599" s="2"/>
      <c r="Q599" s="3"/>
      <c r="R599" s="3"/>
      <c r="U599" s="4"/>
    </row>
    <row r="600" ht="12.0" customHeight="1">
      <c r="F600" s="1"/>
      <c r="G600" s="1"/>
      <c r="H600" s="2"/>
      <c r="Q600" s="3"/>
      <c r="R600" s="3"/>
      <c r="U600" s="4"/>
    </row>
    <row r="601" ht="12.0" customHeight="1">
      <c r="F601" s="1"/>
      <c r="G601" s="1"/>
      <c r="H601" s="2"/>
      <c r="Q601" s="3"/>
      <c r="R601" s="3"/>
      <c r="U601" s="4"/>
    </row>
    <row r="602" ht="12.0" customHeight="1">
      <c r="F602" s="1"/>
      <c r="G602" s="1"/>
      <c r="H602" s="2"/>
      <c r="Q602" s="3"/>
      <c r="R602" s="3"/>
      <c r="U602" s="4"/>
    </row>
    <row r="603" ht="12.0" customHeight="1">
      <c r="F603" s="1"/>
      <c r="G603" s="1"/>
      <c r="H603" s="2"/>
      <c r="Q603" s="3"/>
      <c r="R603" s="3"/>
      <c r="U603" s="4"/>
    </row>
    <row r="604" ht="12.0" customHeight="1">
      <c r="F604" s="1"/>
      <c r="G604" s="1"/>
      <c r="H604" s="2"/>
      <c r="Q604" s="3"/>
      <c r="R604" s="3"/>
      <c r="U604" s="4"/>
    </row>
    <row r="605" ht="12.0" customHeight="1">
      <c r="F605" s="1"/>
      <c r="G605" s="1"/>
      <c r="H605" s="2"/>
      <c r="Q605" s="3"/>
      <c r="R605" s="3"/>
      <c r="U605" s="4"/>
    </row>
    <row r="606" ht="12.0" customHeight="1">
      <c r="F606" s="1"/>
      <c r="G606" s="1"/>
      <c r="H606" s="2"/>
      <c r="Q606" s="3"/>
      <c r="R606" s="3"/>
      <c r="U606" s="4"/>
    </row>
    <row r="607" ht="12.0" customHeight="1">
      <c r="F607" s="1"/>
      <c r="G607" s="1"/>
      <c r="H607" s="2"/>
      <c r="Q607" s="3"/>
      <c r="R607" s="3"/>
      <c r="U607" s="4"/>
    </row>
    <row r="608" ht="12.0" customHeight="1">
      <c r="F608" s="1"/>
      <c r="G608" s="1"/>
      <c r="H608" s="2"/>
      <c r="Q608" s="3"/>
      <c r="R608" s="3"/>
      <c r="U608" s="4"/>
    </row>
    <row r="609" ht="12.0" customHeight="1">
      <c r="F609" s="1"/>
      <c r="G609" s="1"/>
      <c r="H609" s="2"/>
      <c r="Q609" s="3"/>
      <c r="R609" s="3"/>
      <c r="U609" s="4"/>
    </row>
    <row r="610" ht="12.0" customHeight="1">
      <c r="F610" s="1"/>
      <c r="G610" s="1"/>
      <c r="H610" s="2"/>
      <c r="Q610" s="3"/>
      <c r="R610" s="3"/>
      <c r="U610" s="4"/>
    </row>
    <row r="611" ht="12.0" customHeight="1">
      <c r="F611" s="1"/>
      <c r="G611" s="1"/>
      <c r="H611" s="2"/>
      <c r="Q611" s="3"/>
      <c r="R611" s="3"/>
      <c r="U611" s="4"/>
    </row>
    <row r="612" ht="12.0" customHeight="1">
      <c r="F612" s="1"/>
      <c r="G612" s="1"/>
      <c r="H612" s="2"/>
      <c r="Q612" s="3"/>
      <c r="R612" s="3"/>
      <c r="U612" s="4"/>
    </row>
    <row r="613" ht="12.0" customHeight="1">
      <c r="F613" s="1"/>
      <c r="G613" s="1"/>
      <c r="H613" s="2"/>
      <c r="Q613" s="3"/>
      <c r="R613" s="3"/>
      <c r="U613" s="4"/>
    </row>
    <row r="614" ht="12.0" customHeight="1">
      <c r="F614" s="1"/>
      <c r="G614" s="1"/>
      <c r="H614" s="2"/>
      <c r="Q614" s="3"/>
      <c r="R614" s="3"/>
      <c r="U614" s="4"/>
    </row>
    <row r="615" ht="12.0" customHeight="1">
      <c r="F615" s="1"/>
      <c r="G615" s="1"/>
      <c r="H615" s="2"/>
      <c r="Q615" s="3"/>
      <c r="R615" s="3"/>
      <c r="U615" s="4"/>
    </row>
    <row r="616" ht="12.0" customHeight="1">
      <c r="F616" s="1"/>
      <c r="G616" s="1"/>
      <c r="H616" s="2"/>
      <c r="Q616" s="3"/>
      <c r="R616" s="3"/>
      <c r="U616" s="4"/>
    </row>
    <row r="617" ht="12.0" customHeight="1">
      <c r="F617" s="1"/>
      <c r="G617" s="1"/>
      <c r="H617" s="2"/>
      <c r="Q617" s="3"/>
      <c r="R617" s="3"/>
      <c r="U617" s="4"/>
    </row>
    <row r="618" ht="12.0" customHeight="1">
      <c r="F618" s="1"/>
      <c r="G618" s="1"/>
      <c r="H618" s="2"/>
      <c r="Q618" s="3"/>
      <c r="R618" s="3"/>
      <c r="U618" s="4"/>
    </row>
    <row r="619" ht="12.0" customHeight="1">
      <c r="F619" s="1"/>
      <c r="G619" s="1"/>
      <c r="H619" s="2"/>
      <c r="Q619" s="3"/>
      <c r="R619" s="3"/>
      <c r="U619" s="4"/>
    </row>
    <row r="620" ht="12.0" customHeight="1">
      <c r="F620" s="1"/>
      <c r="G620" s="1"/>
      <c r="H620" s="2"/>
      <c r="Q620" s="3"/>
      <c r="R620" s="3"/>
      <c r="U620" s="4"/>
    </row>
    <row r="621" ht="12.0" customHeight="1">
      <c r="F621" s="1"/>
      <c r="G621" s="1"/>
      <c r="H621" s="2"/>
      <c r="Q621" s="3"/>
      <c r="R621" s="3"/>
      <c r="U621" s="4"/>
    </row>
    <row r="622" ht="12.0" customHeight="1">
      <c r="F622" s="1"/>
      <c r="G622" s="1"/>
      <c r="H622" s="2"/>
      <c r="Q622" s="3"/>
      <c r="R622" s="3"/>
      <c r="U622" s="4"/>
    </row>
    <row r="623" ht="12.0" customHeight="1">
      <c r="F623" s="1"/>
      <c r="G623" s="1"/>
      <c r="H623" s="2"/>
      <c r="Q623" s="3"/>
      <c r="R623" s="3"/>
      <c r="U623" s="4"/>
    </row>
    <row r="624" ht="12.0" customHeight="1">
      <c r="F624" s="1"/>
      <c r="G624" s="1"/>
      <c r="H624" s="2"/>
      <c r="Q624" s="3"/>
      <c r="R624" s="3"/>
      <c r="U624" s="4"/>
    </row>
    <row r="625" ht="12.0" customHeight="1">
      <c r="F625" s="1"/>
      <c r="G625" s="1"/>
      <c r="H625" s="2"/>
      <c r="Q625" s="3"/>
      <c r="R625" s="3"/>
      <c r="U625" s="4"/>
    </row>
    <row r="626" ht="12.0" customHeight="1">
      <c r="F626" s="1"/>
      <c r="G626" s="1"/>
      <c r="H626" s="2"/>
      <c r="Q626" s="3"/>
      <c r="R626" s="3"/>
      <c r="U626" s="4"/>
    </row>
    <row r="627" ht="12.0" customHeight="1">
      <c r="F627" s="1"/>
      <c r="G627" s="1"/>
      <c r="H627" s="2"/>
      <c r="Q627" s="3"/>
      <c r="R627" s="3"/>
      <c r="U627" s="4"/>
    </row>
    <row r="628" ht="12.0" customHeight="1">
      <c r="F628" s="1"/>
      <c r="G628" s="1"/>
      <c r="H628" s="2"/>
      <c r="Q628" s="3"/>
      <c r="R628" s="3"/>
      <c r="U628" s="4"/>
    </row>
    <row r="629" ht="12.0" customHeight="1">
      <c r="F629" s="1"/>
      <c r="G629" s="1"/>
      <c r="H629" s="2"/>
      <c r="Q629" s="3"/>
      <c r="R629" s="3"/>
      <c r="U629" s="4"/>
    </row>
    <row r="630" ht="12.0" customHeight="1">
      <c r="F630" s="1"/>
      <c r="G630" s="1"/>
      <c r="H630" s="2"/>
      <c r="Q630" s="3"/>
      <c r="R630" s="3"/>
      <c r="U630" s="4"/>
    </row>
    <row r="631" ht="12.0" customHeight="1">
      <c r="F631" s="1"/>
      <c r="G631" s="1"/>
      <c r="H631" s="2"/>
      <c r="Q631" s="3"/>
      <c r="R631" s="3"/>
      <c r="U631" s="4"/>
    </row>
    <row r="632" ht="12.0" customHeight="1">
      <c r="F632" s="1"/>
      <c r="G632" s="1"/>
      <c r="H632" s="2"/>
      <c r="Q632" s="3"/>
      <c r="R632" s="3"/>
      <c r="U632" s="4"/>
    </row>
    <row r="633" ht="12.0" customHeight="1">
      <c r="F633" s="1"/>
      <c r="G633" s="1"/>
      <c r="H633" s="2"/>
      <c r="Q633" s="3"/>
      <c r="R633" s="3"/>
      <c r="U633" s="4"/>
    </row>
    <row r="634" ht="12.0" customHeight="1">
      <c r="F634" s="1"/>
      <c r="G634" s="1"/>
      <c r="H634" s="2"/>
      <c r="Q634" s="3"/>
      <c r="R634" s="3"/>
      <c r="U634" s="4"/>
    </row>
    <row r="635" ht="12.0" customHeight="1">
      <c r="F635" s="1"/>
      <c r="G635" s="1"/>
      <c r="H635" s="2"/>
      <c r="Q635" s="3"/>
      <c r="R635" s="3"/>
      <c r="U635" s="4"/>
    </row>
    <row r="636" ht="12.0" customHeight="1">
      <c r="F636" s="1"/>
      <c r="G636" s="1"/>
      <c r="H636" s="2"/>
      <c r="Q636" s="3"/>
      <c r="R636" s="3"/>
      <c r="U636" s="4"/>
    </row>
    <row r="637" ht="12.0" customHeight="1">
      <c r="F637" s="1"/>
      <c r="G637" s="1"/>
      <c r="H637" s="2"/>
      <c r="Q637" s="3"/>
      <c r="R637" s="3"/>
      <c r="U637" s="4"/>
    </row>
    <row r="638" ht="12.0" customHeight="1">
      <c r="F638" s="1"/>
      <c r="G638" s="1"/>
      <c r="H638" s="2"/>
      <c r="Q638" s="3"/>
      <c r="R638" s="3"/>
      <c r="U638" s="4"/>
    </row>
    <row r="639" ht="12.0" customHeight="1">
      <c r="F639" s="1"/>
      <c r="G639" s="1"/>
      <c r="H639" s="2"/>
      <c r="Q639" s="3"/>
      <c r="R639" s="3"/>
      <c r="U639" s="4"/>
    </row>
    <row r="640" ht="12.0" customHeight="1">
      <c r="F640" s="1"/>
      <c r="G640" s="1"/>
      <c r="H640" s="2"/>
      <c r="Q640" s="3"/>
      <c r="R640" s="3"/>
      <c r="U640" s="4"/>
    </row>
    <row r="641" ht="12.0" customHeight="1">
      <c r="F641" s="1"/>
      <c r="G641" s="1"/>
      <c r="H641" s="2"/>
      <c r="Q641" s="3"/>
      <c r="R641" s="3"/>
      <c r="U641" s="4"/>
    </row>
    <row r="642" ht="12.0" customHeight="1">
      <c r="F642" s="1"/>
      <c r="G642" s="1"/>
      <c r="H642" s="2"/>
      <c r="Q642" s="3"/>
      <c r="R642" s="3"/>
      <c r="U642" s="4"/>
    </row>
    <row r="643" ht="12.0" customHeight="1">
      <c r="F643" s="1"/>
      <c r="G643" s="1"/>
      <c r="H643" s="2"/>
      <c r="Q643" s="3"/>
      <c r="R643" s="3"/>
      <c r="U643" s="4"/>
    </row>
    <row r="644" ht="12.0" customHeight="1">
      <c r="F644" s="1"/>
      <c r="G644" s="1"/>
      <c r="H644" s="2"/>
      <c r="Q644" s="3"/>
      <c r="R644" s="3"/>
      <c r="U644" s="4"/>
    </row>
    <row r="645" ht="12.0" customHeight="1">
      <c r="F645" s="1"/>
      <c r="G645" s="1"/>
      <c r="H645" s="2"/>
      <c r="Q645" s="3"/>
      <c r="R645" s="3"/>
      <c r="U645" s="4"/>
    </row>
    <row r="646" ht="12.0" customHeight="1">
      <c r="F646" s="1"/>
      <c r="G646" s="1"/>
      <c r="H646" s="2"/>
      <c r="Q646" s="3"/>
      <c r="R646" s="3"/>
      <c r="U646" s="4"/>
    </row>
    <row r="647" ht="12.0" customHeight="1">
      <c r="F647" s="1"/>
      <c r="G647" s="1"/>
      <c r="H647" s="2"/>
      <c r="Q647" s="3"/>
      <c r="R647" s="3"/>
      <c r="U647" s="4"/>
    </row>
    <row r="648" ht="12.0" customHeight="1">
      <c r="F648" s="1"/>
      <c r="G648" s="1"/>
      <c r="H648" s="2"/>
      <c r="Q648" s="3"/>
      <c r="R648" s="3"/>
      <c r="U648" s="4"/>
    </row>
    <row r="649" ht="12.0" customHeight="1">
      <c r="F649" s="1"/>
      <c r="G649" s="1"/>
      <c r="H649" s="2"/>
      <c r="Q649" s="3"/>
      <c r="R649" s="3"/>
      <c r="U649" s="4"/>
    </row>
    <row r="650" ht="12.0" customHeight="1">
      <c r="F650" s="1"/>
      <c r="G650" s="1"/>
      <c r="H650" s="2"/>
      <c r="Q650" s="3"/>
      <c r="R650" s="3"/>
      <c r="U650" s="4"/>
    </row>
    <row r="651" ht="12.0" customHeight="1">
      <c r="F651" s="1"/>
      <c r="G651" s="1"/>
      <c r="H651" s="2"/>
      <c r="Q651" s="3"/>
      <c r="R651" s="3"/>
      <c r="U651" s="4"/>
    </row>
    <row r="652" ht="12.0" customHeight="1">
      <c r="F652" s="1"/>
      <c r="G652" s="1"/>
      <c r="H652" s="2"/>
      <c r="Q652" s="3"/>
      <c r="R652" s="3"/>
      <c r="U652" s="4"/>
    </row>
    <row r="653" ht="12.0" customHeight="1">
      <c r="F653" s="1"/>
      <c r="G653" s="1"/>
      <c r="H653" s="2"/>
      <c r="Q653" s="3"/>
      <c r="R653" s="3"/>
      <c r="U653" s="4"/>
    </row>
    <row r="654" ht="12.0" customHeight="1">
      <c r="F654" s="1"/>
      <c r="G654" s="1"/>
      <c r="H654" s="2"/>
      <c r="Q654" s="3"/>
      <c r="R654" s="3"/>
      <c r="U654" s="4"/>
    </row>
    <row r="655" ht="12.0" customHeight="1">
      <c r="F655" s="1"/>
      <c r="G655" s="1"/>
      <c r="H655" s="2"/>
      <c r="Q655" s="3"/>
      <c r="R655" s="3"/>
      <c r="U655" s="4"/>
    </row>
    <row r="656" ht="12.0" customHeight="1">
      <c r="F656" s="1"/>
      <c r="G656" s="1"/>
      <c r="H656" s="2"/>
      <c r="Q656" s="3"/>
      <c r="R656" s="3"/>
      <c r="U656" s="4"/>
    </row>
    <row r="657" ht="12.0" customHeight="1">
      <c r="F657" s="1"/>
      <c r="G657" s="1"/>
      <c r="H657" s="2"/>
      <c r="Q657" s="3"/>
      <c r="R657" s="3"/>
      <c r="U657" s="4"/>
    </row>
    <row r="658" ht="12.0" customHeight="1">
      <c r="F658" s="1"/>
      <c r="G658" s="1"/>
      <c r="H658" s="2"/>
      <c r="Q658" s="3"/>
      <c r="R658" s="3"/>
      <c r="U658" s="4"/>
    </row>
    <row r="659" ht="12.0" customHeight="1">
      <c r="F659" s="1"/>
      <c r="G659" s="1"/>
      <c r="H659" s="2"/>
      <c r="Q659" s="3"/>
      <c r="R659" s="3"/>
      <c r="U659" s="4"/>
    </row>
    <row r="660" ht="12.0" customHeight="1">
      <c r="F660" s="1"/>
      <c r="G660" s="1"/>
      <c r="H660" s="2"/>
      <c r="Q660" s="3"/>
      <c r="R660" s="3"/>
      <c r="U660" s="4"/>
    </row>
    <row r="661" ht="12.0" customHeight="1">
      <c r="F661" s="1"/>
      <c r="G661" s="1"/>
      <c r="H661" s="2"/>
      <c r="Q661" s="3"/>
      <c r="R661" s="3"/>
      <c r="U661" s="4"/>
    </row>
    <row r="662" ht="12.0" customHeight="1">
      <c r="F662" s="1"/>
      <c r="G662" s="1"/>
      <c r="H662" s="2"/>
      <c r="Q662" s="3"/>
      <c r="R662" s="3"/>
      <c r="U662" s="4"/>
    </row>
    <row r="663" ht="12.0" customHeight="1">
      <c r="F663" s="1"/>
      <c r="G663" s="1"/>
      <c r="H663" s="2"/>
      <c r="Q663" s="3"/>
      <c r="R663" s="3"/>
      <c r="U663" s="4"/>
    </row>
    <row r="664" ht="12.0" customHeight="1">
      <c r="F664" s="1"/>
      <c r="G664" s="1"/>
      <c r="H664" s="2"/>
      <c r="Q664" s="3"/>
      <c r="R664" s="3"/>
      <c r="U664" s="4"/>
    </row>
    <row r="665" ht="12.0" customHeight="1">
      <c r="F665" s="1"/>
      <c r="G665" s="1"/>
      <c r="H665" s="2"/>
      <c r="Q665" s="3"/>
      <c r="R665" s="3"/>
      <c r="U665" s="4"/>
    </row>
    <row r="666" ht="12.0" customHeight="1">
      <c r="F666" s="1"/>
      <c r="G666" s="1"/>
      <c r="H666" s="2"/>
      <c r="Q666" s="3"/>
      <c r="R666" s="3"/>
      <c r="U666" s="4"/>
    </row>
    <row r="667" ht="12.0" customHeight="1">
      <c r="F667" s="1"/>
      <c r="G667" s="1"/>
      <c r="H667" s="2"/>
      <c r="Q667" s="3"/>
      <c r="R667" s="3"/>
      <c r="U667" s="4"/>
    </row>
    <row r="668" ht="12.0" customHeight="1">
      <c r="F668" s="1"/>
      <c r="G668" s="1"/>
      <c r="H668" s="2"/>
      <c r="Q668" s="3"/>
      <c r="R668" s="3"/>
      <c r="U668" s="4"/>
    </row>
    <row r="669" ht="12.0" customHeight="1">
      <c r="F669" s="1"/>
      <c r="G669" s="1"/>
      <c r="H669" s="2"/>
      <c r="Q669" s="3"/>
      <c r="R669" s="3"/>
      <c r="U669" s="4"/>
    </row>
    <row r="670" ht="12.0" customHeight="1">
      <c r="F670" s="1"/>
      <c r="G670" s="1"/>
      <c r="H670" s="2"/>
      <c r="Q670" s="3"/>
      <c r="R670" s="3"/>
      <c r="U670" s="4"/>
    </row>
    <row r="671" ht="12.0" customHeight="1">
      <c r="F671" s="1"/>
      <c r="G671" s="1"/>
      <c r="H671" s="2"/>
      <c r="Q671" s="3"/>
      <c r="R671" s="3"/>
      <c r="U671" s="4"/>
    </row>
    <row r="672" ht="12.0" customHeight="1">
      <c r="F672" s="1"/>
      <c r="G672" s="1"/>
      <c r="H672" s="2"/>
      <c r="Q672" s="3"/>
      <c r="R672" s="3"/>
      <c r="U672" s="4"/>
    </row>
    <row r="673" ht="12.0" customHeight="1">
      <c r="F673" s="1"/>
      <c r="G673" s="1"/>
      <c r="H673" s="2"/>
      <c r="Q673" s="3"/>
      <c r="R673" s="3"/>
      <c r="U673" s="4"/>
    </row>
    <row r="674" ht="12.0" customHeight="1">
      <c r="F674" s="1"/>
      <c r="G674" s="1"/>
      <c r="H674" s="2"/>
      <c r="Q674" s="3"/>
      <c r="R674" s="3"/>
      <c r="U674" s="4"/>
    </row>
    <row r="675" ht="12.0" customHeight="1">
      <c r="F675" s="1"/>
      <c r="G675" s="1"/>
      <c r="H675" s="2"/>
      <c r="Q675" s="3"/>
      <c r="R675" s="3"/>
      <c r="U675" s="4"/>
    </row>
    <row r="676" ht="12.0" customHeight="1">
      <c r="F676" s="1"/>
      <c r="G676" s="1"/>
      <c r="H676" s="2"/>
      <c r="Q676" s="3"/>
      <c r="R676" s="3"/>
      <c r="U676" s="4"/>
    </row>
    <row r="677" ht="12.0" customHeight="1">
      <c r="F677" s="1"/>
      <c r="G677" s="1"/>
      <c r="H677" s="2"/>
      <c r="Q677" s="3"/>
      <c r="R677" s="3"/>
      <c r="U677" s="4"/>
    </row>
    <row r="678" ht="12.0" customHeight="1">
      <c r="F678" s="1"/>
      <c r="G678" s="1"/>
      <c r="H678" s="2"/>
      <c r="Q678" s="3"/>
      <c r="R678" s="3"/>
      <c r="U678" s="4"/>
    </row>
    <row r="679" ht="12.0" customHeight="1">
      <c r="F679" s="1"/>
      <c r="G679" s="1"/>
      <c r="H679" s="2"/>
      <c r="Q679" s="3"/>
      <c r="R679" s="3"/>
      <c r="U679" s="4"/>
    </row>
    <row r="680" ht="12.0" customHeight="1">
      <c r="F680" s="1"/>
      <c r="G680" s="1"/>
      <c r="H680" s="2"/>
      <c r="Q680" s="3"/>
      <c r="R680" s="3"/>
      <c r="U680" s="4"/>
    </row>
    <row r="681" ht="12.0" customHeight="1">
      <c r="F681" s="1"/>
      <c r="G681" s="1"/>
      <c r="H681" s="2"/>
      <c r="Q681" s="3"/>
      <c r="R681" s="3"/>
      <c r="U681" s="4"/>
    </row>
    <row r="682" ht="12.0" customHeight="1">
      <c r="F682" s="1"/>
      <c r="G682" s="1"/>
      <c r="H682" s="2"/>
      <c r="Q682" s="3"/>
      <c r="R682" s="3"/>
      <c r="U682" s="4"/>
    </row>
    <row r="683" ht="12.0" customHeight="1">
      <c r="F683" s="1"/>
      <c r="G683" s="1"/>
      <c r="H683" s="2"/>
      <c r="Q683" s="3"/>
      <c r="R683" s="3"/>
      <c r="U683" s="4"/>
    </row>
    <row r="684" ht="12.0" customHeight="1">
      <c r="F684" s="1"/>
      <c r="G684" s="1"/>
      <c r="H684" s="2"/>
      <c r="Q684" s="3"/>
      <c r="R684" s="3"/>
      <c r="U684" s="4"/>
    </row>
    <row r="685" ht="12.0" customHeight="1">
      <c r="F685" s="1"/>
      <c r="G685" s="1"/>
      <c r="H685" s="2"/>
      <c r="Q685" s="3"/>
      <c r="R685" s="3"/>
      <c r="U685" s="4"/>
    </row>
    <row r="686" ht="12.0" customHeight="1">
      <c r="F686" s="1"/>
      <c r="G686" s="1"/>
      <c r="H686" s="2"/>
      <c r="Q686" s="3"/>
      <c r="R686" s="3"/>
      <c r="U686" s="4"/>
    </row>
    <row r="687" ht="12.0" customHeight="1">
      <c r="F687" s="1"/>
      <c r="G687" s="1"/>
      <c r="H687" s="2"/>
      <c r="Q687" s="3"/>
      <c r="R687" s="3"/>
      <c r="U687" s="4"/>
    </row>
    <row r="688" ht="12.0" customHeight="1">
      <c r="F688" s="1"/>
      <c r="G688" s="1"/>
      <c r="H688" s="2"/>
      <c r="Q688" s="3"/>
      <c r="R688" s="3"/>
      <c r="U688" s="4"/>
    </row>
    <row r="689" ht="12.0" customHeight="1">
      <c r="F689" s="1"/>
      <c r="G689" s="1"/>
      <c r="H689" s="2"/>
      <c r="Q689" s="3"/>
      <c r="R689" s="3"/>
      <c r="U689" s="4"/>
    </row>
    <row r="690" ht="12.0" customHeight="1">
      <c r="F690" s="1"/>
      <c r="G690" s="1"/>
      <c r="H690" s="2"/>
      <c r="Q690" s="3"/>
      <c r="R690" s="3"/>
      <c r="U690" s="4"/>
    </row>
    <row r="691" ht="12.0" customHeight="1">
      <c r="F691" s="1"/>
      <c r="G691" s="1"/>
      <c r="H691" s="2"/>
      <c r="Q691" s="3"/>
      <c r="R691" s="3"/>
      <c r="U691" s="4"/>
    </row>
    <row r="692" ht="12.0" customHeight="1">
      <c r="F692" s="1"/>
      <c r="G692" s="1"/>
      <c r="H692" s="2"/>
      <c r="Q692" s="3"/>
      <c r="R692" s="3"/>
      <c r="U692" s="4"/>
    </row>
    <row r="693" ht="12.0" customHeight="1">
      <c r="F693" s="1"/>
      <c r="G693" s="1"/>
      <c r="H693" s="2"/>
      <c r="Q693" s="3"/>
      <c r="R693" s="3"/>
      <c r="U693" s="4"/>
    </row>
    <row r="694" ht="12.0" customHeight="1">
      <c r="F694" s="1"/>
      <c r="G694" s="1"/>
      <c r="H694" s="2"/>
      <c r="Q694" s="3"/>
      <c r="R694" s="3"/>
      <c r="U694" s="4"/>
    </row>
    <row r="695" ht="12.0" customHeight="1">
      <c r="F695" s="1"/>
      <c r="G695" s="1"/>
      <c r="H695" s="2"/>
      <c r="Q695" s="3"/>
      <c r="R695" s="3"/>
      <c r="U695" s="4"/>
    </row>
    <row r="696" ht="12.0" customHeight="1">
      <c r="F696" s="1"/>
      <c r="G696" s="1"/>
      <c r="H696" s="2"/>
      <c r="Q696" s="3"/>
      <c r="R696" s="3"/>
      <c r="U696" s="4"/>
    </row>
    <row r="697" ht="12.0" customHeight="1">
      <c r="F697" s="1"/>
      <c r="G697" s="1"/>
      <c r="H697" s="2"/>
      <c r="Q697" s="3"/>
      <c r="R697" s="3"/>
      <c r="U697" s="4"/>
    </row>
    <row r="698" ht="12.0" customHeight="1">
      <c r="F698" s="1"/>
      <c r="G698" s="1"/>
      <c r="H698" s="2"/>
      <c r="Q698" s="3"/>
      <c r="R698" s="3"/>
      <c r="U698" s="4"/>
    </row>
    <row r="699" ht="12.0" customHeight="1">
      <c r="F699" s="1"/>
      <c r="G699" s="1"/>
      <c r="H699" s="2"/>
      <c r="Q699" s="3"/>
      <c r="R699" s="3"/>
      <c r="U699" s="4"/>
    </row>
    <row r="700" ht="12.0" customHeight="1">
      <c r="F700" s="1"/>
      <c r="G700" s="1"/>
      <c r="H700" s="2"/>
      <c r="Q700" s="3"/>
      <c r="R700" s="3"/>
      <c r="U700" s="4"/>
    </row>
    <row r="701" ht="12.0" customHeight="1">
      <c r="F701" s="1"/>
      <c r="G701" s="1"/>
      <c r="H701" s="2"/>
      <c r="Q701" s="3"/>
      <c r="R701" s="3"/>
      <c r="U701" s="4"/>
    </row>
    <row r="702" ht="12.0" customHeight="1">
      <c r="F702" s="1"/>
      <c r="G702" s="1"/>
      <c r="H702" s="2"/>
      <c r="Q702" s="3"/>
      <c r="R702" s="3"/>
      <c r="U702" s="4"/>
    </row>
    <row r="703" ht="12.0" customHeight="1">
      <c r="F703" s="1"/>
      <c r="G703" s="1"/>
      <c r="H703" s="2"/>
      <c r="Q703" s="3"/>
      <c r="R703" s="3"/>
      <c r="U703" s="4"/>
    </row>
    <row r="704" ht="12.0" customHeight="1">
      <c r="F704" s="1"/>
      <c r="G704" s="1"/>
      <c r="H704" s="2"/>
      <c r="Q704" s="3"/>
      <c r="R704" s="3"/>
      <c r="U704" s="4"/>
    </row>
    <row r="705" ht="12.0" customHeight="1">
      <c r="F705" s="1"/>
      <c r="G705" s="1"/>
      <c r="H705" s="2"/>
      <c r="Q705" s="3"/>
      <c r="R705" s="3"/>
      <c r="U705" s="4"/>
    </row>
    <row r="706" ht="12.0" customHeight="1">
      <c r="F706" s="1"/>
      <c r="G706" s="1"/>
      <c r="H706" s="2"/>
      <c r="Q706" s="3"/>
      <c r="R706" s="3"/>
      <c r="U706" s="4"/>
    </row>
    <row r="707" ht="12.0" customHeight="1">
      <c r="F707" s="1"/>
      <c r="G707" s="1"/>
      <c r="H707" s="2"/>
      <c r="Q707" s="3"/>
      <c r="R707" s="3"/>
      <c r="U707" s="4"/>
    </row>
    <row r="708" ht="12.0" customHeight="1">
      <c r="F708" s="1"/>
      <c r="G708" s="1"/>
      <c r="H708" s="2"/>
      <c r="Q708" s="3"/>
      <c r="R708" s="3"/>
      <c r="U708" s="4"/>
    </row>
    <row r="709" ht="12.0" customHeight="1">
      <c r="F709" s="1"/>
      <c r="G709" s="1"/>
      <c r="H709" s="2"/>
      <c r="Q709" s="3"/>
      <c r="R709" s="3"/>
      <c r="U709" s="4"/>
    </row>
    <row r="710" ht="12.0" customHeight="1">
      <c r="F710" s="1"/>
      <c r="G710" s="1"/>
      <c r="H710" s="2"/>
      <c r="Q710" s="3"/>
      <c r="R710" s="3"/>
      <c r="U710" s="4"/>
    </row>
    <row r="711" ht="12.0" customHeight="1">
      <c r="F711" s="1"/>
      <c r="G711" s="1"/>
      <c r="H711" s="2"/>
      <c r="Q711" s="3"/>
      <c r="R711" s="3"/>
      <c r="U711" s="4"/>
    </row>
    <row r="712" ht="12.0" customHeight="1">
      <c r="F712" s="1"/>
      <c r="G712" s="1"/>
      <c r="H712" s="2"/>
      <c r="Q712" s="3"/>
      <c r="R712" s="3"/>
      <c r="U712" s="4"/>
    </row>
    <row r="713" ht="12.0" customHeight="1">
      <c r="F713" s="1"/>
      <c r="G713" s="1"/>
      <c r="H713" s="2"/>
      <c r="Q713" s="3"/>
      <c r="R713" s="3"/>
      <c r="U713" s="4"/>
    </row>
    <row r="714" ht="12.0" customHeight="1">
      <c r="F714" s="1"/>
      <c r="G714" s="1"/>
      <c r="H714" s="2"/>
      <c r="Q714" s="3"/>
      <c r="R714" s="3"/>
      <c r="U714" s="4"/>
    </row>
    <row r="715" ht="12.0" customHeight="1">
      <c r="F715" s="1"/>
      <c r="G715" s="1"/>
      <c r="H715" s="2"/>
      <c r="Q715" s="3"/>
      <c r="R715" s="3"/>
      <c r="U715" s="4"/>
    </row>
    <row r="716" ht="12.0" customHeight="1">
      <c r="F716" s="1"/>
      <c r="G716" s="1"/>
      <c r="H716" s="2"/>
      <c r="Q716" s="3"/>
      <c r="R716" s="3"/>
      <c r="U716" s="4"/>
    </row>
    <row r="717" ht="12.0" customHeight="1">
      <c r="F717" s="1"/>
      <c r="G717" s="1"/>
      <c r="H717" s="2"/>
      <c r="Q717" s="3"/>
      <c r="R717" s="3"/>
      <c r="U717" s="4"/>
    </row>
    <row r="718" ht="12.0" customHeight="1">
      <c r="F718" s="1"/>
      <c r="G718" s="1"/>
      <c r="H718" s="2"/>
      <c r="Q718" s="3"/>
      <c r="R718" s="3"/>
      <c r="U718" s="4"/>
    </row>
    <row r="719" ht="12.0" customHeight="1">
      <c r="F719" s="1"/>
      <c r="G719" s="1"/>
      <c r="H719" s="2"/>
      <c r="Q719" s="3"/>
      <c r="R719" s="3"/>
      <c r="U719" s="4"/>
    </row>
    <row r="720" ht="12.0" customHeight="1">
      <c r="F720" s="1"/>
      <c r="G720" s="1"/>
      <c r="H720" s="2"/>
      <c r="Q720" s="3"/>
      <c r="R720" s="3"/>
      <c r="U720" s="4"/>
    </row>
    <row r="721" ht="12.0" customHeight="1">
      <c r="F721" s="1"/>
      <c r="G721" s="1"/>
      <c r="H721" s="2"/>
      <c r="Q721" s="3"/>
      <c r="R721" s="3"/>
      <c r="U721" s="4"/>
    </row>
    <row r="722" ht="12.0" customHeight="1">
      <c r="F722" s="1"/>
      <c r="G722" s="1"/>
      <c r="H722" s="2"/>
      <c r="Q722" s="3"/>
      <c r="R722" s="3"/>
      <c r="U722" s="4"/>
    </row>
    <row r="723" ht="12.0" customHeight="1">
      <c r="F723" s="1"/>
      <c r="G723" s="1"/>
      <c r="H723" s="2"/>
      <c r="Q723" s="3"/>
      <c r="R723" s="3"/>
      <c r="U723" s="4"/>
    </row>
    <row r="724" ht="12.0" customHeight="1">
      <c r="F724" s="1"/>
      <c r="G724" s="1"/>
      <c r="H724" s="2"/>
      <c r="Q724" s="3"/>
      <c r="R724" s="3"/>
      <c r="U724" s="4"/>
    </row>
    <row r="725" ht="12.0" customHeight="1">
      <c r="F725" s="1"/>
      <c r="G725" s="1"/>
      <c r="H725" s="2"/>
      <c r="Q725" s="3"/>
      <c r="R725" s="3"/>
      <c r="U725" s="4"/>
    </row>
    <row r="726" ht="12.0" customHeight="1">
      <c r="F726" s="1"/>
      <c r="G726" s="1"/>
      <c r="H726" s="2"/>
      <c r="Q726" s="3"/>
      <c r="R726" s="3"/>
      <c r="U726" s="4"/>
    </row>
    <row r="727" ht="12.0" customHeight="1">
      <c r="F727" s="1"/>
      <c r="G727" s="1"/>
      <c r="H727" s="2"/>
      <c r="Q727" s="3"/>
      <c r="R727" s="3"/>
      <c r="U727" s="4"/>
    </row>
    <row r="728" ht="12.0" customHeight="1">
      <c r="F728" s="1"/>
      <c r="G728" s="1"/>
      <c r="H728" s="2"/>
      <c r="Q728" s="3"/>
      <c r="R728" s="3"/>
      <c r="U728" s="4"/>
    </row>
    <row r="729" ht="12.0" customHeight="1">
      <c r="F729" s="1"/>
      <c r="G729" s="1"/>
      <c r="H729" s="2"/>
      <c r="Q729" s="3"/>
      <c r="R729" s="3"/>
      <c r="U729" s="4"/>
    </row>
    <row r="730" ht="12.0" customHeight="1">
      <c r="F730" s="1"/>
      <c r="G730" s="1"/>
      <c r="H730" s="2"/>
      <c r="Q730" s="3"/>
      <c r="R730" s="3"/>
      <c r="U730" s="4"/>
    </row>
    <row r="731" ht="12.0" customHeight="1">
      <c r="F731" s="1"/>
      <c r="G731" s="1"/>
      <c r="H731" s="2"/>
      <c r="Q731" s="3"/>
      <c r="R731" s="3"/>
      <c r="U731" s="4"/>
    </row>
    <row r="732" ht="12.0" customHeight="1">
      <c r="F732" s="1"/>
      <c r="G732" s="1"/>
      <c r="H732" s="2"/>
      <c r="Q732" s="3"/>
      <c r="R732" s="3"/>
      <c r="U732" s="4"/>
    </row>
    <row r="733" ht="12.0" customHeight="1">
      <c r="F733" s="1"/>
      <c r="G733" s="1"/>
      <c r="H733" s="2"/>
      <c r="Q733" s="3"/>
      <c r="R733" s="3"/>
      <c r="U733" s="4"/>
    </row>
    <row r="734" ht="12.0" customHeight="1">
      <c r="F734" s="1"/>
      <c r="G734" s="1"/>
      <c r="H734" s="2"/>
      <c r="Q734" s="3"/>
      <c r="R734" s="3"/>
      <c r="U734" s="4"/>
    </row>
    <row r="735" ht="12.0" customHeight="1">
      <c r="F735" s="1"/>
      <c r="G735" s="1"/>
      <c r="H735" s="2"/>
      <c r="Q735" s="3"/>
      <c r="R735" s="3"/>
      <c r="U735" s="4"/>
    </row>
    <row r="736" ht="12.0" customHeight="1">
      <c r="F736" s="1"/>
      <c r="G736" s="1"/>
      <c r="H736" s="2"/>
      <c r="Q736" s="3"/>
      <c r="R736" s="3"/>
      <c r="U736" s="4"/>
    </row>
    <row r="737" ht="12.0" customHeight="1">
      <c r="F737" s="1"/>
      <c r="G737" s="1"/>
      <c r="H737" s="2"/>
      <c r="Q737" s="3"/>
      <c r="R737" s="3"/>
      <c r="U737" s="4"/>
    </row>
    <row r="738" ht="12.0" customHeight="1">
      <c r="F738" s="1"/>
      <c r="G738" s="1"/>
      <c r="H738" s="2"/>
      <c r="Q738" s="3"/>
      <c r="R738" s="3"/>
      <c r="U738" s="4"/>
    </row>
    <row r="739" ht="12.0" customHeight="1">
      <c r="F739" s="1"/>
      <c r="G739" s="1"/>
      <c r="H739" s="2"/>
      <c r="Q739" s="3"/>
      <c r="R739" s="3"/>
      <c r="U739" s="4"/>
    </row>
    <row r="740" ht="12.0" customHeight="1">
      <c r="F740" s="1"/>
      <c r="G740" s="1"/>
      <c r="H740" s="2"/>
      <c r="Q740" s="3"/>
      <c r="R740" s="3"/>
      <c r="U740" s="4"/>
    </row>
    <row r="741" ht="12.0" customHeight="1">
      <c r="F741" s="1"/>
      <c r="G741" s="1"/>
      <c r="H741" s="2"/>
      <c r="Q741" s="3"/>
      <c r="R741" s="3"/>
      <c r="U741" s="4"/>
    </row>
    <row r="742" ht="12.0" customHeight="1">
      <c r="F742" s="1"/>
      <c r="G742" s="1"/>
      <c r="H742" s="2"/>
      <c r="Q742" s="3"/>
      <c r="R742" s="3"/>
      <c r="U742" s="4"/>
    </row>
    <row r="743" ht="12.0" customHeight="1">
      <c r="F743" s="1"/>
      <c r="G743" s="1"/>
      <c r="H743" s="2"/>
      <c r="Q743" s="3"/>
      <c r="R743" s="3"/>
      <c r="U743" s="4"/>
    </row>
    <row r="744" ht="12.0" customHeight="1">
      <c r="F744" s="1"/>
      <c r="G744" s="1"/>
      <c r="H744" s="2"/>
      <c r="Q744" s="3"/>
      <c r="R744" s="3"/>
      <c r="U744" s="4"/>
    </row>
    <row r="745" ht="12.0" customHeight="1">
      <c r="F745" s="1"/>
      <c r="G745" s="1"/>
      <c r="H745" s="2"/>
      <c r="Q745" s="3"/>
      <c r="R745" s="3"/>
      <c r="U745" s="4"/>
    </row>
    <row r="746" ht="12.0" customHeight="1">
      <c r="F746" s="1"/>
      <c r="G746" s="1"/>
      <c r="H746" s="2"/>
      <c r="Q746" s="3"/>
      <c r="R746" s="3"/>
      <c r="U746" s="4"/>
    </row>
    <row r="747" ht="12.0" customHeight="1">
      <c r="F747" s="1"/>
      <c r="G747" s="1"/>
      <c r="H747" s="2"/>
      <c r="Q747" s="3"/>
      <c r="R747" s="3"/>
      <c r="U747" s="4"/>
    </row>
    <row r="748" ht="12.0" customHeight="1">
      <c r="F748" s="1"/>
      <c r="G748" s="1"/>
      <c r="H748" s="2"/>
      <c r="Q748" s="3"/>
      <c r="R748" s="3"/>
      <c r="U748" s="4"/>
    </row>
    <row r="749" ht="12.0" customHeight="1">
      <c r="F749" s="1"/>
      <c r="G749" s="1"/>
      <c r="H749" s="2"/>
      <c r="Q749" s="3"/>
      <c r="R749" s="3"/>
      <c r="U749" s="4"/>
    </row>
    <row r="750" ht="12.0" customHeight="1">
      <c r="F750" s="1"/>
      <c r="G750" s="1"/>
      <c r="H750" s="2"/>
      <c r="Q750" s="3"/>
      <c r="R750" s="3"/>
      <c r="U750" s="4"/>
    </row>
    <row r="751" ht="12.0" customHeight="1">
      <c r="F751" s="1"/>
      <c r="G751" s="1"/>
      <c r="H751" s="2"/>
      <c r="Q751" s="3"/>
      <c r="R751" s="3"/>
      <c r="U751" s="4"/>
    </row>
    <row r="752" ht="12.0" customHeight="1">
      <c r="F752" s="1"/>
      <c r="G752" s="1"/>
      <c r="H752" s="2"/>
      <c r="Q752" s="3"/>
      <c r="R752" s="3"/>
      <c r="U752" s="4"/>
    </row>
    <row r="753" ht="12.0" customHeight="1">
      <c r="F753" s="1"/>
      <c r="G753" s="1"/>
      <c r="H753" s="2"/>
      <c r="Q753" s="3"/>
      <c r="R753" s="3"/>
      <c r="U753" s="4"/>
    </row>
    <row r="754" ht="12.0" customHeight="1">
      <c r="F754" s="1"/>
      <c r="G754" s="1"/>
      <c r="H754" s="2"/>
      <c r="Q754" s="3"/>
      <c r="R754" s="3"/>
      <c r="U754" s="4"/>
    </row>
    <row r="755" ht="12.0" customHeight="1">
      <c r="F755" s="1"/>
      <c r="G755" s="1"/>
      <c r="H755" s="2"/>
      <c r="Q755" s="3"/>
      <c r="R755" s="3"/>
      <c r="U755" s="4"/>
    </row>
    <row r="756" ht="12.0" customHeight="1">
      <c r="F756" s="1"/>
      <c r="G756" s="1"/>
      <c r="H756" s="2"/>
      <c r="Q756" s="3"/>
      <c r="R756" s="3"/>
      <c r="U756" s="4"/>
    </row>
    <row r="757" ht="12.0" customHeight="1">
      <c r="F757" s="1"/>
      <c r="G757" s="1"/>
      <c r="H757" s="2"/>
      <c r="Q757" s="3"/>
      <c r="R757" s="3"/>
      <c r="U757" s="4"/>
    </row>
    <row r="758" ht="12.0" customHeight="1">
      <c r="F758" s="1"/>
      <c r="G758" s="1"/>
      <c r="H758" s="2"/>
      <c r="Q758" s="3"/>
      <c r="R758" s="3"/>
      <c r="U758" s="4"/>
    </row>
    <row r="759" ht="12.0" customHeight="1">
      <c r="F759" s="1"/>
      <c r="G759" s="1"/>
      <c r="H759" s="2"/>
      <c r="Q759" s="3"/>
      <c r="R759" s="3"/>
      <c r="U759" s="4"/>
    </row>
    <row r="760" ht="12.0" customHeight="1">
      <c r="F760" s="1"/>
      <c r="G760" s="1"/>
      <c r="H760" s="2"/>
      <c r="Q760" s="3"/>
      <c r="R760" s="3"/>
      <c r="U760" s="4"/>
    </row>
    <row r="761" ht="12.0" customHeight="1">
      <c r="F761" s="1"/>
      <c r="G761" s="1"/>
      <c r="H761" s="2"/>
      <c r="Q761" s="3"/>
      <c r="R761" s="3"/>
      <c r="U761" s="4"/>
    </row>
    <row r="762" ht="12.0" customHeight="1">
      <c r="F762" s="1"/>
      <c r="G762" s="1"/>
      <c r="H762" s="2"/>
      <c r="Q762" s="3"/>
      <c r="R762" s="3"/>
      <c r="U762" s="4"/>
    </row>
    <row r="763" ht="12.0" customHeight="1">
      <c r="F763" s="1"/>
      <c r="G763" s="1"/>
      <c r="H763" s="2"/>
      <c r="Q763" s="3"/>
      <c r="R763" s="3"/>
      <c r="U763" s="4"/>
    </row>
    <row r="764" ht="12.0" customHeight="1">
      <c r="F764" s="1"/>
      <c r="G764" s="1"/>
      <c r="H764" s="2"/>
      <c r="Q764" s="3"/>
      <c r="R764" s="3"/>
      <c r="U764" s="4"/>
    </row>
    <row r="765" ht="12.0" customHeight="1">
      <c r="F765" s="1"/>
      <c r="G765" s="1"/>
      <c r="H765" s="2"/>
      <c r="Q765" s="3"/>
      <c r="R765" s="3"/>
      <c r="U765" s="4"/>
    </row>
    <row r="766" ht="12.0" customHeight="1">
      <c r="F766" s="1"/>
      <c r="G766" s="1"/>
      <c r="H766" s="2"/>
      <c r="Q766" s="3"/>
      <c r="R766" s="3"/>
      <c r="U766" s="4"/>
    </row>
    <row r="767" ht="12.0" customHeight="1">
      <c r="F767" s="1"/>
      <c r="G767" s="1"/>
      <c r="H767" s="2"/>
      <c r="Q767" s="3"/>
      <c r="R767" s="3"/>
      <c r="U767" s="4"/>
    </row>
    <row r="768" ht="12.0" customHeight="1">
      <c r="F768" s="1"/>
      <c r="G768" s="1"/>
      <c r="H768" s="2"/>
      <c r="Q768" s="3"/>
      <c r="R768" s="3"/>
      <c r="U768" s="4"/>
    </row>
    <row r="769" ht="12.0" customHeight="1">
      <c r="F769" s="1"/>
      <c r="G769" s="1"/>
      <c r="H769" s="2"/>
      <c r="Q769" s="3"/>
      <c r="R769" s="3"/>
      <c r="U769" s="4"/>
    </row>
    <row r="770" ht="12.0" customHeight="1">
      <c r="F770" s="1"/>
      <c r="G770" s="1"/>
      <c r="H770" s="2"/>
      <c r="Q770" s="3"/>
      <c r="R770" s="3"/>
      <c r="U770" s="4"/>
    </row>
    <row r="771" ht="12.0" customHeight="1">
      <c r="F771" s="1"/>
      <c r="G771" s="1"/>
      <c r="H771" s="2"/>
      <c r="Q771" s="3"/>
      <c r="R771" s="3"/>
      <c r="U771" s="4"/>
    </row>
    <row r="772" ht="12.0" customHeight="1">
      <c r="F772" s="1"/>
      <c r="G772" s="1"/>
      <c r="H772" s="2"/>
      <c r="Q772" s="3"/>
      <c r="R772" s="3"/>
      <c r="U772" s="4"/>
    </row>
    <row r="773" ht="12.0" customHeight="1">
      <c r="F773" s="1"/>
      <c r="G773" s="1"/>
      <c r="H773" s="2"/>
      <c r="Q773" s="3"/>
      <c r="R773" s="3"/>
      <c r="U773" s="4"/>
    </row>
    <row r="774" ht="12.0" customHeight="1">
      <c r="F774" s="1"/>
      <c r="G774" s="1"/>
      <c r="H774" s="2"/>
      <c r="Q774" s="3"/>
      <c r="R774" s="3"/>
      <c r="U774" s="4"/>
    </row>
    <row r="775" ht="12.0" customHeight="1">
      <c r="F775" s="1"/>
      <c r="G775" s="1"/>
      <c r="H775" s="2"/>
      <c r="Q775" s="3"/>
      <c r="R775" s="3"/>
      <c r="U775" s="4"/>
    </row>
    <row r="776" ht="12.0" customHeight="1">
      <c r="F776" s="1"/>
      <c r="G776" s="1"/>
      <c r="H776" s="2"/>
      <c r="Q776" s="3"/>
      <c r="R776" s="3"/>
      <c r="U776" s="4"/>
    </row>
    <row r="777" ht="12.0" customHeight="1">
      <c r="F777" s="1"/>
      <c r="G777" s="1"/>
      <c r="H777" s="2"/>
      <c r="Q777" s="3"/>
      <c r="R777" s="3"/>
      <c r="U777" s="4"/>
    </row>
    <row r="778" ht="12.0" customHeight="1">
      <c r="F778" s="1"/>
      <c r="G778" s="1"/>
      <c r="H778" s="2"/>
      <c r="Q778" s="3"/>
      <c r="R778" s="3"/>
      <c r="U778" s="4"/>
    </row>
    <row r="779" ht="12.0" customHeight="1">
      <c r="F779" s="1"/>
      <c r="G779" s="1"/>
      <c r="H779" s="2"/>
      <c r="Q779" s="3"/>
      <c r="R779" s="3"/>
      <c r="U779" s="4"/>
    </row>
    <row r="780" ht="12.0" customHeight="1">
      <c r="F780" s="1"/>
      <c r="G780" s="1"/>
      <c r="H780" s="2"/>
      <c r="Q780" s="3"/>
      <c r="R780" s="3"/>
      <c r="U780" s="4"/>
    </row>
    <row r="781" ht="12.0" customHeight="1">
      <c r="F781" s="1"/>
      <c r="G781" s="1"/>
      <c r="H781" s="2"/>
      <c r="Q781" s="3"/>
      <c r="R781" s="3"/>
      <c r="U781" s="4"/>
    </row>
    <row r="782" ht="12.0" customHeight="1">
      <c r="F782" s="1"/>
      <c r="G782" s="1"/>
      <c r="H782" s="2"/>
      <c r="Q782" s="3"/>
      <c r="R782" s="3"/>
      <c r="U782" s="4"/>
    </row>
    <row r="783" ht="12.0" customHeight="1">
      <c r="F783" s="1"/>
      <c r="G783" s="1"/>
      <c r="H783" s="2"/>
      <c r="Q783" s="3"/>
      <c r="R783" s="3"/>
      <c r="U783" s="4"/>
    </row>
    <row r="784" ht="12.0" customHeight="1">
      <c r="F784" s="1"/>
      <c r="G784" s="1"/>
      <c r="H784" s="2"/>
      <c r="Q784" s="3"/>
      <c r="R784" s="3"/>
      <c r="U784" s="4"/>
    </row>
    <row r="785" ht="12.0" customHeight="1">
      <c r="F785" s="1"/>
      <c r="G785" s="1"/>
      <c r="H785" s="2"/>
      <c r="Q785" s="3"/>
      <c r="R785" s="3"/>
      <c r="U785" s="4"/>
    </row>
    <row r="786" ht="12.0" customHeight="1">
      <c r="F786" s="1"/>
      <c r="G786" s="1"/>
      <c r="H786" s="2"/>
      <c r="Q786" s="3"/>
      <c r="R786" s="3"/>
      <c r="U786" s="4"/>
    </row>
    <row r="787" ht="12.0" customHeight="1">
      <c r="F787" s="1"/>
      <c r="G787" s="1"/>
      <c r="H787" s="2"/>
      <c r="Q787" s="3"/>
      <c r="R787" s="3"/>
      <c r="U787" s="4"/>
    </row>
    <row r="788" ht="12.0" customHeight="1">
      <c r="F788" s="1"/>
      <c r="G788" s="1"/>
      <c r="H788" s="2"/>
      <c r="Q788" s="3"/>
      <c r="R788" s="3"/>
      <c r="U788" s="4"/>
    </row>
    <row r="789" ht="12.0" customHeight="1">
      <c r="F789" s="1"/>
      <c r="G789" s="1"/>
      <c r="H789" s="2"/>
      <c r="Q789" s="3"/>
      <c r="R789" s="3"/>
      <c r="U789" s="4"/>
    </row>
    <row r="790" ht="12.0" customHeight="1">
      <c r="F790" s="1"/>
      <c r="G790" s="1"/>
      <c r="H790" s="2"/>
      <c r="Q790" s="3"/>
      <c r="R790" s="3"/>
      <c r="U790" s="4"/>
    </row>
    <row r="791" ht="12.0" customHeight="1">
      <c r="F791" s="1"/>
      <c r="G791" s="1"/>
      <c r="H791" s="2"/>
      <c r="Q791" s="3"/>
      <c r="R791" s="3"/>
      <c r="U791" s="4"/>
    </row>
    <row r="792" ht="12.0" customHeight="1">
      <c r="F792" s="1"/>
      <c r="G792" s="1"/>
      <c r="H792" s="2"/>
      <c r="Q792" s="3"/>
      <c r="R792" s="3"/>
      <c r="U792" s="4"/>
    </row>
    <row r="793" ht="12.0" customHeight="1">
      <c r="F793" s="1"/>
      <c r="G793" s="1"/>
      <c r="H793" s="2"/>
      <c r="Q793" s="3"/>
      <c r="R793" s="3"/>
      <c r="U793" s="4"/>
    </row>
    <row r="794" ht="12.0" customHeight="1">
      <c r="F794" s="1"/>
      <c r="G794" s="1"/>
      <c r="H794" s="2"/>
      <c r="Q794" s="3"/>
      <c r="R794" s="3"/>
      <c r="U794" s="4"/>
    </row>
    <row r="795" ht="12.0" customHeight="1">
      <c r="F795" s="1"/>
      <c r="G795" s="1"/>
      <c r="H795" s="2"/>
      <c r="Q795" s="3"/>
      <c r="R795" s="3"/>
      <c r="U795" s="4"/>
    </row>
    <row r="796" ht="12.0" customHeight="1">
      <c r="F796" s="1"/>
      <c r="G796" s="1"/>
      <c r="H796" s="2"/>
      <c r="Q796" s="3"/>
      <c r="R796" s="3"/>
      <c r="U796" s="4"/>
    </row>
    <row r="797" ht="12.0" customHeight="1">
      <c r="F797" s="1"/>
      <c r="G797" s="1"/>
      <c r="H797" s="2"/>
      <c r="Q797" s="3"/>
      <c r="R797" s="3"/>
      <c r="U797" s="4"/>
    </row>
    <row r="798" ht="12.0" customHeight="1">
      <c r="F798" s="1"/>
      <c r="G798" s="1"/>
      <c r="H798" s="2"/>
      <c r="Q798" s="3"/>
      <c r="R798" s="3"/>
      <c r="U798" s="4"/>
    </row>
    <row r="799" ht="12.0" customHeight="1">
      <c r="F799" s="1"/>
      <c r="G799" s="1"/>
      <c r="H799" s="2"/>
      <c r="Q799" s="3"/>
      <c r="R799" s="3"/>
      <c r="U799" s="4"/>
    </row>
    <row r="800" ht="12.0" customHeight="1">
      <c r="F800" s="1"/>
      <c r="G800" s="1"/>
      <c r="H800" s="2"/>
      <c r="Q800" s="3"/>
      <c r="R800" s="3"/>
      <c r="U800" s="4"/>
    </row>
    <row r="801" ht="12.0" customHeight="1">
      <c r="F801" s="1"/>
      <c r="G801" s="1"/>
      <c r="H801" s="2"/>
      <c r="Q801" s="3"/>
      <c r="R801" s="3"/>
      <c r="U801" s="4"/>
    </row>
    <row r="802" ht="12.0" customHeight="1">
      <c r="F802" s="1"/>
      <c r="G802" s="1"/>
      <c r="H802" s="2"/>
      <c r="Q802" s="3"/>
      <c r="R802" s="3"/>
      <c r="U802" s="4"/>
    </row>
    <row r="803" ht="12.0" customHeight="1">
      <c r="F803" s="1"/>
      <c r="G803" s="1"/>
      <c r="H803" s="2"/>
      <c r="Q803" s="3"/>
      <c r="R803" s="3"/>
      <c r="U803" s="4"/>
    </row>
    <row r="804" ht="12.0" customHeight="1">
      <c r="F804" s="1"/>
      <c r="G804" s="1"/>
      <c r="H804" s="2"/>
      <c r="Q804" s="3"/>
      <c r="R804" s="3"/>
      <c r="U804" s="4"/>
    </row>
    <row r="805" ht="12.0" customHeight="1">
      <c r="F805" s="1"/>
      <c r="G805" s="1"/>
      <c r="H805" s="2"/>
      <c r="Q805" s="3"/>
      <c r="R805" s="3"/>
      <c r="U805" s="4"/>
    </row>
    <row r="806" ht="12.0" customHeight="1">
      <c r="F806" s="1"/>
      <c r="G806" s="1"/>
      <c r="H806" s="2"/>
      <c r="Q806" s="3"/>
      <c r="R806" s="3"/>
      <c r="U806" s="4"/>
    </row>
    <row r="807" ht="12.0" customHeight="1">
      <c r="F807" s="1"/>
      <c r="G807" s="1"/>
      <c r="H807" s="2"/>
      <c r="Q807" s="3"/>
      <c r="R807" s="3"/>
      <c r="U807" s="4"/>
    </row>
    <row r="808" ht="12.0" customHeight="1">
      <c r="F808" s="1"/>
      <c r="G808" s="1"/>
      <c r="H808" s="2"/>
      <c r="Q808" s="3"/>
      <c r="R808" s="3"/>
      <c r="U808" s="4"/>
    </row>
    <row r="809" ht="12.0" customHeight="1">
      <c r="F809" s="1"/>
      <c r="G809" s="1"/>
      <c r="H809" s="2"/>
      <c r="Q809" s="3"/>
      <c r="R809" s="3"/>
      <c r="U809" s="4"/>
    </row>
    <row r="810" ht="12.0" customHeight="1">
      <c r="F810" s="1"/>
      <c r="G810" s="1"/>
      <c r="H810" s="2"/>
      <c r="Q810" s="3"/>
      <c r="R810" s="3"/>
      <c r="U810" s="4"/>
    </row>
    <row r="811" ht="12.0" customHeight="1">
      <c r="F811" s="1"/>
      <c r="G811" s="1"/>
      <c r="H811" s="2"/>
      <c r="Q811" s="3"/>
      <c r="R811" s="3"/>
      <c r="U811" s="4"/>
    </row>
    <row r="812" ht="12.0" customHeight="1">
      <c r="F812" s="1"/>
      <c r="G812" s="1"/>
      <c r="H812" s="2"/>
      <c r="Q812" s="3"/>
      <c r="R812" s="3"/>
      <c r="U812" s="4"/>
    </row>
    <row r="813" ht="12.0" customHeight="1">
      <c r="F813" s="1"/>
      <c r="G813" s="1"/>
      <c r="H813" s="2"/>
      <c r="Q813" s="3"/>
      <c r="R813" s="3"/>
      <c r="U813" s="4"/>
    </row>
    <row r="814" ht="12.0" customHeight="1">
      <c r="F814" s="1"/>
      <c r="G814" s="1"/>
      <c r="H814" s="2"/>
      <c r="Q814" s="3"/>
      <c r="R814" s="3"/>
      <c r="U814" s="4"/>
    </row>
    <row r="815" ht="12.0" customHeight="1">
      <c r="F815" s="1"/>
      <c r="G815" s="1"/>
      <c r="H815" s="2"/>
      <c r="Q815" s="3"/>
      <c r="R815" s="3"/>
      <c r="U815" s="4"/>
    </row>
    <row r="816" ht="12.0" customHeight="1">
      <c r="F816" s="1"/>
      <c r="G816" s="1"/>
      <c r="H816" s="2"/>
      <c r="Q816" s="3"/>
      <c r="R816" s="3"/>
      <c r="U816" s="4"/>
    </row>
    <row r="817" ht="12.0" customHeight="1">
      <c r="F817" s="1"/>
      <c r="G817" s="1"/>
      <c r="H817" s="2"/>
      <c r="Q817" s="3"/>
      <c r="R817" s="3"/>
      <c r="U817" s="4"/>
    </row>
    <row r="818" ht="12.0" customHeight="1">
      <c r="F818" s="1"/>
      <c r="G818" s="1"/>
      <c r="H818" s="2"/>
      <c r="Q818" s="3"/>
      <c r="R818" s="3"/>
      <c r="U818" s="4"/>
    </row>
    <row r="819" ht="12.0" customHeight="1">
      <c r="F819" s="1"/>
      <c r="G819" s="1"/>
      <c r="H819" s="2"/>
      <c r="Q819" s="3"/>
      <c r="R819" s="3"/>
      <c r="U819" s="4"/>
    </row>
    <row r="820" ht="12.0" customHeight="1">
      <c r="F820" s="1"/>
      <c r="G820" s="1"/>
      <c r="H820" s="2"/>
      <c r="Q820" s="3"/>
      <c r="R820" s="3"/>
      <c r="U820" s="4"/>
    </row>
    <row r="821" ht="12.0" customHeight="1">
      <c r="F821" s="1"/>
      <c r="G821" s="1"/>
      <c r="H821" s="2"/>
      <c r="Q821" s="3"/>
      <c r="R821" s="3"/>
      <c r="U821" s="4"/>
    </row>
    <row r="822" ht="12.0" customHeight="1">
      <c r="F822" s="1"/>
      <c r="G822" s="1"/>
      <c r="H822" s="2"/>
      <c r="Q822" s="3"/>
      <c r="R822" s="3"/>
      <c r="U822" s="4"/>
    </row>
    <row r="823" ht="12.0" customHeight="1">
      <c r="F823" s="1"/>
      <c r="G823" s="1"/>
      <c r="H823" s="2"/>
      <c r="Q823" s="3"/>
      <c r="R823" s="3"/>
      <c r="U823" s="4"/>
    </row>
    <row r="824" ht="12.0" customHeight="1">
      <c r="F824" s="1"/>
      <c r="G824" s="1"/>
      <c r="H824" s="2"/>
      <c r="Q824" s="3"/>
      <c r="R824" s="3"/>
      <c r="U824" s="4"/>
    </row>
    <row r="825" ht="12.0" customHeight="1">
      <c r="F825" s="1"/>
      <c r="G825" s="1"/>
      <c r="H825" s="2"/>
      <c r="Q825" s="3"/>
      <c r="R825" s="3"/>
      <c r="U825" s="4"/>
    </row>
    <row r="826" ht="12.0" customHeight="1">
      <c r="F826" s="1"/>
      <c r="G826" s="1"/>
      <c r="H826" s="2"/>
      <c r="Q826" s="3"/>
      <c r="R826" s="3"/>
      <c r="U826" s="4"/>
    </row>
    <row r="827" ht="12.0" customHeight="1">
      <c r="F827" s="1"/>
      <c r="G827" s="1"/>
      <c r="H827" s="2"/>
      <c r="Q827" s="3"/>
      <c r="R827" s="3"/>
      <c r="U827" s="4"/>
    </row>
    <row r="828" ht="12.0" customHeight="1">
      <c r="F828" s="1"/>
      <c r="G828" s="1"/>
      <c r="H828" s="2"/>
      <c r="Q828" s="3"/>
      <c r="R828" s="3"/>
      <c r="U828" s="4"/>
    </row>
    <row r="829" ht="12.0" customHeight="1">
      <c r="F829" s="1"/>
      <c r="G829" s="1"/>
      <c r="H829" s="2"/>
      <c r="Q829" s="3"/>
      <c r="R829" s="3"/>
      <c r="U829" s="4"/>
    </row>
    <row r="830" ht="12.0" customHeight="1">
      <c r="F830" s="1"/>
      <c r="G830" s="1"/>
      <c r="H830" s="2"/>
      <c r="Q830" s="3"/>
      <c r="R830" s="3"/>
      <c r="U830" s="4"/>
    </row>
    <row r="831" ht="12.0" customHeight="1">
      <c r="F831" s="1"/>
      <c r="G831" s="1"/>
      <c r="H831" s="2"/>
      <c r="Q831" s="3"/>
      <c r="R831" s="3"/>
      <c r="U831" s="4"/>
    </row>
    <row r="832" ht="12.0" customHeight="1">
      <c r="F832" s="1"/>
      <c r="G832" s="1"/>
      <c r="H832" s="2"/>
      <c r="Q832" s="3"/>
      <c r="R832" s="3"/>
      <c r="U832" s="4"/>
    </row>
    <row r="833" ht="12.0" customHeight="1">
      <c r="F833" s="1"/>
      <c r="G833" s="1"/>
      <c r="H833" s="2"/>
      <c r="Q833" s="3"/>
      <c r="R833" s="3"/>
      <c r="U833" s="4"/>
    </row>
    <row r="834" ht="12.0" customHeight="1">
      <c r="F834" s="1"/>
      <c r="G834" s="1"/>
      <c r="H834" s="2"/>
      <c r="Q834" s="3"/>
      <c r="R834" s="3"/>
      <c r="U834" s="4"/>
    </row>
    <row r="835" ht="12.0" customHeight="1">
      <c r="F835" s="1"/>
      <c r="G835" s="1"/>
      <c r="H835" s="2"/>
      <c r="Q835" s="3"/>
      <c r="R835" s="3"/>
      <c r="U835" s="4"/>
    </row>
    <row r="836" ht="12.0" customHeight="1">
      <c r="F836" s="1"/>
      <c r="G836" s="1"/>
      <c r="H836" s="2"/>
      <c r="Q836" s="3"/>
      <c r="R836" s="3"/>
      <c r="U836" s="4"/>
    </row>
    <row r="837" ht="12.0" customHeight="1">
      <c r="F837" s="1"/>
      <c r="G837" s="1"/>
      <c r="H837" s="2"/>
      <c r="Q837" s="3"/>
      <c r="R837" s="3"/>
      <c r="U837" s="4"/>
    </row>
    <row r="838" ht="12.0" customHeight="1">
      <c r="F838" s="1"/>
      <c r="G838" s="1"/>
      <c r="H838" s="2"/>
      <c r="Q838" s="3"/>
      <c r="R838" s="3"/>
      <c r="U838" s="4"/>
    </row>
    <row r="839" ht="12.0" customHeight="1">
      <c r="F839" s="1"/>
      <c r="G839" s="1"/>
      <c r="H839" s="2"/>
      <c r="Q839" s="3"/>
      <c r="R839" s="3"/>
      <c r="U839" s="4"/>
    </row>
    <row r="840" ht="12.0" customHeight="1">
      <c r="F840" s="1"/>
      <c r="G840" s="1"/>
      <c r="H840" s="2"/>
      <c r="Q840" s="3"/>
      <c r="R840" s="3"/>
      <c r="U840" s="4"/>
    </row>
    <row r="841" ht="12.0" customHeight="1">
      <c r="F841" s="1"/>
      <c r="G841" s="1"/>
      <c r="H841" s="2"/>
      <c r="Q841" s="3"/>
      <c r="R841" s="3"/>
      <c r="U841" s="4"/>
    </row>
    <row r="842" ht="12.0" customHeight="1">
      <c r="F842" s="1"/>
      <c r="G842" s="1"/>
      <c r="H842" s="2"/>
      <c r="Q842" s="3"/>
      <c r="R842" s="3"/>
      <c r="U842" s="4"/>
    </row>
    <row r="843" ht="12.0" customHeight="1">
      <c r="F843" s="1"/>
      <c r="G843" s="1"/>
      <c r="H843" s="2"/>
      <c r="Q843" s="3"/>
      <c r="R843" s="3"/>
      <c r="U843" s="4"/>
    </row>
    <row r="844" ht="12.0" customHeight="1">
      <c r="F844" s="1"/>
      <c r="G844" s="1"/>
      <c r="H844" s="2"/>
      <c r="Q844" s="3"/>
      <c r="R844" s="3"/>
      <c r="U844" s="4"/>
    </row>
    <row r="845" ht="12.0" customHeight="1">
      <c r="F845" s="1"/>
      <c r="G845" s="1"/>
      <c r="H845" s="2"/>
      <c r="Q845" s="3"/>
      <c r="R845" s="3"/>
      <c r="U845" s="4"/>
    </row>
    <row r="846" ht="12.0" customHeight="1">
      <c r="F846" s="1"/>
      <c r="G846" s="1"/>
      <c r="H846" s="2"/>
      <c r="Q846" s="3"/>
      <c r="R846" s="3"/>
      <c r="U846" s="4"/>
    </row>
    <row r="847" ht="12.0" customHeight="1">
      <c r="F847" s="1"/>
      <c r="G847" s="1"/>
      <c r="H847" s="2"/>
      <c r="Q847" s="3"/>
      <c r="R847" s="3"/>
      <c r="U847" s="4"/>
    </row>
    <row r="848" ht="12.0" customHeight="1">
      <c r="F848" s="1"/>
      <c r="G848" s="1"/>
      <c r="H848" s="2"/>
      <c r="Q848" s="3"/>
      <c r="R848" s="3"/>
      <c r="U848" s="4"/>
    </row>
    <row r="849" ht="12.0" customHeight="1">
      <c r="F849" s="1"/>
      <c r="G849" s="1"/>
      <c r="H849" s="2"/>
      <c r="Q849" s="3"/>
      <c r="R849" s="3"/>
      <c r="U849" s="4"/>
    </row>
    <row r="850" ht="12.0" customHeight="1">
      <c r="F850" s="1"/>
      <c r="G850" s="1"/>
      <c r="H850" s="2"/>
      <c r="Q850" s="3"/>
      <c r="R850" s="3"/>
      <c r="U850" s="4"/>
    </row>
    <row r="851" ht="12.0" customHeight="1">
      <c r="F851" s="1"/>
      <c r="G851" s="1"/>
      <c r="H851" s="2"/>
      <c r="Q851" s="3"/>
      <c r="R851" s="3"/>
      <c r="U851" s="4"/>
    </row>
    <row r="852" ht="12.0" customHeight="1">
      <c r="F852" s="1"/>
      <c r="G852" s="1"/>
      <c r="H852" s="2"/>
      <c r="Q852" s="3"/>
      <c r="R852" s="3"/>
      <c r="U852" s="4"/>
    </row>
    <row r="853" ht="12.0" customHeight="1">
      <c r="F853" s="1"/>
      <c r="G853" s="1"/>
      <c r="H853" s="2"/>
      <c r="Q853" s="3"/>
      <c r="R853" s="3"/>
      <c r="U853" s="4"/>
    </row>
    <row r="854" ht="12.0" customHeight="1">
      <c r="F854" s="1"/>
      <c r="G854" s="1"/>
      <c r="H854" s="2"/>
      <c r="Q854" s="3"/>
      <c r="R854" s="3"/>
      <c r="U854" s="4"/>
    </row>
    <row r="855" ht="12.0" customHeight="1">
      <c r="F855" s="1"/>
      <c r="G855" s="1"/>
      <c r="H855" s="2"/>
      <c r="Q855" s="3"/>
      <c r="R855" s="3"/>
      <c r="U855" s="4"/>
    </row>
    <row r="856" ht="12.0" customHeight="1">
      <c r="F856" s="1"/>
      <c r="G856" s="1"/>
      <c r="H856" s="2"/>
      <c r="Q856" s="3"/>
      <c r="R856" s="3"/>
      <c r="U856" s="4"/>
    </row>
    <row r="857" ht="12.0" customHeight="1">
      <c r="F857" s="1"/>
      <c r="G857" s="1"/>
      <c r="H857" s="2"/>
      <c r="Q857" s="3"/>
      <c r="R857" s="3"/>
      <c r="U857" s="4"/>
    </row>
    <row r="858" ht="12.0" customHeight="1">
      <c r="F858" s="1"/>
      <c r="G858" s="1"/>
      <c r="H858" s="2"/>
      <c r="Q858" s="3"/>
      <c r="R858" s="3"/>
      <c r="U858" s="4"/>
    </row>
    <row r="859" ht="12.0" customHeight="1">
      <c r="F859" s="1"/>
      <c r="G859" s="1"/>
      <c r="H859" s="2"/>
      <c r="Q859" s="3"/>
      <c r="R859" s="3"/>
      <c r="U859" s="4"/>
    </row>
    <row r="860" ht="12.0" customHeight="1">
      <c r="F860" s="1"/>
      <c r="G860" s="1"/>
      <c r="H860" s="2"/>
      <c r="Q860" s="3"/>
      <c r="R860" s="3"/>
      <c r="U860" s="4"/>
    </row>
    <row r="861" ht="12.0" customHeight="1">
      <c r="F861" s="1"/>
      <c r="G861" s="1"/>
      <c r="H861" s="2"/>
      <c r="Q861" s="3"/>
      <c r="R861" s="3"/>
      <c r="U861" s="4"/>
    </row>
    <row r="862" ht="12.0" customHeight="1">
      <c r="F862" s="1"/>
      <c r="G862" s="1"/>
      <c r="H862" s="2"/>
      <c r="Q862" s="3"/>
      <c r="R862" s="3"/>
      <c r="U862" s="4"/>
    </row>
    <row r="863" ht="12.0" customHeight="1">
      <c r="F863" s="1"/>
      <c r="G863" s="1"/>
      <c r="H863" s="2"/>
      <c r="Q863" s="3"/>
      <c r="R863" s="3"/>
      <c r="U863" s="4"/>
    </row>
    <row r="864" ht="12.0" customHeight="1">
      <c r="F864" s="1"/>
      <c r="G864" s="1"/>
      <c r="H864" s="2"/>
      <c r="Q864" s="3"/>
      <c r="R864" s="3"/>
      <c r="U864" s="4"/>
    </row>
    <row r="865" ht="12.0" customHeight="1">
      <c r="F865" s="1"/>
      <c r="G865" s="1"/>
      <c r="H865" s="2"/>
      <c r="Q865" s="3"/>
      <c r="R865" s="3"/>
      <c r="U865" s="4"/>
    </row>
    <row r="866" ht="12.0" customHeight="1">
      <c r="F866" s="1"/>
      <c r="G866" s="1"/>
      <c r="H866" s="2"/>
      <c r="Q866" s="3"/>
      <c r="R866" s="3"/>
      <c r="U866" s="4"/>
    </row>
    <row r="867" ht="12.0" customHeight="1">
      <c r="F867" s="1"/>
      <c r="G867" s="1"/>
      <c r="H867" s="2"/>
      <c r="Q867" s="3"/>
      <c r="R867" s="3"/>
      <c r="U867" s="4"/>
    </row>
    <row r="868" ht="12.0" customHeight="1">
      <c r="F868" s="1"/>
      <c r="G868" s="1"/>
      <c r="H868" s="2"/>
      <c r="Q868" s="3"/>
      <c r="R868" s="3"/>
      <c r="U868" s="4"/>
    </row>
    <row r="869" ht="12.0" customHeight="1">
      <c r="F869" s="1"/>
      <c r="G869" s="1"/>
      <c r="H869" s="2"/>
      <c r="Q869" s="3"/>
      <c r="R869" s="3"/>
      <c r="U869" s="4"/>
    </row>
    <row r="870" ht="12.0" customHeight="1">
      <c r="F870" s="1"/>
      <c r="G870" s="1"/>
      <c r="H870" s="2"/>
      <c r="Q870" s="3"/>
      <c r="R870" s="3"/>
      <c r="U870" s="4"/>
    </row>
    <row r="871" ht="12.0" customHeight="1">
      <c r="F871" s="1"/>
      <c r="G871" s="1"/>
      <c r="H871" s="2"/>
      <c r="Q871" s="3"/>
      <c r="R871" s="3"/>
      <c r="U871" s="4"/>
    </row>
    <row r="872" ht="12.0" customHeight="1">
      <c r="F872" s="1"/>
      <c r="G872" s="1"/>
      <c r="H872" s="2"/>
      <c r="Q872" s="3"/>
      <c r="R872" s="3"/>
      <c r="U872" s="4"/>
    </row>
    <row r="873" ht="12.0" customHeight="1">
      <c r="F873" s="1"/>
      <c r="G873" s="1"/>
      <c r="H873" s="2"/>
      <c r="Q873" s="3"/>
      <c r="R873" s="3"/>
      <c r="U873" s="4"/>
    </row>
    <row r="874" ht="12.0" customHeight="1">
      <c r="F874" s="1"/>
      <c r="G874" s="1"/>
      <c r="H874" s="2"/>
      <c r="Q874" s="3"/>
      <c r="R874" s="3"/>
      <c r="U874" s="4"/>
    </row>
    <row r="875" ht="12.0" customHeight="1">
      <c r="F875" s="1"/>
      <c r="G875" s="1"/>
      <c r="H875" s="2"/>
      <c r="Q875" s="3"/>
      <c r="R875" s="3"/>
      <c r="U875" s="4"/>
    </row>
    <row r="876" ht="12.0" customHeight="1">
      <c r="F876" s="1"/>
      <c r="G876" s="1"/>
      <c r="H876" s="2"/>
      <c r="Q876" s="3"/>
      <c r="R876" s="3"/>
      <c r="U876" s="4"/>
    </row>
    <row r="877" ht="12.0" customHeight="1">
      <c r="F877" s="1"/>
      <c r="G877" s="1"/>
      <c r="H877" s="2"/>
      <c r="Q877" s="3"/>
      <c r="R877" s="3"/>
      <c r="U877" s="4"/>
    </row>
    <row r="878" ht="12.0" customHeight="1">
      <c r="F878" s="1"/>
      <c r="G878" s="1"/>
      <c r="H878" s="2"/>
      <c r="Q878" s="3"/>
      <c r="R878" s="3"/>
      <c r="U878" s="4"/>
    </row>
    <row r="879" ht="12.0" customHeight="1">
      <c r="F879" s="1"/>
      <c r="G879" s="1"/>
      <c r="H879" s="2"/>
      <c r="Q879" s="3"/>
      <c r="R879" s="3"/>
      <c r="U879" s="4"/>
    </row>
    <row r="880" ht="12.0" customHeight="1">
      <c r="F880" s="1"/>
      <c r="G880" s="1"/>
      <c r="H880" s="2"/>
      <c r="Q880" s="3"/>
      <c r="R880" s="3"/>
      <c r="U880" s="4"/>
    </row>
    <row r="881" ht="12.0" customHeight="1">
      <c r="F881" s="1"/>
      <c r="G881" s="1"/>
      <c r="H881" s="2"/>
      <c r="Q881" s="3"/>
      <c r="R881" s="3"/>
      <c r="U881" s="4"/>
    </row>
    <row r="882" ht="12.0" customHeight="1">
      <c r="F882" s="1"/>
      <c r="G882" s="1"/>
      <c r="H882" s="2"/>
      <c r="Q882" s="3"/>
      <c r="R882" s="3"/>
      <c r="U882" s="4"/>
    </row>
    <row r="883" ht="12.0" customHeight="1">
      <c r="F883" s="1"/>
      <c r="G883" s="1"/>
      <c r="H883" s="2"/>
      <c r="Q883" s="3"/>
      <c r="R883" s="3"/>
      <c r="U883" s="4"/>
    </row>
    <row r="884" ht="12.0" customHeight="1">
      <c r="F884" s="1"/>
      <c r="G884" s="1"/>
      <c r="H884" s="2"/>
      <c r="Q884" s="3"/>
      <c r="R884" s="3"/>
      <c r="U884" s="4"/>
    </row>
    <row r="885" ht="12.0" customHeight="1">
      <c r="F885" s="1"/>
      <c r="G885" s="1"/>
      <c r="H885" s="2"/>
      <c r="Q885" s="3"/>
      <c r="R885" s="3"/>
      <c r="U885" s="4"/>
    </row>
    <row r="886" ht="12.0" customHeight="1">
      <c r="F886" s="1"/>
      <c r="G886" s="1"/>
      <c r="H886" s="2"/>
      <c r="Q886" s="3"/>
      <c r="R886" s="3"/>
      <c r="U886" s="4"/>
    </row>
    <row r="887" ht="12.0" customHeight="1">
      <c r="F887" s="1"/>
      <c r="G887" s="1"/>
      <c r="H887" s="2"/>
      <c r="Q887" s="3"/>
      <c r="R887" s="3"/>
      <c r="U887" s="4"/>
    </row>
    <row r="888" ht="12.0" customHeight="1">
      <c r="F888" s="1"/>
      <c r="G888" s="1"/>
      <c r="H888" s="2"/>
      <c r="Q888" s="3"/>
      <c r="R888" s="3"/>
      <c r="U888" s="4"/>
    </row>
    <row r="889" ht="12.0" customHeight="1">
      <c r="F889" s="1"/>
      <c r="G889" s="1"/>
      <c r="H889" s="2"/>
      <c r="Q889" s="3"/>
      <c r="R889" s="3"/>
      <c r="U889" s="4"/>
    </row>
    <row r="890" ht="12.0" customHeight="1">
      <c r="F890" s="1"/>
      <c r="G890" s="1"/>
      <c r="H890" s="2"/>
      <c r="Q890" s="3"/>
      <c r="R890" s="3"/>
      <c r="U890" s="4"/>
    </row>
    <row r="891" ht="12.0" customHeight="1">
      <c r="F891" s="1"/>
      <c r="G891" s="1"/>
      <c r="H891" s="2"/>
      <c r="Q891" s="3"/>
      <c r="R891" s="3"/>
      <c r="U891" s="4"/>
    </row>
    <row r="892" ht="12.0" customHeight="1">
      <c r="F892" s="1"/>
      <c r="G892" s="1"/>
      <c r="H892" s="2"/>
      <c r="Q892" s="3"/>
      <c r="R892" s="3"/>
      <c r="U892" s="4"/>
    </row>
    <row r="893" ht="12.0" customHeight="1">
      <c r="F893" s="1"/>
      <c r="G893" s="1"/>
      <c r="H893" s="2"/>
      <c r="Q893" s="3"/>
      <c r="R893" s="3"/>
      <c r="U893" s="4"/>
    </row>
    <row r="894" ht="12.0" customHeight="1">
      <c r="F894" s="1"/>
      <c r="G894" s="1"/>
      <c r="H894" s="2"/>
      <c r="Q894" s="3"/>
      <c r="R894" s="3"/>
      <c r="U894" s="4"/>
    </row>
    <row r="895" ht="12.0" customHeight="1">
      <c r="F895" s="1"/>
      <c r="G895" s="1"/>
      <c r="H895" s="2"/>
      <c r="Q895" s="3"/>
      <c r="R895" s="3"/>
      <c r="U895" s="4"/>
    </row>
    <row r="896" ht="12.0" customHeight="1">
      <c r="F896" s="1"/>
      <c r="G896" s="1"/>
      <c r="H896" s="2"/>
      <c r="Q896" s="3"/>
      <c r="R896" s="3"/>
      <c r="U896" s="4"/>
    </row>
    <row r="897" ht="12.0" customHeight="1">
      <c r="F897" s="1"/>
      <c r="G897" s="1"/>
      <c r="H897" s="2"/>
      <c r="Q897" s="3"/>
      <c r="R897" s="3"/>
      <c r="U897" s="4"/>
    </row>
    <row r="898" ht="12.0" customHeight="1">
      <c r="F898" s="1"/>
      <c r="G898" s="1"/>
      <c r="H898" s="2"/>
      <c r="Q898" s="3"/>
      <c r="R898" s="3"/>
      <c r="U898" s="4"/>
    </row>
    <row r="899" ht="12.0" customHeight="1">
      <c r="F899" s="1"/>
      <c r="G899" s="1"/>
      <c r="H899" s="2"/>
      <c r="Q899" s="3"/>
      <c r="R899" s="3"/>
      <c r="U899" s="4"/>
    </row>
    <row r="900" ht="12.0" customHeight="1">
      <c r="F900" s="1"/>
      <c r="G900" s="1"/>
      <c r="H900" s="2"/>
      <c r="Q900" s="3"/>
      <c r="R900" s="3"/>
      <c r="U900" s="4"/>
    </row>
    <row r="901" ht="12.0" customHeight="1">
      <c r="F901" s="1"/>
      <c r="G901" s="1"/>
      <c r="H901" s="2"/>
      <c r="Q901" s="3"/>
      <c r="R901" s="3"/>
      <c r="U901" s="4"/>
    </row>
    <row r="902" ht="12.0" customHeight="1">
      <c r="F902" s="1"/>
      <c r="G902" s="1"/>
      <c r="H902" s="2"/>
      <c r="Q902" s="3"/>
      <c r="R902" s="3"/>
      <c r="U902" s="4"/>
    </row>
    <row r="903" ht="12.0" customHeight="1">
      <c r="F903" s="1"/>
      <c r="G903" s="1"/>
      <c r="H903" s="2"/>
      <c r="Q903" s="3"/>
      <c r="R903" s="3"/>
      <c r="U903" s="4"/>
    </row>
    <row r="904" ht="12.0" customHeight="1">
      <c r="F904" s="1"/>
      <c r="G904" s="1"/>
      <c r="H904" s="2"/>
      <c r="Q904" s="3"/>
      <c r="R904" s="3"/>
      <c r="U904" s="4"/>
    </row>
    <row r="905" ht="12.0" customHeight="1">
      <c r="F905" s="1"/>
      <c r="G905" s="1"/>
      <c r="H905" s="2"/>
      <c r="Q905" s="3"/>
      <c r="R905" s="3"/>
      <c r="U905" s="4"/>
    </row>
    <row r="906" ht="12.0" customHeight="1">
      <c r="F906" s="1"/>
      <c r="G906" s="1"/>
      <c r="H906" s="2"/>
      <c r="Q906" s="3"/>
      <c r="R906" s="3"/>
      <c r="U906" s="4"/>
    </row>
    <row r="907" ht="12.0" customHeight="1">
      <c r="F907" s="1"/>
      <c r="G907" s="1"/>
      <c r="H907" s="2"/>
      <c r="Q907" s="3"/>
      <c r="R907" s="3"/>
      <c r="U907" s="4"/>
    </row>
    <row r="908" ht="12.0" customHeight="1">
      <c r="F908" s="1"/>
      <c r="G908" s="1"/>
      <c r="H908" s="2"/>
      <c r="Q908" s="3"/>
      <c r="R908" s="3"/>
      <c r="U908" s="4"/>
    </row>
    <row r="909" ht="12.0" customHeight="1">
      <c r="F909" s="1"/>
      <c r="G909" s="1"/>
      <c r="H909" s="2"/>
      <c r="Q909" s="3"/>
      <c r="R909" s="3"/>
      <c r="U909" s="4"/>
    </row>
    <row r="910" ht="12.0" customHeight="1">
      <c r="F910" s="1"/>
      <c r="G910" s="1"/>
      <c r="H910" s="2"/>
      <c r="Q910" s="3"/>
      <c r="R910" s="3"/>
      <c r="U910" s="4"/>
    </row>
    <row r="911" ht="12.0" customHeight="1">
      <c r="F911" s="1"/>
      <c r="G911" s="1"/>
      <c r="H911" s="2"/>
      <c r="Q911" s="3"/>
      <c r="R911" s="3"/>
      <c r="U911" s="4"/>
    </row>
    <row r="912" ht="12.0" customHeight="1">
      <c r="F912" s="1"/>
      <c r="G912" s="1"/>
      <c r="H912" s="2"/>
      <c r="Q912" s="3"/>
      <c r="R912" s="3"/>
      <c r="U912" s="4"/>
    </row>
    <row r="913" ht="12.0" customHeight="1">
      <c r="F913" s="1"/>
      <c r="G913" s="1"/>
      <c r="H913" s="2"/>
      <c r="Q913" s="3"/>
      <c r="R913" s="3"/>
      <c r="U913" s="4"/>
    </row>
    <row r="914" ht="12.0" customHeight="1">
      <c r="F914" s="1"/>
      <c r="G914" s="1"/>
      <c r="H914" s="2"/>
      <c r="Q914" s="3"/>
      <c r="R914" s="3"/>
      <c r="U914" s="4"/>
    </row>
    <row r="915" ht="12.0" customHeight="1">
      <c r="F915" s="1"/>
      <c r="G915" s="1"/>
      <c r="H915" s="2"/>
      <c r="Q915" s="3"/>
      <c r="R915" s="3"/>
      <c r="U915" s="4"/>
    </row>
    <row r="916" ht="12.0" customHeight="1">
      <c r="F916" s="1"/>
      <c r="G916" s="1"/>
      <c r="H916" s="2"/>
      <c r="Q916" s="3"/>
      <c r="R916" s="3"/>
      <c r="U916" s="4"/>
    </row>
    <row r="917" ht="12.0" customHeight="1">
      <c r="F917" s="1"/>
      <c r="G917" s="1"/>
      <c r="H917" s="2"/>
      <c r="Q917" s="3"/>
      <c r="R917" s="3"/>
      <c r="U917" s="4"/>
    </row>
    <row r="918" ht="12.0" customHeight="1">
      <c r="F918" s="1"/>
      <c r="G918" s="1"/>
      <c r="H918" s="2"/>
      <c r="Q918" s="3"/>
      <c r="R918" s="3"/>
      <c r="U918" s="4"/>
    </row>
    <row r="919" ht="12.0" customHeight="1">
      <c r="F919" s="1"/>
      <c r="G919" s="1"/>
      <c r="H919" s="2"/>
      <c r="Q919" s="3"/>
      <c r="R919" s="3"/>
      <c r="U919" s="4"/>
    </row>
    <row r="920" ht="12.0" customHeight="1">
      <c r="F920" s="1"/>
      <c r="G920" s="1"/>
      <c r="H920" s="2"/>
      <c r="Q920" s="3"/>
      <c r="R920" s="3"/>
      <c r="U920" s="4"/>
    </row>
    <row r="921" ht="12.0" customHeight="1">
      <c r="F921" s="1"/>
      <c r="G921" s="1"/>
      <c r="H921" s="2"/>
      <c r="Q921" s="3"/>
      <c r="R921" s="3"/>
      <c r="U921" s="4"/>
    </row>
    <row r="922" ht="12.0" customHeight="1">
      <c r="F922" s="1"/>
      <c r="G922" s="1"/>
      <c r="H922" s="2"/>
      <c r="Q922" s="3"/>
      <c r="R922" s="3"/>
      <c r="U922" s="4"/>
    </row>
    <row r="923" ht="12.0" customHeight="1">
      <c r="F923" s="1"/>
      <c r="G923" s="1"/>
      <c r="H923" s="2"/>
      <c r="Q923" s="3"/>
      <c r="R923" s="3"/>
      <c r="U923" s="4"/>
    </row>
    <row r="924" ht="12.0" customHeight="1">
      <c r="F924" s="1"/>
      <c r="G924" s="1"/>
      <c r="H924" s="2"/>
      <c r="Q924" s="3"/>
      <c r="R924" s="3"/>
      <c r="U924" s="4"/>
    </row>
    <row r="925" ht="12.0" customHeight="1">
      <c r="F925" s="1"/>
      <c r="G925" s="1"/>
      <c r="H925" s="2"/>
      <c r="Q925" s="3"/>
      <c r="R925" s="3"/>
      <c r="U925" s="4"/>
    </row>
    <row r="926" ht="12.0" customHeight="1">
      <c r="F926" s="1"/>
      <c r="G926" s="1"/>
      <c r="H926" s="2"/>
      <c r="Q926" s="3"/>
      <c r="R926" s="3"/>
      <c r="U926" s="4"/>
    </row>
    <row r="927" ht="12.0" customHeight="1">
      <c r="F927" s="1"/>
      <c r="G927" s="1"/>
      <c r="H927" s="2"/>
      <c r="Q927" s="3"/>
      <c r="R927" s="3"/>
      <c r="U927" s="4"/>
    </row>
    <row r="928" ht="12.0" customHeight="1">
      <c r="F928" s="1"/>
      <c r="G928" s="1"/>
      <c r="H928" s="2"/>
      <c r="Q928" s="3"/>
      <c r="R928" s="3"/>
      <c r="U928" s="4"/>
    </row>
    <row r="929" ht="12.0" customHeight="1">
      <c r="F929" s="1"/>
      <c r="G929" s="1"/>
      <c r="H929" s="2"/>
      <c r="Q929" s="3"/>
      <c r="R929" s="3"/>
      <c r="U929" s="4"/>
    </row>
    <row r="930" ht="12.0" customHeight="1">
      <c r="F930" s="1"/>
      <c r="G930" s="1"/>
      <c r="H930" s="2"/>
      <c r="Q930" s="3"/>
      <c r="R930" s="3"/>
      <c r="U930" s="4"/>
    </row>
    <row r="931" ht="12.0" customHeight="1">
      <c r="F931" s="1"/>
      <c r="G931" s="1"/>
      <c r="H931" s="2"/>
      <c r="Q931" s="3"/>
      <c r="R931" s="3"/>
      <c r="U931" s="4"/>
    </row>
    <row r="932" ht="12.0" customHeight="1">
      <c r="F932" s="1"/>
      <c r="G932" s="1"/>
      <c r="H932" s="2"/>
      <c r="Q932" s="3"/>
      <c r="R932" s="3"/>
      <c r="U932" s="4"/>
    </row>
    <row r="933" ht="12.0" customHeight="1">
      <c r="F933" s="1"/>
      <c r="G933" s="1"/>
      <c r="H933" s="2"/>
      <c r="Q933" s="3"/>
      <c r="R933" s="3"/>
      <c r="U933" s="4"/>
    </row>
    <row r="934" ht="12.0" customHeight="1">
      <c r="F934" s="1"/>
      <c r="G934" s="1"/>
      <c r="H934" s="2"/>
      <c r="Q934" s="3"/>
      <c r="R934" s="3"/>
      <c r="U934" s="4"/>
    </row>
    <row r="935" ht="12.0" customHeight="1">
      <c r="F935" s="1"/>
      <c r="G935" s="1"/>
      <c r="H935" s="2"/>
      <c r="Q935" s="3"/>
      <c r="R935" s="3"/>
      <c r="U935" s="4"/>
    </row>
    <row r="936" ht="12.0" customHeight="1">
      <c r="F936" s="1"/>
      <c r="G936" s="1"/>
      <c r="H936" s="2"/>
      <c r="Q936" s="3"/>
      <c r="R936" s="3"/>
      <c r="U936" s="4"/>
    </row>
    <row r="937" ht="12.0" customHeight="1">
      <c r="F937" s="1"/>
      <c r="G937" s="1"/>
      <c r="H937" s="2"/>
      <c r="Q937" s="3"/>
      <c r="R937" s="3"/>
      <c r="U937" s="4"/>
    </row>
    <row r="938" ht="12.0" customHeight="1">
      <c r="F938" s="1"/>
      <c r="G938" s="1"/>
      <c r="H938" s="2"/>
      <c r="Q938" s="3"/>
      <c r="R938" s="3"/>
      <c r="U938" s="4"/>
    </row>
    <row r="939" ht="12.0" customHeight="1">
      <c r="F939" s="1"/>
      <c r="G939" s="1"/>
      <c r="H939" s="2"/>
      <c r="Q939" s="3"/>
      <c r="R939" s="3"/>
      <c r="U939" s="4"/>
    </row>
    <row r="940" ht="12.0" customHeight="1">
      <c r="F940" s="1"/>
      <c r="G940" s="1"/>
      <c r="H940" s="2"/>
      <c r="Q940" s="3"/>
      <c r="R940" s="3"/>
      <c r="U940" s="4"/>
    </row>
    <row r="941" ht="12.0" customHeight="1">
      <c r="F941" s="1"/>
      <c r="G941" s="1"/>
      <c r="H941" s="2"/>
      <c r="Q941" s="3"/>
      <c r="R941" s="3"/>
      <c r="U941" s="4"/>
    </row>
    <row r="942" ht="12.0" customHeight="1">
      <c r="F942" s="1"/>
      <c r="G942" s="1"/>
      <c r="H942" s="2"/>
      <c r="Q942" s="3"/>
      <c r="R942" s="3"/>
      <c r="U942" s="4"/>
    </row>
    <row r="943" ht="12.0" customHeight="1">
      <c r="F943" s="1"/>
      <c r="G943" s="1"/>
      <c r="H943" s="2"/>
      <c r="Q943" s="3"/>
      <c r="R943" s="3"/>
      <c r="U943" s="4"/>
    </row>
    <row r="944" ht="12.0" customHeight="1">
      <c r="F944" s="1"/>
      <c r="G944" s="1"/>
      <c r="H944" s="2"/>
      <c r="Q944" s="3"/>
      <c r="R944" s="3"/>
      <c r="U944" s="4"/>
    </row>
    <row r="945" ht="12.0" customHeight="1">
      <c r="F945" s="1"/>
      <c r="G945" s="1"/>
      <c r="H945" s="2"/>
      <c r="Q945" s="3"/>
      <c r="R945" s="3"/>
      <c r="U945" s="4"/>
    </row>
    <row r="946" ht="12.0" customHeight="1">
      <c r="F946" s="1"/>
      <c r="G946" s="1"/>
      <c r="H946" s="2"/>
      <c r="Q946" s="3"/>
      <c r="R946" s="3"/>
      <c r="U946" s="4"/>
    </row>
    <row r="947" ht="12.0" customHeight="1">
      <c r="F947" s="1"/>
      <c r="G947" s="1"/>
      <c r="H947" s="2"/>
      <c r="Q947" s="3"/>
      <c r="R947" s="3"/>
      <c r="U947" s="4"/>
    </row>
    <row r="948" ht="12.0" customHeight="1">
      <c r="F948" s="1"/>
      <c r="G948" s="1"/>
      <c r="H948" s="2"/>
      <c r="Q948" s="3"/>
      <c r="R948" s="3"/>
      <c r="U948" s="4"/>
    </row>
    <row r="949" ht="12.0" customHeight="1">
      <c r="F949" s="1"/>
      <c r="G949" s="1"/>
      <c r="H949" s="2"/>
      <c r="Q949" s="3"/>
      <c r="R949" s="3"/>
      <c r="U949" s="4"/>
    </row>
    <row r="950" ht="12.0" customHeight="1">
      <c r="F950" s="1"/>
      <c r="G950" s="1"/>
      <c r="H950" s="2"/>
      <c r="Q950" s="3"/>
      <c r="R950" s="3"/>
      <c r="U950" s="4"/>
    </row>
    <row r="951" ht="12.0" customHeight="1">
      <c r="F951" s="1"/>
      <c r="G951" s="1"/>
      <c r="H951" s="2"/>
      <c r="Q951" s="3"/>
      <c r="R951" s="3"/>
      <c r="U951" s="4"/>
    </row>
    <row r="952" ht="12.0" customHeight="1">
      <c r="F952" s="1"/>
      <c r="G952" s="1"/>
      <c r="H952" s="2"/>
      <c r="Q952" s="3"/>
      <c r="R952" s="3"/>
      <c r="U952" s="4"/>
    </row>
    <row r="953" ht="12.0" customHeight="1">
      <c r="F953" s="1"/>
      <c r="G953" s="1"/>
      <c r="H953" s="2"/>
      <c r="Q953" s="3"/>
      <c r="R953" s="3"/>
      <c r="U953" s="4"/>
    </row>
    <row r="954" ht="12.0" customHeight="1">
      <c r="F954" s="1"/>
      <c r="G954" s="1"/>
      <c r="H954" s="2"/>
      <c r="Q954" s="3"/>
      <c r="R954" s="3"/>
      <c r="U954" s="4"/>
    </row>
    <row r="955" ht="12.0" customHeight="1">
      <c r="F955" s="1"/>
      <c r="G955" s="1"/>
      <c r="H955" s="2"/>
      <c r="Q955" s="3"/>
      <c r="R955" s="3"/>
      <c r="U955" s="4"/>
    </row>
    <row r="956" ht="12.0" customHeight="1">
      <c r="F956" s="1"/>
      <c r="G956" s="1"/>
      <c r="H956" s="2"/>
      <c r="Q956" s="3"/>
      <c r="R956" s="3"/>
      <c r="U956" s="4"/>
    </row>
    <row r="957" ht="12.0" customHeight="1">
      <c r="F957" s="1"/>
      <c r="G957" s="1"/>
      <c r="H957" s="2"/>
      <c r="Q957" s="3"/>
      <c r="R957" s="3"/>
      <c r="U957" s="4"/>
    </row>
    <row r="958" ht="12.0" customHeight="1">
      <c r="F958" s="1"/>
      <c r="G958" s="1"/>
      <c r="H958" s="2"/>
      <c r="Q958" s="3"/>
      <c r="R958" s="3"/>
      <c r="U958" s="4"/>
    </row>
    <row r="959" ht="12.0" customHeight="1">
      <c r="F959" s="1"/>
      <c r="G959" s="1"/>
      <c r="H959" s="2"/>
      <c r="Q959" s="3"/>
      <c r="R959" s="3"/>
      <c r="U959" s="4"/>
    </row>
    <row r="960" ht="12.0" customHeight="1">
      <c r="F960" s="1"/>
      <c r="G960" s="1"/>
      <c r="H960" s="2"/>
      <c r="Q960" s="3"/>
      <c r="R960" s="3"/>
      <c r="U960" s="4"/>
    </row>
    <row r="961" ht="12.0" customHeight="1">
      <c r="F961" s="1"/>
      <c r="G961" s="1"/>
      <c r="H961" s="2"/>
      <c r="Q961" s="3"/>
      <c r="R961" s="3"/>
      <c r="U961" s="4"/>
    </row>
    <row r="962" ht="12.0" customHeight="1">
      <c r="F962" s="1"/>
      <c r="G962" s="1"/>
      <c r="H962" s="2"/>
      <c r="Q962" s="3"/>
      <c r="R962" s="3"/>
      <c r="U962" s="4"/>
    </row>
    <row r="963" ht="12.0" customHeight="1">
      <c r="F963" s="1"/>
      <c r="G963" s="1"/>
      <c r="H963" s="2"/>
      <c r="Q963" s="3"/>
      <c r="R963" s="3"/>
      <c r="U963" s="4"/>
    </row>
    <row r="964" ht="12.0" customHeight="1">
      <c r="F964" s="1"/>
      <c r="G964" s="1"/>
      <c r="H964" s="2"/>
      <c r="Q964" s="3"/>
      <c r="R964" s="3"/>
      <c r="U964" s="4"/>
    </row>
    <row r="965" ht="12.0" customHeight="1">
      <c r="F965" s="1"/>
      <c r="G965" s="1"/>
      <c r="H965" s="2"/>
      <c r="Q965" s="3"/>
      <c r="R965" s="3"/>
      <c r="U965" s="4"/>
    </row>
    <row r="966" ht="12.0" customHeight="1">
      <c r="F966" s="1"/>
      <c r="G966" s="1"/>
      <c r="H966" s="2"/>
      <c r="Q966" s="3"/>
      <c r="R966" s="3"/>
      <c r="U966" s="4"/>
    </row>
    <row r="967" ht="12.0" customHeight="1">
      <c r="F967" s="1"/>
      <c r="G967" s="1"/>
      <c r="H967" s="2"/>
      <c r="Q967" s="3"/>
      <c r="R967" s="3"/>
      <c r="U967" s="4"/>
    </row>
    <row r="968" ht="12.0" customHeight="1">
      <c r="F968" s="1"/>
      <c r="G968" s="1"/>
      <c r="H968" s="2"/>
      <c r="Q968" s="3"/>
      <c r="R968" s="3"/>
      <c r="U968" s="4"/>
    </row>
    <row r="969" ht="12.0" customHeight="1">
      <c r="F969" s="1"/>
      <c r="G969" s="1"/>
      <c r="H969" s="2"/>
      <c r="Q969" s="3"/>
      <c r="R969" s="3"/>
      <c r="U969" s="4"/>
    </row>
    <row r="970" ht="12.0" customHeight="1">
      <c r="F970" s="1"/>
      <c r="G970" s="1"/>
      <c r="H970" s="2"/>
      <c r="Q970" s="3"/>
      <c r="R970" s="3"/>
      <c r="U970" s="4"/>
    </row>
    <row r="971" ht="12.0" customHeight="1">
      <c r="F971" s="1"/>
      <c r="G971" s="1"/>
      <c r="H971" s="2"/>
      <c r="Q971" s="3"/>
      <c r="R971" s="3"/>
      <c r="U971" s="4"/>
    </row>
    <row r="972" ht="12.0" customHeight="1">
      <c r="F972" s="1"/>
      <c r="G972" s="1"/>
      <c r="H972" s="2"/>
      <c r="Q972" s="3"/>
      <c r="R972" s="3"/>
      <c r="U972" s="4"/>
    </row>
    <row r="973" ht="12.0" customHeight="1">
      <c r="F973" s="1"/>
      <c r="G973" s="1"/>
      <c r="H973" s="2"/>
      <c r="Q973" s="3"/>
      <c r="R973" s="3"/>
      <c r="U973" s="4"/>
    </row>
    <row r="974" ht="12.0" customHeight="1">
      <c r="F974" s="1"/>
      <c r="G974" s="1"/>
      <c r="H974" s="2"/>
      <c r="Q974" s="3"/>
      <c r="R974" s="3"/>
      <c r="U974" s="4"/>
    </row>
    <row r="975" ht="12.0" customHeight="1">
      <c r="F975" s="1"/>
      <c r="G975" s="1"/>
      <c r="H975" s="2"/>
      <c r="Q975" s="3"/>
      <c r="R975" s="3"/>
      <c r="U975" s="4"/>
    </row>
    <row r="976" ht="12.0" customHeight="1">
      <c r="F976" s="1"/>
      <c r="G976" s="1"/>
      <c r="H976" s="2"/>
      <c r="Q976" s="3"/>
      <c r="R976" s="3"/>
      <c r="U976" s="4"/>
    </row>
    <row r="977" ht="12.0" customHeight="1">
      <c r="F977" s="1"/>
      <c r="G977" s="1"/>
      <c r="H977" s="2"/>
      <c r="Q977" s="3"/>
      <c r="R977" s="3"/>
      <c r="U977" s="4"/>
    </row>
    <row r="978" ht="12.0" customHeight="1">
      <c r="F978" s="1"/>
      <c r="G978" s="1"/>
      <c r="H978" s="2"/>
      <c r="Q978" s="3"/>
      <c r="R978" s="3"/>
      <c r="U978" s="4"/>
    </row>
    <row r="979" ht="12.0" customHeight="1">
      <c r="F979" s="1"/>
      <c r="G979" s="1"/>
      <c r="H979" s="2"/>
      <c r="Q979" s="3"/>
      <c r="R979" s="3"/>
      <c r="U979" s="4"/>
    </row>
    <row r="980" ht="12.0" customHeight="1">
      <c r="F980" s="1"/>
      <c r="G980" s="1"/>
      <c r="H980" s="2"/>
      <c r="Q980" s="3"/>
      <c r="R980" s="3"/>
      <c r="U980" s="4"/>
    </row>
    <row r="981" ht="12.0" customHeight="1">
      <c r="F981" s="1"/>
      <c r="G981" s="1"/>
      <c r="H981" s="2"/>
      <c r="Q981" s="3"/>
      <c r="R981" s="3"/>
      <c r="U981" s="4"/>
    </row>
    <row r="982" ht="12.0" customHeight="1">
      <c r="F982" s="1"/>
      <c r="G982" s="1"/>
      <c r="H982" s="2"/>
      <c r="Q982" s="3"/>
      <c r="R982" s="3"/>
      <c r="U982" s="4"/>
    </row>
    <row r="983" ht="12.0" customHeight="1">
      <c r="F983" s="1"/>
      <c r="G983" s="1"/>
      <c r="H983" s="2"/>
      <c r="Q983" s="3"/>
      <c r="R983" s="3"/>
      <c r="U983" s="4"/>
    </row>
    <row r="984" ht="12.0" customHeight="1">
      <c r="F984" s="1"/>
      <c r="G984" s="1"/>
      <c r="H984" s="2"/>
      <c r="Q984" s="3"/>
      <c r="R984" s="3"/>
      <c r="U984" s="4"/>
    </row>
    <row r="985" ht="12.0" customHeight="1">
      <c r="F985" s="1"/>
      <c r="G985" s="1"/>
      <c r="H985" s="2"/>
      <c r="Q985" s="3"/>
      <c r="R985" s="3"/>
      <c r="U985" s="4"/>
    </row>
    <row r="986" ht="12.0" customHeight="1">
      <c r="F986" s="1"/>
      <c r="G986" s="1"/>
      <c r="H986" s="2"/>
      <c r="Q986" s="3"/>
      <c r="R986" s="3"/>
      <c r="U986" s="4"/>
    </row>
    <row r="987" ht="12.0" customHeight="1">
      <c r="F987" s="1"/>
      <c r="G987" s="1"/>
      <c r="H987" s="2"/>
      <c r="Q987" s="3"/>
      <c r="R987" s="3"/>
      <c r="U987" s="4"/>
    </row>
    <row r="988" ht="12.0" customHeight="1">
      <c r="F988" s="1"/>
      <c r="G988" s="1"/>
      <c r="H988" s="2"/>
      <c r="Q988" s="3"/>
      <c r="R988" s="3"/>
      <c r="U988" s="4"/>
    </row>
    <row r="989" ht="12.0" customHeight="1">
      <c r="F989" s="1"/>
      <c r="G989" s="1"/>
      <c r="H989" s="2"/>
      <c r="Q989" s="3"/>
      <c r="R989" s="3"/>
      <c r="U989" s="4"/>
    </row>
    <row r="990" ht="12.0" customHeight="1">
      <c r="F990" s="1"/>
      <c r="G990" s="1"/>
      <c r="H990" s="2"/>
      <c r="Q990" s="3"/>
      <c r="R990" s="3"/>
      <c r="U990" s="4"/>
    </row>
    <row r="991" ht="12.0" customHeight="1">
      <c r="F991" s="1"/>
      <c r="G991" s="1"/>
      <c r="H991" s="2"/>
      <c r="Q991" s="3"/>
      <c r="R991" s="3"/>
      <c r="U991" s="4"/>
    </row>
    <row r="992" ht="12.0" customHeight="1">
      <c r="F992" s="1"/>
      <c r="G992" s="1"/>
      <c r="H992" s="2"/>
      <c r="Q992" s="3"/>
      <c r="R992" s="3"/>
      <c r="U992" s="4"/>
    </row>
    <row r="993" ht="12.0" customHeight="1">
      <c r="F993" s="1"/>
      <c r="G993" s="1"/>
      <c r="H993" s="2"/>
      <c r="Q993" s="3"/>
      <c r="R993" s="3"/>
      <c r="U993" s="4"/>
    </row>
    <row r="994" ht="12.0" customHeight="1">
      <c r="F994" s="1"/>
      <c r="G994" s="1"/>
      <c r="H994" s="2"/>
      <c r="Q994" s="3"/>
      <c r="R994" s="3"/>
      <c r="U994" s="4"/>
    </row>
    <row r="995" ht="12.0" customHeight="1">
      <c r="F995" s="1"/>
      <c r="G995" s="1"/>
      <c r="H995" s="2"/>
      <c r="Q995" s="3"/>
      <c r="R995" s="3"/>
      <c r="U995" s="4"/>
    </row>
    <row r="996" ht="12.0" customHeight="1">
      <c r="F996" s="1"/>
      <c r="G996" s="1"/>
      <c r="H996" s="2"/>
      <c r="Q996" s="3"/>
      <c r="R996" s="3"/>
      <c r="U996" s="4"/>
    </row>
    <row r="997" ht="12.0" customHeight="1">
      <c r="F997" s="1"/>
      <c r="G997" s="1"/>
      <c r="H997" s="2"/>
      <c r="Q997" s="3"/>
      <c r="R997" s="3"/>
      <c r="U997" s="4"/>
    </row>
    <row r="998" ht="12.0" customHeight="1">
      <c r="F998" s="1"/>
      <c r="G998" s="1"/>
      <c r="H998" s="2"/>
      <c r="Q998" s="3"/>
      <c r="R998" s="3"/>
      <c r="U998" s="4"/>
    </row>
    <row r="999" ht="12.0" customHeight="1">
      <c r="F999" s="1"/>
      <c r="G999" s="1"/>
      <c r="H999" s="2"/>
      <c r="Q999" s="3"/>
      <c r="R999" s="3"/>
      <c r="U999" s="4"/>
    </row>
    <row r="1000" ht="12.0" customHeight="1">
      <c r="F1000" s="1"/>
      <c r="G1000" s="1"/>
      <c r="H1000" s="2"/>
      <c r="Q1000" s="3"/>
      <c r="R1000" s="3"/>
      <c r="U1000" s="4"/>
    </row>
  </sheetData>
  <conditionalFormatting sqref="Q4 Q6">
    <cfRule type="expression" dxfId="0" priority="1">
      <formula>#REF!&lt;$R$10</formula>
    </cfRule>
  </conditionalFormatting>
  <conditionalFormatting sqref="Q5">
    <cfRule type="expression" dxfId="0" priority="2">
      <formula>#REF!&lt;$R$10</formula>
    </cfRule>
  </conditionalFormatting>
  <conditionalFormatting sqref="Q11:Q27">
    <cfRule type="expression" dxfId="0" priority="3">
      <formula>#REF!&lt;$R$10</formula>
    </cfRule>
  </conditionalFormatting>
  <conditionalFormatting sqref="Q33:Q40">
    <cfRule type="expression" dxfId="0" priority="4">
      <formula>#REF!&lt;$R$10</formula>
    </cfRule>
  </conditionalFormatting>
  <conditionalFormatting sqref="Q42:Q43">
    <cfRule type="expression" dxfId="0" priority="5">
      <formula>#REF!&lt;$R$10</formula>
    </cfRule>
  </conditionalFormatting>
  <printOptions horizontalCentered="1" verticalCentered="1"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14"/>
    <col customWidth="1" min="2" max="2" width="11.14"/>
    <col customWidth="1" min="3" max="3" width="8.43"/>
    <col customWidth="1" min="4" max="4" width="9.43"/>
    <col customWidth="1" min="5" max="5" width="7.86"/>
    <col customWidth="1" min="6" max="6" width="10.14"/>
    <col customWidth="1" min="7" max="7" width="16.43"/>
    <col customWidth="1" min="8" max="8" width="10.14"/>
    <col customWidth="1" min="9" max="9" width="13.14"/>
    <col customWidth="1" min="10" max="10" width="12.57"/>
    <col customWidth="1" min="11" max="11" width="67.86"/>
    <col customWidth="1" min="12" max="13" width="11.14"/>
    <col customWidth="1" min="14" max="26" width="9.14"/>
  </cols>
  <sheetData>
    <row r="1" ht="12.0" customHeight="1">
      <c r="A1" s="25"/>
      <c r="B1" s="118" t="s">
        <v>111</v>
      </c>
      <c r="C1" s="119" t="s">
        <v>112</v>
      </c>
      <c r="D1" s="120" t="s">
        <v>113</v>
      </c>
      <c r="E1" s="120" t="s">
        <v>114</v>
      </c>
      <c r="F1" s="121" t="s">
        <v>115</v>
      </c>
      <c r="G1" s="122" t="s">
        <v>116</v>
      </c>
      <c r="H1" s="121" t="s">
        <v>117</v>
      </c>
      <c r="I1" s="123" t="s">
        <v>5</v>
      </c>
      <c r="J1" s="124" t="s">
        <v>118</v>
      </c>
      <c r="K1" s="125" t="s">
        <v>8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2.0" customHeight="1">
      <c r="A2" s="25"/>
      <c r="B2" s="126">
        <v>44651.0</v>
      </c>
      <c r="C2" s="127">
        <f t="shared" ref="C2:C1193" si="1">DATE(YEAR(B2),MONTH(B2),1)</f>
        <v>44621</v>
      </c>
      <c r="D2" s="128">
        <f t="shared" ref="D2:D1193" si="2">IF(B2="","",B2)</f>
        <v>44651</v>
      </c>
      <c r="E2" s="129">
        <f t="shared" ref="E2:E1193" si="3">WEEKNUM(B2)</f>
        <v>14</v>
      </c>
      <c r="F2" s="130" t="s">
        <v>119</v>
      </c>
      <c r="G2" s="131" t="s">
        <v>120</v>
      </c>
      <c r="H2" s="130" t="s">
        <v>121</v>
      </c>
      <c r="I2" s="132">
        <v>6200000.0</v>
      </c>
      <c r="J2" s="133" t="s">
        <v>122</v>
      </c>
      <c r="K2" s="134" t="s">
        <v>123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2.0" customHeight="1">
      <c r="A3" s="25"/>
      <c r="B3" s="126">
        <v>44578.0</v>
      </c>
      <c r="C3" s="127">
        <f t="shared" si="1"/>
        <v>44562</v>
      </c>
      <c r="D3" s="128">
        <f t="shared" si="2"/>
        <v>44578</v>
      </c>
      <c r="E3" s="129">
        <f t="shared" si="3"/>
        <v>4</v>
      </c>
      <c r="F3" s="130" t="s">
        <v>119</v>
      </c>
      <c r="G3" s="131" t="s">
        <v>120</v>
      </c>
      <c r="H3" s="130" t="s">
        <v>121</v>
      </c>
      <c r="I3" s="132">
        <v>3700000.0</v>
      </c>
      <c r="J3" s="133" t="s">
        <v>122</v>
      </c>
      <c r="K3" s="134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2.0" customHeight="1">
      <c r="A4" s="25"/>
      <c r="B4" s="126">
        <v>44732.0</v>
      </c>
      <c r="C4" s="127">
        <f t="shared" si="1"/>
        <v>44713</v>
      </c>
      <c r="D4" s="128">
        <f t="shared" si="2"/>
        <v>44732</v>
      </c>
      <c r="E4" s="129">
        <f t="shared" si="3"/>
        <v>26</v>
      </c>
      <c r="F4" s="130" t="s">
        <v>119</v>
      </c>
      <c r="G4" s="131" t="s">
        <v>120</v>
      </c>
      <c r="H4" s="130" t="s">
        <v>121</v>
      </c>
      <c r="I4" s="132">
        <v>3000000.0</v>
      </c>
      <c r="J4" s="133" t="s">
        <v>122</v>
      </c>
      <c r="K4" s="134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0" customHeight="1">
      <c r="A5" s="25"/>
      <c r="B5" s="126">
        <v>44715.0</v>
      </c>
      <c r="C5" s="127">
        <f t="shared" si="1"/>
        <v>44713</v>
      </c>
      <c r="D5" s="128">
        <f t="shared" si="2"/>
        <v>44715</v>
      </c>
      <c r="E5" s="129">
        <f t="shared" si="3"/>
        <v>23</v>
      </c>
      <c r="F5" s="130" t="s">
        <v>119</v>
      </c>
      <c r="G5" s="131" t="s">
        <v>120</v>
      </c>
      <c r="H5" s="130" t="s">
        <v>121</v>
      </c>
      <c r="I5" s="132">
        <v>2800000.0</v>
      </c>
      <c r="J5" s="133" t="s">
        <v>122</v>
      </c>
      <c r="K5" s="134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0" customHeight="1">
      <c r="A6" s="25"/>
      <c r="B6" s="126">
        <v>44744.0</v>
      </c>
      <c r="C6" s="127">
        <f t="shared" si="1"/>
        <v>44743</v>
      </c>
      <c r="D6" s="128">
        <f t="shared" si="2"/>
        <v>44744</v>
      </c>
      <c r="E6" s="129">
        <f t="shared" si="3"/>
        <v>27</v>
      </c>
      <c r="F6" s="130" t="s">
        <v>119</v>
      </c>
      <c r="G6" s="131" t="s">
        <v>120</v>
      </c>
      <c r="H6" s="130" t="s">
        <v>121</v>
      </c>
      <c r="I6" s="132">
        <v>2400000.0</v>
      </c>
      <c r="J6" s="133" t="s">
        <v>122</v>
      </c>
      <c r="K6" s="134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0" customHeight="1">
      <c r="A7" s="25"/>
      <c r="B7" s="126">
        <v>44682.0</v>
      </c>
      <c r="C7" s="127">
        <f t="shared" si="1"/>
        <v>44682</v>
      </c>
      <c r="D7" s="128">
        <f t="shared" si="2"/>
        <v>44682</v>
      </c>
      <c r="E7" s="129">
        <f t="shared" si="3"/>
        <v>19</v>
      </c>
      <c r="F7" s="130" t="s">
        <v>119</v>
      </c>
      <c r="G7" s="131" t="s">
        <v>120</v>
      </c>
      <c r="H7" s="130" t="s">
        <v>121</v>
      </c>
      <c r="I7" s="132">
        <v>2350000.0</v>
      </c>
      <c r="J7" s="133" t="s">
        <v>122</v>
      </c>
      <c r="K7" s="134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0" customHeight="1">
      <c r="A8" s="25"/>
      <c r="B8" s="126">
        <v>44620.0</v>
      </c>
      <c r="C8" s="127">
        <f t="shared" si="1"/>
        <v>44593</v>
      </c>
      <c r="D8" s="128">
        <f t="shared" si="2"/>
        <v>44620</v>
      </c>
      <c r="E8" s="129">
        <f t="shared" si="3"/>
        <v>10</v>
      </c>
      <c r="F8" s="130" t="s">
        <v>119</v>
      </c>
      <c r="G8" s="131" t="s">
        <v>120</v>
      </c>
      <c r="H8" s="130" t="s">
        <v>121</v>
      </c>
      <c r="I8" s="132">
        <v>2200000.0</v>
      </c>
      <c r="J8" s="133" t="s">
        <v>122</v>
      </c>
      <c r="K8" s="134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0" customHeight="1">
      <c r="A9" s="25"/>
      <c r="B9" s="126">
        <v>44614.0</v>
      </c>
      <c r="C9" s="127">
        <f t="shared" si="1"/>
        <v>44593</v>
      </c>
      <c r="D9" s="128">
        <f t="shared" si="2"/>
        <v>44614</v>
      </c>
      <c r="E9" s="129">
        <f t="shared" si="3"/>
        <v>9</v>
      </c>
      <c r="F9" s="130" t="s">
        <v>24</v>
      </c>
      <c r="G9" s="131" t="s">
        <v>59</v>
      </c>
      <c r="H9" s="130" t="s">
        <v>124</v>
      </c>
      <c r="I9" s="132">
        <v>2040000.0</v>
      </c>
      <c r="J9" s="133" t="s">
        <v>125</v>
      </c>
      <c r="K9" s="134" t="s">
        <v>126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0" customHeight="1">
      <c r="A10" s="25"/>
      <c r="B10" s="126">
        <v>44562.0</v>
      </c>
      <c r="C10" s="127">
        <f t="shared" si="1"/>
        <v>44562</v>
      </c>
      <c r="D10" s="128">
        <f t="shared" si="2"/>
        <v>44562</v>
      </c>
      <c r="E10" s="129">
        <f t="shared" si="3"/>
        <v>1</v>
      </c>
      <c r="F10" s="130" t="s">
        <v>119</v>
      </c>
      <c r="G10" s="131" t="s">
        <v>120</v>
      </c>
      <c r="H10" s="130" t="s">
        <v>121</v>
      </c>
      <c r="I10" s="132">
        <v>2000000.0</v>
      </c>
      <c r="J10" s="133" t="s">
        <v>122</v>
      </c>
      <c r="K10" s="134" t="s">
        <v>123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0" customHeight="1">
      <c r="A11" s="25"/>
      <c r="B11" s="126">
        <v>44589.0</v>
      </c>
      <c r="C11" s="127">
        <f t="shared" si="1"/>
        <v>44562</v>
      </c>
      <c r="D11" s="128">
        <f t="shared" si="2"/>
        <v>44589</v>
      </c>
      <c r="E11" s="129">
        <f t="shared" si="3"/>
        <v>5</v>
      </c>
      <c r="F11" s="130" t="s">
        <v>119</v>
      </c>
      <c r="G11" s="131" t="s">
        <v>120</v>
      </c>
      <c r="H11" s="130" t="s">
        <v>121</v>
      </c>
      <c r="I11" s="132">
        <v>1800000.0</v>
      </c>
      <c r="J11" s="133" t="s">
        <v>122</v>
      </c>
      <c r="K11" s="134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0" customHeight="1">
      <c r="A12" s="25"/>
      <c r="B12" s="126">
        <v>44795.0</v>
      </c>
      <c r="C12" s="127">
        <f t="shared" si="1"/>
        <v>44774</v>
      </c>
      <c r="D12" s="128">
        <f t="shared" si="2"/>
        <v>44795</v>
      </c>
      <c r="E12" s="129">
        <f t="shared" si="3"/>
        <v>35</v>
      </c>
      <c r="F12" s="130" t="s">
        <v>119</v>
      </c>
      <c r="G12" s="131" t="s">
        <v>120</v>
      </c>
      <c r="H12" s="130" t="s">
        <v>121</v>
      </c>
      <c r="I12" s="132">
        <v>1750014.0</v>
      </c>
      <c r="J12" s="133" t="s">
        <v>122</v>
      </c>
      <c r="K12" s="13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0" customHeight="1">
      <c r="A13" s="25"/>
      <c r="B13" s="126">
        <v>44818.0</v>
      </c>
      <c r="C13" s="127">
        <f t="shared" si="1"/>
        <v>44805</v>
      </c>
      <c r="D13" s="128">
        <f t="shared" si="2"/>
        <v>44818</v>
      </c>
      <c r="E13" s="129">
        <f t="shared" si="3"/>
        <v>38</v>
      </c>
      <c r="F13" s="130" t="s">
        <v>24</v>
      </c>
      <c r="G13" s="131" t="s">
        <v>59</v>
      </c>
      <c r="H13" s="130" t="s">
        <v>124</v>
      </c>
      <c r="I13" s="132">
        <v>1580000.0</v>
      </c>
      <c r="J13" s="133" t="s">
        <v>125</v>
      </c>
      <c r="K13" s="134" t="s">
        <v>126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0" customHeight="1">
      <c r="A14" s="25"/>
      <c r="B14" s="126">
        <v>44666.0</v>
      </c>
      <c r="C14" s="127">
        <f t="shared" si="1"/>
        <v>44652</v>
      </c>
      <c r="D14" s="128">
        <f t="shared" si="2"/>
        <v>44666</v>
      </c>
      <c r="E14" s="129">
        <f t="shared" si="3"/>
        <v>16</v>
      </c>
      <c r="F14" s="130" t="s">
        <v>119</v>
      </c>
      <c r="G14" s="131" t="s">
        <v>120</v>
      </c>
      <c r="H14" s="130" t="s">
        <v>121</v>
      </c>
      <c r="I14" s="132">
        <v>1500000.0</v>
      </c>
      <c r="J14" s="133" t="s">
        <v>122</v>
      </c>
      <c r="K14" s="134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0" customHeight="1">
      <c r="A15" s="25"/>
      <c r="B15" s="126">
        <v>44843.0</v>
      </c>
      <c r="C15" s="127">
        <f t="shared" si="1"/>
        <v>44835</v>
      </c>
      <c r="D15" s="128">
        <f t="shared" si="2"/>
        <v>44843</v>
      </c>
      <c r="E15" s="129">
        <f t="shared" si="3"/>
        <v>42</v>
      </c>
      <c r="F15" s="130" t="s">
        <v>119</v>
      </c>
      <c r="G15" s="131" t="s">
        <v>120</v>
      </c>
      <c r="H15" s="130" t="s">
        <v>121</v>
      </c>
      <c r="I15" s="132">
        <v>1480000.0</v>
      </c>
      <c r="J15" s="133" t="s">
        <v>122</v>
      </c>
      <c r="K15" s="134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0" customHeight="1">
      <c r="A16" s="25"/>
      <c r="B16" s="126">
        <v>44689.0</v>
      </c>
      <c r="C16" s="127">
        <f t="shared" si="1"/>
        <v>44682</v>
      </c>
      <c r="D16" s="128">
        <f t="shared" si="2"/>
        <v>44689</v>
      </c>
      <c r="E16" s="129">
        <f t="shared" si="3"/>
        <v>20</v>
      </c>
      <c r="F16" s="130" t="s">
        <v>119</v>
      </c>
      <c r="G16" s="131" t="s">
        <v>120</v>
      </c>
      <c r="H16" s="130" t="s">
        <v>121</v>
      </c>
      <c r="I16" s="132">
        <v>1200000.0</v>
      </c>
      <c r="J16" s="133" t="s">
        <v>122</v>
      </c>
      <c r="K16" s="134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0" customHeight="1">
      <c r="A17" s="25"/>
      <c r="B17" s="126">
        <v>44751.0</v>
      </c>
      <c r="C17" s="127">
        <f t="shared" si="1"/>
        <v>44743</v>
      </c>
      <c r="D17" s="128">
        <f t="shared" si="2"/>
        <v>44751</v>
      </c>
      <c r="E17" s="129">
        <f t="shared" si="3"/>
        <v>28</v>
      </c>
      <c r="F17" s="130" t="s">
        <v>24</v>
      </c>
      <c r="G17" s="131" t="s">
        <v>52</v>
      </c>
      <c r="H17" s="130" t="s">
        <v>124</v>
      </c>
      <c r="I17" s="132">
        <v>1139720.0</v>
      </c>
      <c r="J17" s="133" t="s">
        <v>125</v>
      </c>
      <c r="K17" s="134" t="s">
        <v>127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0" customHeight="1">
      <c r="A18" s="25"/>
      <c r="B18" s="126">
        <v>44615.0</v>
      </c>
      <c r="C18" s="127">
        <f t="shared" si="1"/>
        <v>44593</v>
      </c>
      <c r="D18" s="128">
        <f t="shared" si="2"/>
        <v>44615</v>
      </c>
      <c r="E18" s="129">
        <f t="shared" si="3"/>
        <v>9</v>
      </c>
      <c r="F18" s="130" t="s">
        <v>119</v>
      </c>
      <c r="G18" s="131" t="s">
        <v>120</v>
      </c>
      <c r="H18" s="130" t="s">
        <v>121</v>
      </c>
      <c r="I18" s="132">
        <v>1100000.0</v>
      </c>
      <c r="J18" s="133" t="s">
        <v>122</v>
      </c>
      <c r="K18" s="134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0" customHeight="1">
      <c r="A19" s="25"/>
      <c r="B19" s="126">
        <v>44650.0</v>
      </c>
      <c r="C19" s="127">
        <f t="shared" si="1"/>
        <v>44621</v>
      </c>
      <c r="D19" s="128">
        <f t="shared" si="2"/>
        <v>44650</v>
      </c>
      <c r="E19" s="129">
        <f t="shared" si="3"/>
        <v>14</v>
      </c>
      <c r="F19" s="130" t="s">
        <v>119</v>
      </c>
      <c r="G19" s="131" t="s">
        <v>120</v>
      </c>
      <c r="H19" s="130" t="s">
        <v>121</v>
      </c>
      <c r="I19" s="132">
        <v>1100000.0</v>
      </c>
      <c r="J19" s="133" t="s">
        <v>122</v>
      </c>
      <c r="K19" s="134" t="s">
        <v>123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0" customHeight="1">
      <c r="A20" s="25"/>
      <c r="B20" s="126">
        <v>44748.0</v>
      </c>
      <c r="C20" s="127">
        <f t="shared" si="1"/>
        <v>44743</v>
      </c>
      <c r="D20" s="128">
        <f t="shared" si="2"/>
        <v>44748</v>
      </c>
      <c r="E20" s="129">
        <f t="shared" si="3"/>
        <v>28</v>
      </c>
      <c r="F20" s="130" t="s">
        <v>128</v>
      </c>
      <c r="G20" s="131" t="s">
        <v>129</v>
      </c>
      <c r="H20" s="130" t="s">
        <v>124</v>
      </c>
      <c r="I20" s="132">
        <v>1080800.0</v>
      </c>
      <c r="J20" s="133" t="s">
        <v>125</v>
      </c>
      <c r="K20" s="134" t="s">
        <v>130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0" customHeight="1">
      <c r="A21" s="25"/>
      <c r="B21" s="126">
        <v>44764.0</v>
      </c>
      <c r="C21" s="127">
        <f t="shared" si="1"/>
        <v>44743</v>
      </c>
      <c r="D21" s="128">
        <f t="shared" si="2"/>
        <v>44764</v>
      </c>
      <c r="E21" s="129">
        <f t="shared" si="3"/>
        <v>30</v>
      </c>
      <c r="F21" s="130" t="s">
        <v>119</v>
      </c>
      <c r="G21" s="131" t="s">
        <v>120</v>
      </c>
      <c r="H21" s="130" t="s">
        <v>121</v>
      </c>
      <c r="I21" s="132">
        <v>1007589.0</v>
      </c>
      <c r="J21" s="133" t="s">
        <v>122</v>
      </c>
      <c r="K21" s="134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0" customHeight="1">
      <c r="A22" s="25"/>
      <c r="B22" s="126">
        <v>44666.0</v>
      </c>
      <c r="C22" s="127">
        <f t="shared" si="1"/>
        <v>44652</v>
      </c>
      <c r="D22" s="128">
        <f t="shared" si="2"/>
        <v>44666</v>
      </c>
      <c r="E22" s="129">
        <f t="shared" si="3"/>
        <v>16</v>
      </c>
      <c r="F22" s="130" t="s">
        <v>119</v>
      </c>
      <c r="G22" s="131" t="s">
        <v>120</v>
      </c>
      <c r="H22" s="130" t="s">
        <v>121</v>
      </c>
      <c r="I22" s="132">
        <v>1000000.0</v>
      </c>
      <c r="J22" s="133" t="s">
        <v>122</v>
      </c>
      <c r="K22" s="13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0" customHeight="1">
      <c r="A23" s="25"/>
      <c r="B23" s="126">
        <v>44687.0</v>
      </c>
      <c r="C23" s="127">
        <f t="shared" si="1"/>
        <v>44682</v>
      </c>
      <c r="D23" s="128">
        <f t="shared" si="2"/>
        <v>44687</v>
      </c>
      <c r="E23" s="129">
        <f t="shared" si="3"/>
        <v>19</v>
      </c>
      <c r="F23" s="130" t="s">
        <v>119</v>
      </c>
      <c r="G23" s="131" t="s">
        <v>120</v>
      </c>
      <c r="H23" s="130" t="s">
        <v>121</v>
      </c>
      <c r="I23" s="132">
        <v>1000000.0</v>
      </c>
      <c r="J23" s="133" t="s">
        <v>122</v>
      </c>
      <c r="K23" s="134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0" customHeight="1">
      <c r="A24" s="25"/>
      <c r="B24" s="126">
        <v>44702.0</v>
      </c>
      <c r="C24" s="127">
        <f t="shared" si="1"/>
        <v>44682</v>
      </c>
      <c r="D24" s="128">
        <f t="shared" si="2"/>
        <v>44702</v>
      </c>
      <c r="E24" s="129">
        <f t="shared" si="3"/>
        <v>21</v>
      </c>
      <c r="F24" s="130" t="s">
        <v>119</v>
      </c>
      <c r="G24" s="131" t="s">
        <v>120</v>
      </c>
      <c r="H24" s="130" t="s">
        <v>121</v>
      </c>
      <c r="I24" s="132">
        <v>1000000.0</v>
      </c>
      <c r="J24" s="133" t="s">
        <v>122</v>
      </c>
      <c r="K24" s="134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0" customHeight="1">
      <c r="A25" s="25"/>
      <c r="B25" s="126">
        <v>44773.0</v>
      </c>
      <c r="C25" s="127">
        <f t="shared" si="1"/>
        <v>44743</v>
      </c>
      <c r="D25" s="128">
        <f t="shared" si="2"/>
        <v>44773</v>
      </c>
      <c r="E25" s="129">
        <f t="shared" si="3"/>
        <v>32</v>
      </c>
      <c r="F25" s="130" t="s">
        <v>119</v>
      </c>
      <c r="G25" s="131" t="s">
        <v>120</v>
      </c>
      <c r="H25" s="130" t="s">
        <v>121</v>
      </c>
      <c r="I25" s="132">
        <v>1000000.0</v>
      </c>
      <c r="J25" s="133" t="s">
        <v>122</v>
      </c>
      <c r="K25" s="134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0" customHeight="1">
      <c r="A26" s="25"/>
      <c r="B26" s="126">
        <v>44775.0</v>
      </c>
      <c r="C26" s="127">
        <f t="shared" si="1"/>
        <v>44774</v>
      </c>
      <c r="D26" s="128">
        <f t="shared" si="2"/>
        <v>44775</v>
      </c>
      <c r="E26" s="129">
        <f t="shared" si="3"/>
        <v>32</v>
      </c>
      <c r="F26" s="130" t="s">
        <v>119</v>
      </c>
      <c r="G26" s="131" t="s">
        <v>120</v>
      </c>
      <c r="H26" s="130" t="s">
        <v>121</v>
      </c>
      <c r="I26" s="132">
        <v>1000000.0</v>
      </c>
      <c r="J26" s="133" t="s">
        <v>122</v>
      </c>
      <c r="K26" s="134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0" customHeight="1">
      <c r="A27" s="25"/>
      <c r="B27" s="126">
        <v>44723.0</v>
      </c>
      <c r="C27" s="127">
        <f t="shared" si="1"/>
        <v>44713</v>
      </c>
      <c r="D27" s="128">
        <f t="shared" si="2"/>
        <v>44723</v>
      </c>
      <c r="E27" s="129">
        <f t="shared" si="3"/>
        <v>24</v>
      </c>
      <c r="F27" s="130" t="s">
        <v>119</v>
      </c>
      <c r="G27" s="131" t="s">
        <v>120</v>
      </c>
      <c r="H27" s="130" t="s">
        <v>121</v>
      </c>
      <c r="I27" s="132">
        <v>900000.0</v>
      </c>
      <c r="J27" s="133" t="s">
        <v>122</v>
      </c>
      <c r="K27" s="13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0" customHeight="1">
      <c r="A28" s="25"/>
      <c r="B28" s="126">
        <v>44806.0</v>
      </c>
      <c r="C28" s="127">
        <f t="shared" si="1"/>
        <v>44805</v>
      </c>
      <c r="D28" s="128">
        <f t="shared" si="2"/>
        <v>44806</v>
      </c>
      <c r="E28" s="129">
        <f t="shared" si="3"/>
        <v>36</v>
      </c>
      <c r="F28" s="130" t="s">
        <v>128</v>
      </c>
      <c r="G28" s="131" t="s">
        <v>129</v>
      </c>
      <c r="H28" s="130" t="s">
        <v>124</v>
      </c>
      <c r="I28" s="132">
        <v>811500.0</v>
      </c>
      <c r="J28" s="133" t="s">
        <v>125</v>
      </c>
      <c r="K28" s="134" t="s">
        <v>131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0" customHeight="1">
      <c r="A29" s="25"/>
      <c r="B29" s="126">
        <v>44764.0</v>
      </c>
      <c r="C29" s="127">
        <f t="shared" si="1"/>
        <v>44743</v>
      </c>
      <c r="D29" s="128">
        <f t="shared" si="2"/>
        <v>44764</v>
      </c>
      <c r="E29" s="129">
        <f t="shared" si="3"/>
        <v>30</v>
      </c>
      <c r="F29" s="130" t="s">
        <v>119</v>
      </c>
      <c r="G29" s="131" t="s">
        <v>120</v>
      </c>
      <c r="H29" s="130" t="s">
        <v>121</v>
      </c>
      <c r="I29" s="132">
        <v>740000.0</v>
      </c>
      <c r="J29" s="133" t="s">
        <v>122</v>
      </c>
      <c r="K29" s="134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0" customHeight="1">
      <c r="A30" s="25"/>
      <c r="B30" s="126">
        <v>44873.0</v>
      </c>
      <c r="C30" s="127">
        <f t="shared" si="1"/>
        <v>44866</v>
      </c>
      <c r="D30" s="128">
        <f t="shared" si="2"/>
        <v>44873</v>
      </c>
      <c r="E30" s="129">
        <f t="shared" si="3"/>
        <v>46</v>
      </c>
      <c r="F30" s="130" t="s">
        <v>24</v>
      </c>
      <c r="G30" s="131" t="s">
        <v>49</v>
      </c>
      <c r="H30" s="130" t="s">
        <v>124</v>
      </c>
      <c r="I30" s="132">
        <v>740000.0</v>
      </c>
      <c r="J30" s="133" t="s">
        <v>125</v>
      </c>
      <c r="K30" s="134" t="s">
        <v>132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0" customHeight="1">
      <c r="A31" s="25"/>
      <c r="B31" s="126">
        <v>44748.0</v>
      </c>
      <c r="C31" s="127">
        <f t="shared" si="1"/>
        <v>44743</v>
      </c>
      <c r="D31" s="128">
        <f t="shared" si="2"/>
        <v>44748</v>
      </c>
      <c r="E31" s="129">
        <f t="shared" si="3"/>
        <v>28</v>
      </c>
      <c r="F31" s="130" t="s">
        <v>128</v>
      </c>
      <c r="G31" s="131" t="s">
        <v>129</v>
      </c>
      <c r="H31" s="130" t="s">
        <v>124</v>
      </c>
      <c r="I31" s="132">
        <v>705124.0</v>
      </c>
      <c r="J31" s="133" t="s">
        <v>122</v>
      </c>
      <c r="K31" s="134" t="s">
        <v>133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0" customHeight="1">
      <c r="A32" s="25"/>
      <c r="B32" s="126">
        <v>44809.0</v>
      </c>
      <c r="C32" s="127">
        <f t="shared" si="1"/>
        <v>44805</v>
      </c>
      <c r="D32" s="128">
        <f t="shared" si="2"/>
        <v>44809</v>
      </c>
      <c r="E32" s="129">
        <f t="shared" si="3"/>
        <v>37</v>
      </c>
      <c r="F32" s="130" t="s">
        <v>119</v>
      </c>
      <c r="G32" s="131" t="s">
        <v>120</v>
      </c>
      <c r="H32" s="130" t="s">
        <v>121</v>
      </c>
      <c r="I32" s="132">
        <f>247074+452926</f>
        <v>700000</v>
      </c>
      <c r="J32" s="133" t="s">
        <v>122</v>
      </c>
      <c r="K32" s="13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0" customHeight="1">
      <c r="A33" s="25"/>
      <c r="B33" s="126">
        <v>44916.0</v>
      </c>
      <c r="C33" s="127">
        <f t="shared" si="1"/>
        <v>44896</v>
      </c>
      <c r="D33" s="128">
        <f t="shared" si="2"/>
        <v>44916</v>
      </c>
      <c r="E33" s="129">
        <f t="shared" si="3"/>
        <v>52</v>
      </c>
      <c r="F33" s="130" t="s">
        <v>128</v>
      </c>
      <c r="G33" s="131" t="s">
        <v>129</v>
      </c>
      <c r="H33" s="130" t="s">
        <v>124</v>
      </c>
      <c r="I33" s="132">
        <v>626727.0</v>
      </c>
      <c r="J33" s="133" t="s">
        <v>125</v>
      </c>
      <c r="K33" s="134" t="s">
        <v>134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0" customHeight="1">
      <c r="A34" s="25"/>
      <c r="B34" s="126">
        <v>44686.0</v>
      </c>
      <c r="C34" s="127">
        <f t="shared" si="1"/>
        <v>44682</v>
      </c>
      <c r="D34" s="128">
        <f t="shared" si="2"/>
        <v>44686</v>
      </c>
      <c r="E34" s="129">
        <f t="shared" si="3"/>
        <v>19</v>
      </c>
      <c r="F34" s="130" t="s">
        <v>24</v>
      </c>
      <c r="G34" s="131" t="s">
        <v>34</v>
      </c>
      <c r="H34" s="130" t="s">
        <v>121</v>
      </c>
      <c r="I34" s="132">
        <v>600000.0</v>
      </c>
      <c r="J34" s="133" t="s">
        <v>125</v>
      </c>
      <c r="K34" s="134" t="s">
        <v>135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0" customHeight="1">
      <c r="A35" s="25"/>
      <c r="B35" s="126">
        <v>44813.0</v>
      </c>
      <c r="C35" s="127">
        <f t="shared" si="1"/>
        <v>44805</v>
      </c>
      <c r="D35" s="128">
        <f t="shared" si="2"/>
        <v>44813</v>
      </c>
      <c r="E35" s="129">
        <f t="shared" si="3"/>
        <v>37</v>
      </c>
      <c r="F35" s="130" t="s">
        <v>24</v>
      </c>
      <c r="G35" s="131" t="s">
        <v>34</v>
      </c>
      <c r="H35" s="130" t="s">
        <v>121</v>
      </c>
      <c r="I35" s="132">
        <v>600000.0</v>
      </c>
      <c r="J35" s="133" t="s">
        <v>125</v>
      </c>
      <c r="K35" s="134" t="s">
        <v>136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0" customHeight="1">
      <c r="A36" s="25"/>
      <c r="B36" s="126">
        <v>44836.0</v>
      </c>
      <c r="C36" s="127">
        <f t="shared" si="1"/>
        <v>44835</v>
      </c>
      <c r="D36" s="128">
        <f t="shared" si="2"/>
        <v>44836</v>
      </c>
      <c r="E36" s="129">
        <f t="shared" si="3"/>
        <v>41</v>
      </c>
      <c r="F36" s="130" t="s">
        <v>26</v>
      </c>
      <c r="G36" s="131" t="s">
        <v>70</v>
      </c>
      <c r="H36" s="130" t="s">
        <v>124</v>
      </c>
      <c r="I36" s="132">
        <v>596750.0</v>
      </c>
      <c r="J36" s="133" t="s">
        <v>122</v>
      </c>
      <c r="K36" s="134" t="s">
        <v>137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0" customHeight="1">
      <c r="A37" s="25"/>
      <c r="B37" s="126">
        <v>44772.0</v>
      </c>
      <c r="C37" s="127">
        <f t="shared" si="1"/>
        <v>44743</v>
      </c>
      <c r="D37" s="128">
        <f t="shared" si="2"/>
        <v>44772</v>
      </c>
      <c r="E37" s="129">
        <f t="shared" si="3"/>
        <v>31</v>
      </c>
      <c r="F37" s="130" t="s">
        <v>128</v>
      </c>
      <c r="G37" s="131" t="s">
        <v>129</v>
      </c>
      <c r="H37" s="130" t="s">
        <v>121</v>
      </c>
      <c r="I37" s="132">
        <f>791764-290000</f>
        <v>501764</v>
      </c>
      <c r="J37" s="133" t="s">
        <v>125</v>
      </c>
      <c r="K37" s="134" t="s">
        <v>138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0" customHeight="1">
      <c r="A38" s="25"/>
      <c r="B38" s="126">
        <v>44570.0</v>
      </c>
      <c r="C38" s="127">
        <f t="shared" si="1"/>
        <v>44562</v>
      </c>
      <c r="D38" s="128">
        <f t="shared" si="2"/>
        <v>44570</v>
      </c>
      <c r="E38" s="129">
        <f t="shared" si="3"/>
        <v>3</v>
      </c>
      <c r="F38" s="130" t="s">
        <v>24</v>
      </c>
      <c r="G38" s="131" t="s">
        <v>57</v>
      </c>
      <c r="H38" s="130" t="s">
        <v>124</v>
      </c>
      <c r="I38" s="132">
        <v>484300.0</v>
      </c>
      <c r="J38" s="133" t="s">
        <v>125</v>
      </c>
      <c r="K38" s="134" t="s">
        <v>139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0" customHeight="1">
      <c r="A39" s="25"/>
      <c r="B39" s="126">
        <v>44570.0</v>
      </c>
      <c r="C39" s="127">
        <f t="shared" si="1"/>
        <v>44562</v>
      </c>
      <c r="D39" s="128">
        <f t="shared" si="2"/>
        <v>44570</v>
      </c>
      <c r="E39" s="129">
        <f t="shared" si="3"/>
        <v>3</v>
      </c>
      <c r="F39" s="130" t="s">
        <v>24</v>
      </c>
      <c r="G39" s="131" t="s">
        <v>57</v>
      </c>
      <c r="H39" s="130" t="s">
        <v>124</v>
      </c>
      <c r="I39" s="132">
        <f>528220-48430</f>
        <v>479790</v>
      </c>
      <c r="J39" s="133" t="s">
        <v>125</v>
      </c>
      <c r="K39" s="134" t="s">
        <v>140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0" customHeight="1">
      <c r="A40" s="25"/>
      <c r="B40" s="126">
        <v>44899.0</v>
      </c>
      <c r="C40" s="127">
        <f t="shared" si="1"/>
        <v>44896</v>
      </c>
      <c r="D40" s="128">
        <f t="shared" si="2"/>
        <v>44899</v>
      </c>
      <c r="E40" s="129">
        <f t="shared" si="3"/>
        <v>50</v>
      </c>
      <c r="F40" s="130" t="s">
        <v>24</v>
      </c>
      <c r="G40" s="131" t="s">
        <v>41</v>
      </c>
      <c r="H40" s="130" t="s">
        <v>124</v>
      </c>
      <c r="I40" s="132">
        <v>459580.0</v>
      </c>
      <c r="J40" s="133" t="s">
        <v>122</v>
      </c>
      <c r="K40" s="134" t="s">
        <v>141</v>
      </c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0" customHeight="1">
      <c r="A41" s="25"/>
      <c r="B41" s="126">
        <v>44922.0</v>
      </c>
      <c r="C41" s="127">
        <f t="shared" si="1"/>
        <v>44896</v>
      </c>
      <c r="D41" s="128">
        <f t="shared" si="2"/>
        <v>44922</v>
      </c>
      <c r="E41" s="129">
        <f t="shared" si="3"/>
        <v>53</v>
      </c>
      <c r="F41" s="130" t="s">
        <v>26</v>
      </c>
      <c r="G41" s="131" t="s">
        <v>70</v>
      </c>
      <c r="H41" s="130" t="s">
        <v>124</v>
      </c>
      <c r="I41" s="132">
        <f>487900*0.9</f>
        <v>439110</v>
      </c>
      <c r="J41" s="133" t="s">
        <v>122</v>
      </c>
      <c r="K41" s="134" t="s">
        <v>142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0" customHeight="1">
      <c r="A42" s="25"/>
      <c r="B42" s="126">
        <v>44584.0</v>
      </c>
      <c r="C42" s="127">
        <f t="shared" si="1"/>
        <v>44562</v>
      </c>
      <c r="D42" s="128">
        <f t="shared" si="2"/>
        <v>44584</v>
      </c>
      <c r="E42" s="129">
        <f t="shared" si="3"/>
        <v>5</v>
      </c>
      <c r="F42" s="130" t="s">
        <v>24</v>
      </c>
      <c r="G42" s="131" t="s">
        <v>52</v>
      </c>
      <c r="H42" s="130" t="s">
        <v>124</v>
      </c>
      <c r="I42" s="132">
        <v>431400.0</v>
      </c>
      <c r="J42" s="133" t="s">
        <v>125</v>
      </c>
      <c r="K42" s="134" t="s">
        <v>143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0" customHeight="1">
      <c r="A43" s="25"/>
      <c r="B43" s="126">
        <v>44566.0</v>
      </c>
      <c r="C43" s="127">
        <f t="shared" si="1"/>
        <v>44562</v>
      </c>
      <c r="D43" s="128">
        <f t="shared" si="2"/>
        <v>44566</v>
      </c>
      <c r="E43" s="129">
        <f t="shared" si="3"/>
        <v>2</v>
      </c>
      <c r="F43" s="130" t="s">
        <v>24</v>
      </c>
      <c r="G43" s="131" t="s">
        <v>53</v>
      </c>
      <c r="H43" s="130" t="s">
        <v>121</v>
      </c>
      <c r="I43" s="132">
        <f>412140</f>
        <v>412140</v>
      </c>
      <c r="J43" s="133" t="s">
        <v>122</v>
      </c>
      <c r="K43" s="134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2.0" customHeight="1">
      <c r="A44" s="25"/>
      <c r="B44" s="126">
        <v>44599.0</v>
      </c>
      <c r="C44" s="127">
        <f t="shared" si="1"/>
        <v>44593</v>
      </c>
      <c r="D44" s="128">
        <f t="shared" si="2"/>
        <v>44599</v>
      </c>
      <c r="E44" s="129">
        <f t="shared" si="3"/>
        <v>7</v>
      </c>
      <c r="F44" s="130" t="s">
        <v>24</v>
      </c>
      <c r="G44" s="131" t="s">
        <v>53</v>
      </c>
      <c r="H44" s="130" t="s">
        <v>121</v>
      </c>
      <c r="I44" s="132">
        <v>397447.0</v>
      </c>
      <c r="J44" s="133" t="s">
        <v>122</v>
      </c>
      <c r="K44" s="134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0" customHeight="1">
      <c r="A45" s="25"/>
      <c r="B45" s="126">
        <v>44627.0</v>
      </c>
      <c r="C45" s="127">
        <f t="shared" si="1"/>
        <v>44621</v>
      </c>
      <c r="D45" s="128">
        <f t="shared" si="2"/>
        <v>44627</v>
      </c>
      <c r="E45" s="129">
        <f t="shared" si="3"/>
        <v>11</v>
      </c>
      <c r="F45" s="130" t="s">
        <v>24</v>
      </c>
      <c r="G45" s="131" t="s">
        <v>53</v>
      </c>
      <c r="H45" s="130" t="s">
        <v>121</v>
      </c>
      <c r="I45" s="132">
        <v>388335.0</v>
      </c>
      <c r="J45" s="133" t="s">
        <v>122</v>
      </c>
      <c r="K45" s="134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0" customHeight="1">
      <c r="A46" s="25"/>
      <c r="B46" s="126">
        <v>44915.0</v>
      </c>
      <c r="C46" s="127">
        <f t="shared" si="1"/>
        <v>44896</v>
      </c>
      <c r="D46" s="128">
        <f t="shared" si="2"/>
        <v>44915</v>
      </c>
      <c r="E46" s="129">
        <f t="shared" si="3"/>
        <v>52</v>
      </c>
      <c r="F46" s="130" t="s">
        <v>128</v>
      </c>
      <c r="G46" s="131" t="s">
        <v>129</v>
      </c>
      <c r="H46" s="130" t="s">
        <v>121</v>
      </c>
      <c r="I46" s="132">
        <v>386928.0</v>
      </c>
      <c r="J46" s="133" t="s">
        <v>125</v>
      </c>
      <c r="K46" s="134" t="s">
        <v>144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2.0" customHeight="1">
      <c r="A47" s="25"/>
      <c r="B47" s="126">
        <v>44921.0</v>
      </c>
      <c r="C47" s="127">
        <f t="shared" si="1"/>
        <v>44896</v>
      </c>
      <c r="D47" s="128">
        <f t="shared" si="2"/>
        <v>44921</v>
      </c>
      <c r="E47" s="129">
        <f t="shared" si="3"/>
        <v>53</v>
      </c>
      <c r="F47" s="130" t="s">
        <v>128</v>
      </c>
      <c r="G47" s="131" t="s">
        <v>129</v>
      </c>
      <c r="H47" s="130" t="s">
        <v>121</v>
      </c>
      <c r="I47" s="132">
        <v>382839.0</v>
      </c>
      <c r="J47" s="133" t="s">
        <v>125</v>
      </c>
      <c r="K47" s="134" t="s">
        <v>144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2.0" customHeight="1">
      <c r="A48" s="25"/>
      <c r="B48" s="126">
        <v>44656.0</v>
      </c>
      <c r="C48" s="127">
        <f t="shared" si="1"/>
        <v>44652</v>
      </c>
      <c r="D48" s="128">
        <f t="shared" si="2"/>
        <v>44656</v>
      </c>
      <c r="E48" s="129">
        <f t="shared" si="3"/>
        <v>15</v>
      </c>
      <c r="F48" s="130" t="s">
        <v>24</v>
      </c>
      <c r="G48" s="131" t="s">
        <v>53</v>
      </c>
      <c r="H48" s="130" t="s">
        <v>121</v>
      </c>
      <c r="I48" s="132">
        <v>369137.0</v>
      </c>
      <c r="J48" s="133" t="s">
        <v>122</v>
      </c>
      <c r="K48" s="134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2.0" customHeight="1">
      <c r="A49" s="25"/>
      <c r="B49" s="126">
        <v>44687.0</v>
      </c>
      <c r="C49" s="127">
        <f t="shared" si="1"/>
        <v>44682</v>
      </c>
      <c r="D49" s="128">
        <f t="shared" si="2"/>
        <v>44687</v>
      </c>
      <c r="E49" s="129">
        <f t="shared" si="3"/>
        <v>19</v>
      </c>
      <c r="F49" s="130" t="s">
        <v>24</v>
      </c>
      <c r="G49" s="131" t="s">
        <v>53</v>
      </c>
      <c r="H49" s="130" t="s">
        <v>121</v>
      </c>
      <c r="I49" s="132">
        <v>355655.0</v>
      </c>
      <c r="J49" s="133" t="s">
        <v>122</v>
      </c>
      <c r="K49" s="134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0" customHeight="1">
      <c r="A50" s="25"/>
      <c r="B50" s="126">
        <v>44839.0</v>
      </c>
      <c r="C50" s="127">
        <f t="shared" si="1"/>
        <v>44835</v>
      </c>
      <c r="D50" s="128">
        <f t="shared" si="2"/>
        <v>44839</v>
      </c>
      <c r="E50" s="129">
        <f t="shared" si="3"/>
        <v>41</v>
      </c>
      <c r="F50" s="130" t="s">
        <v>24</v>
      </c>
      <c r="G50" s="131" t="s">
        <v>54</v>
      </c>
      <c r="H50" s="130" t="s">
        <v>124</v>
      </c>
      <c r="I50" s="132">
        <v>350000.0</v>
      </c>
      <c r="J50" s="133" t="s">
        <v>125</v>
      </c>
      <c r="K50" s="134" t="s">
        <v>145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0" customHeight="1">
      <c r="A51" s="25"/>
      <c r="B51" s="126">
        <v>44839.0</v>
      </c>
      <c r="C51" s="127">
        <f t="shared" si="1"/>
        <v>44835</v>
      </c>
      <c r="D51" s="128">
        <f t="shared" si="2"/>
        <v>44839</v>
      </c>
      <c r="E51" s="129">
        <f t="shared" si="3"/>
        <v>41</v>
      </c>
      <c r="F51" s="130" t="s">
        <v>24</v>
      </c>
      <c r="G51" s="131" t="s">
        <v>54</v>
      </c>
      <c r="H51" s="130" t="s">
        <v>124</v>
      </c>
      <c r="I51" s="132">
        <v>350000.0</v>
      </c>
      <c r="J51" s="133" t="s">
        <v>122</v>
      </c>
      <c r="K51" s="134" t="s">
        <v>146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0" customHeight="1">
      <c r="A52" s="25"/>
      <c r="B52" s="126">
        <v>44584.0</v>
      </c>
      <c r="C52" s="127">
        <f t="shared" si="1"/>
        <v>44562</v>
      </c>
      <c r="D52" s="128">
        <f t="shared" si="2"/>
        <v>44584</v>
      </c>
      <c r="E52" s="129">
        <f t="shared" si="3"/>
        <v>5</v>
      </c>
      <c r="F52" s="130" t="s">
        <v>24</v>
      </c>
      <c r="G52" s="131" t="s">
        <v>52</v>
      </c>
      <c r="H52" s="130" t="s">
        <v>124</v>
      </c>
      <c r="I52" s="132">
        <v>348000.0</v>
      </c>
      <c r="J52" s="133" t="s">
        <v>125</v>
      </c>
      <c r="K52" s="134" t="s">
        <v>147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0" customHeight="1">
      <c r="A53" s="25"/>
      <c r="B53" s="126">
        <v>44719.0</v>
      </c>
      <c r="C53" s="127">
        <f t="shared" si="1"/>
        <v>44713</v>
      </c>
      <c r="D53" s="128">
        <f t="shared" si="2"/>
        <v>44719</v>
      </c>
      <c r="E53" s="129">
        <f t="shared" si="3"/>
        <v>24</v>
      </c>
      <c r="F53" s="130" t="s">
        <v>24</v>
      </c>
      <c r="G53" s="131" t="s">
        <v>53</v>
      </c>
      <c r="H53" s="130" t="s">
        <v>121</v>
      </c>
      <c r="I53" s="132">
        <v>339797.0</v>
      </c>
      <c r="J53" s="133" t="s">
        <v>122</v>
      </c>
      <c r="K53" s="134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0" customHeight="1">
      <c r="A54" s="25"/>
      <c r="B54" s="126">
        <v>44828.0</v>
      </c>
      <c r="C54" s="127">
        <f t="shared" si="1"/>
        <v>44805</v>
      </c>
      <c r="D54" s="128">
        <f t="shared" si="2"/>
        <v>44828</v>
      </c>
      <c r="E54" s="129">
        <f t="shared" si="3"/>
        <v>39</v>
      </c>
      <c r="F54" s="130" t="s">
        <v>128</v>
      </c>
      <c r="G54" s="131" t="s">
        <v>129</v>
      </c>
      <c r="H54" s="130" t="s">
        <v>124</v>
      </c>
      <c r="I54" s="132">
        <v>330531.0</v>
      </c>
      <c r="J54" s="133" t="s">
        <v>125</v>
      </c>
      <c r="K54" s="134" t="s">
        <v>148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0" customHeight="1">
      <c r="A55" s="25"/>
      <c r="B55" s="126">
        <v>44747.0</v>
      </c>
      <c r="C55" s="127">
        <f t="shared" si="1"/>
        <v>44743</v>
      </c>
      <c r="D55" s="128">
        <f t="shared" si="2"/>
        <v>44747</v>
      </c>
      <c r="E55" s="129">
        <f t="shared" si="3"/>
        <v>28</v>
      </c>
      <c r="F55" s="130" t="s">
        <v>24</v>
      </c>
      <c r="G55" s="131" t="s">
        <v>53</v>
      </c>
      <c r="H55" s="130" t="s">
        <v>121</v>
      </c>
      <c r="I55" s="132">
        <v>323211.0</v>
      </c>
      <c r="J55" s="133" t="s">
        <v>122</v>
      </c>
      <c r="K55" s="134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0" customHeight="1">
      <c r="A56" s="25"/>
      <c r="B56" s="126">
        <v>44566.0</v>
      </c>
      <c r="C56" s="127">
        <f t="shared" si="1"/>
        <v>44562</v>
      </c>
      <c r="D56" s="128">
        <f t="shared" si="2"/>
        <v>44566</v>
      </c>
      <c r="E56" s="129">
        <f t="shared" si="3"/>
        <v>2</v>
      </c>
      <c r="F56" s="130" t="s">
        <v>119</v>
      </c>
      <c r="G56" s="131" t="s">
        <v>120</v>
      </c>
      <c r="H56" s="130" t="s">
        <v>121</v>
      </c>
      <c r="I56" s="132">
        <v>318850.0</v>
      </c>
      <c r="J56" s="133" t="s">
        <v>122</v>
      </c>
      <c r="K56" s="134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0" customHeight="1">
      <c r="A57" s="25"/>
      <c r="B57" s="126">
        <v>44645.0</v>
      </c>
      <c r="C57" s="127">
        <f t="shared" si="1"/>
        <v>44621</v>
      </c>
      <c r="D57" s="128">
        <f t="shared" si="2"/>
        <v>44645</v>
      </c>
      <c r="E57" s="129">
        <f t="shared" si="3"/>
        <v>13</v>
      </c>
      <c r="F57" s="130" t="s">
        <v>24</v>
      </c>
      <c r="G57" s="131" t="s">
        <v>27</v>
      </c>
      <c r="H57" s="130" t="s">
        <v>124</v>
      </c>
      <c r="I57" s="132">
        <v>318530.0</v>
      </c>
      <c r="J57" s="133" t="s">
        <v>122</v>
      </c>
      <c r="K57" s="13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0" customHeight="1">
      <c r="A58" s="25"/>
      <c r="B58" s="126">
        <v>44828.0</v>
      </c>
      <c r="C58" s="127">
        <f t="shared" si="1"/>
        <v>44805</v>
      </c>
      <c r="D58" s="128">
        <f t="shared" si="2"/>
        <v>44828</v>
      </c>
      <c r="E58" s="129">
        <f t="shared" si="3"/>
        <v>39</v>
      </c>
      <c r="F58" s="130" t="s">
        <v>128</v>
      </c>
      <c r="G58" s="131" t="s">
        <v>129</v>
      </c>
      <c r="H58" s="130" t="s">
        <v>124</v>
      </c>
      <c r="I58" s="132">
        <v>317651.0</v>
      </c>
      <c r="J58" s="133" t="s">
        <v>125</v>
      </c>
      <c r="K58" s="134" t="s">
        <v>149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0" customHeight="1">
      <c r="A59" s="25"/>
      <c r="B59" s="126">
        <v>44614.0</v>
      </c>
      <c r="C59" s="127">
        <f t="shared" si="1"/>
        <v>44593</v>
      </c>
      <c r="D59" s="128">
        <f t="shared" si="2"/>
        <v>44614</v>
      </c>
      <c r="E59" s="129">
        <f t="shared" si="3"/>
        <v>9</v>
      </c>
      <c r="F59" s="130" t="s">
        <v>24</v>
      </c>
      <c r="G59" s="131" t="s">
        <v>27</v>
      </c>
      <c r="H59" s="130" t="s">
        <v>124</v>
      </c>
      <c r="I59" s="132">
        <v>314960.0</v>
      </c>
      <c r="J59" s="133" t="s">
        <v>122</v>
      </c>
      <c r="K59" s="134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0" customHeight="1">
      <c r="A60" s="25"/>
      <c r="B60" s="126">
        <v>44778.0</v>
      </c>
      <c r="C60" s="127">
        <f t="shared" si="1"/>
        <v>44774</v>
      </c>
      <c r="D60" s="128">
        <f t="shared" si="2"/>
        <v>44778</v>
      </c>
      <c r="E60" s="129">
        <f t="shared" si="3"/>
        <v>32</v>
      </c>
      <c r="F60" s="130" t="s">
        <v>24</v>
      </c>
      <c r="G60" s="131" t="s">
        <v>53</v>
      </c>
      <c r="H60" s="130" t="s">
        <v>121</v>
      </c>
      <c r="I60" s="132">
        <v>313100.0</v>
      </c>
      <c r="J60" s="133" t="s">
        <v>122</v>
      </c>
      <c r="K60" s="134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0" customHeight="1">
      <c r="A61" s="25"/>
      <c r="B61" s="126">
        <v>44599.0</v>
      </c>
      <c r="C61" s="127">
        <f t="shared" si="1"/>
        <v>44593</v>
      </c>
      <c r="D61" s="128">
        <f t="shared" si="2"/>
        <v>44599</v>
      </c>
      <c r="E61" s="129">
        <f t="shared" si="3"/>
        <v>7</v>
      </c>
      <c r="F61" s="130" t="s">
        <v>119</v>
      </c>
      <c r="G61" s="131" t="s">
        <v>120</v>
      </c>
      <c r="H61" s="130" t="s">
        <v>121</v>
      </c>
      <c r="I61" s="132">
        <v>308863.0</v>
      </c>
      <c r="J61" s="133" t="s">
        <v>122</v>
      </c>
      <c r="K61" s="134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0" customHeight="1">
      <c r="A62" s="25"/>
      <c r="B62" s="126">
        <v>44809.0</v>
      </c>
      <c r="C62" s="127">
        <f t="shared" si="1"/>
        <v>44805</v>
      </c>
      <c r="D62" s="128">
        <f t="shared" si="2"/>
        <v>44809</v>
      </c>
      <c r="E62" s="129">
        <f t="shared" si="3"/>
        <v>37</v>
      </c>
      <c r="F62" s="130" t="s">
        <v>24</v>
      </c>
      <c r="G62" s="131" t="s">
        <v>53</v>
      </c>
      <c r="H62" s="130" t="s">
        <v>121</v>
      </c>
      <c r="I62" s="132">
        <v>308050.0</v>
      </c>
      <c r="J62" s="133" t="s">
        <v>122</v>
      </c>
      <c r="K62" s="13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0" customHeight="1">
      <c r="A63" s="25"/>
      <c r="B63" s="126">
        <v>44839.0</v>
      </c>
      <c r="C63" s="127">
        <f t="shared" si="1"/>
        <v>44835</v>
      </c>
      <c r="D63" s="128">
        <f t="shared" si="2"/>
        <v>44839</v>
      </c>
      <c r="E63" s="129">
        <f t="shared" si="3"/>
        <v>41</v>
      </c>
      <c r="F63" s="130" t="s">
        <v>24</v>
      </c>
      <c r="G63" s="131" t="s">
        <v>53</v>
      </c>
      <c r="H63" s="130" t="s">
        <v>121</v>
      </c>
      <c r="I63" s="132">
        <v>306282.0</v>
      </c>
      <c r="J63" s="133" t="s">
        <v>122</v>
      </c>
      <c r="K63" s="134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0" customHeight="1">
      <c r="A64" s="25"/>
      <c r="B64" s="126">
        <v>44627.0</v>
      </c>
      <c r="C64" s="127">
        <f t="shared" si="1"/>
        <v>44621</v>
      </c>
      <c r="D64" s="128">
        <f t="shared" si="2"/>
        <v>44627</v>
      </c>
      <c r="E64" s="129">
        <f t="shared" si="3"/>
        <v>11</v>
      </c>
      <c r="F64" s="130" t="s">
        <v>119</v>
      </c>
      <c r="G64" s="131" t="s">
        <v>120</v>
      </c>
      <c r="H64" s="130" t="s">
        <v>121</v>
      </c>
      <c r="I64" s="132">
        <v>303139.0</v>
      </c>
      <c r="J64" s="133" t="s">
        <v>122</v>
      </c>
      <c r="K64" s="134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0" customHeight="1">
      <c r="A65" s="25"/>
      <c r="B65" s="126">
        <v>44872.0</v>
      </c>
      <c r="C65" s="127">
        <f t="shared" si="1"/>
        <v>44866</v>
      </c>
      <c r="D65" s="128">
        <f t="shared" si="2"/>
        <v>44872</v>
      </c>
      <c r="E65" s="129">
        <f t="shared" si="3"/>
        <v>46</v>
      </c>
      <c r="F65" s="130" t="s">
        <v>24</v>
      </c>
      <c r="G65" s="131" t="s">
        <v>53</v>
      </c>
      <c r="H65" s="130" t="s">
        <v>121</v>
      </c>
      <c r="I65" s="132">
        <v>301922.0</v>
      </c>
      <c r="J65" s="133" t="s">
        <v>122</v>
      </c>
      <c r="K65" s="134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0" customHeight="1">
      <c r="A66" s="25"/>
      <c r="B66" s="126">
        <v>44900.0</v>
      </c>
      <c r="C66" s="127">
        <f t="shared" si="1"/>
        <v>44896</v>
      </c>
      <c r="D66" s="128">
        <f t="shared" si="2"/>
        <v>44900</v>
      </c>
      <c r="E66" s="129">
        <f t="shared" si="3"/>
        <v>50</v>
      </c>
      <c r="F66" s="130" t="s">
        <v>24</v>
      </c>
      <c r="G66" s="131" t="s">
        <v>53</v>
      </c>
      <c r="H66" s="130" t="s">
        <v>121</v>
      </c>
      <c r="I66" s="132">
        <v>301305.3417384112</v>
      </c>
      <c r="J66" s="133" t="s">
        <v>122</v>
      </c>
      <c r="K66" s="134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0" customHeight="1">
      <c r="A67" s="25"/>
      <c r="B67" s="126">
        <v>44591.0</v>
      </c>
      <c r="C67" s="127">
        <f t="shared" si="1"/>
        <v>44562</v>
      </c>
      <c r="D67" s="128">
        <f t="shared" si="2"/>
        <v>44591</v>
      </c>
      <c r="E67" s="129">
        <f t="shared" si="3"/>
        <v>6</v>
      </c>
      <c r="F67" s="130" t="s">
        <v>24</v>
      </c>
      <c r="G67" s="131" t="s">
        <v>34</v>
      </c>
      <c r="H67" s="130" t="s">
        <v>121</v>
      </c>
      <c r="I67" s="132">
        <v>300000.0</v>
      </c>
      <c r="J67" s="133" t="s">
        <v>125</v>
      </c>
      <c r="K67" s="134" t="s">
        <v>150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0" customHeight="1">
      <c r="A68" s="25"/>
      <c r="B68" s="126">
        <v>44586.0</v>
      </c>
      <c r="C68" s="127">
        <f t="shared" si="1"/>
        <v>44562</v>
      </c>
      <c r="D68" s="128">
        <f t="shared" si="2"/>
        <v>44586</v>
      </c>
      <c r="E68" s="129">
        <f t="shared" si="3"/>
        <v>5</v>
      </c>
      <c r="F68" s="130" t="s">
        <v>24</v>
      </c>
      <c r="G68" s="131" t="s">
        <v>27</v>
      </c>
      <c r="H68" s="130" t="s">
        <v>124</v>
      </c>
      <c r="I68" s="132">
        <v>298730.0</v>
      </c>
      <c r="J68" s="133" t="s">
        <v>122</v>
      </c>
      <c r="K68" s="134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0" customHeight="1">
      <c r="A69" s="25"/>
      <c r="B69" s="126">
        <v>44656.0</v>
      </c>
      <c r="C69" s="127">
        <f t="shared" si="1"/>
        <v>44652</v>
      </c>
      <c r="D69" s="128">
        <f t="shared" si="2"/>
        <v>44656</v>
      </c>
      <c r="E69" s="129">
        <f t="shared" si="3"/>
        <v>15</v>
      </c>
      <c r="F69" s="130" t="s">
        <v>119</v>
      </c>
      <c r="G69" s="131" t="s">
        <v>120</v>
      </c>
      <c r="H69" s="130" t="s">
        <v>121</v>
      </c>
      <c r="I69" s="132">
        <v>289451.0</v>
      </c>
      <c r="J69" s="133" t="s">
        <v>122</v>
      </c>
      <c r="K69" s="134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0" customHeight="1">
      <c r="A70" s="25"/>
      <c r="B70" s="126">
        <v>44830.0</v>
      </c>
      <c r="C70" s="127">
        <f t="shared" si="1"/>
        <v>44805</v>
      </c>
      <c r="D70" s="128">
        <f t="shared" si="2"/>
        <v>44830</v>
      </c>
      <c r="E70" s="129">
        <f t="shared" si="3"/>
        <v>40</v>
      </c>
      <c r="F70" s="130" t="s">
        <v>24</v>
      </c>
      <c r="G70" s="131" t="s">
        <v>27</v>
      </c>
      <c r="H70" s="130" t="s">
        <v>124</v>
      </c>
      <c r="I70" s="132">
        <v>286070.0</v>
      </c>
      <c r="J70" s="133" t="s">
        <v>122</v>
      </c>
      <c r="K70" s="134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0" customHeight="1">
      <c r="A71" s="25"/>
      <c r="B71" s="126">
        <v>44886.0</v>
      </c>
      <c r="C71" s="127">
        <f t="shared" si="1"/>
        <v>44866</v>
      </c>
      <c r="D71" s="128">
        <f t="shared" si="2"/>
        <v>44886</v>
      </c>
      <c r="E71" s="129">
        <f t="shared" si="3"/>
        <v>48</v>
      </c>
      <c r="F71" s="130" t="s">
        <v>26</v>
      </c>
      <c r="G71" s="131" t="s">
        <v>76</v>
      </c>
      <c r="H71" s="130" t="s">
        <v>124</v>
      </c>
      <c r="I71" s="132">
        <v>284490.0</v>
      </c>
      <c r="J71" s="133" t="s">
        <v>125</v>
      </c>
      <c r="K71" s="134" t="s">
        <v>151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0" customHeight="1">
      <c r="A72" s="25"/>
      <c r="B72" s="126">
        <v>44687.0</v>
      </c>
      <c r="C72" s="127">
        <f t="shared" si="1"/>
        <v>44682</v>
      </c>
      <c r="D72" s="128">
        <f t="shared" si="2"/>
        <v>44687</v>
      </c>
      <c r="E72" s="129">
        <f t="shared" si="3"/>
        <v>19</v>
      </c>
      <c r="F72" s="130" t="s">
        <v>119</v>
      </c>
      <c r="G72" s="131" t="s">
        <v>120</v>
      </c>
      <c r="H72" s="130" t="s">
        <v>121</v>
      </c>
      <c r="I72" s="132">
        <v>280138.0</v>
      </c>
      <c r="J72" s="133" t="s">
        <v>122</v>
      </c>
      <c r="K72" s="13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0" customHeight="1">
      <c r="A73" s="25"/>
      <c r="B73" s="126">
        <v>44828.0</v>
      </c>
      <c r="C73" s="127">
        <f t="shared" si="1"/>
        <v>44805</v>
      </c>
      <c r="D73" s="128">
        <f t="shared" si="2"/>
        <v>44828</v>
      </c>
      <c r="E73" s="129">
        <f t="shared" si="3"/>
        <v>39</v>
      </c>
      <c r="F73" s="130" t="s">
        <v>24</v>
      </c>
      <c r="G73" s="131" t="s">
        <v>34</v>
      </c>
      <c r="H73" s="130" t="s">
        <v>124</v>
      </c>
      <c r="I73" s="132">
        <v>270560.0</v>
      </c>
      <c r="J73" s="133" t="s">
        <v>125</v>
      </c>
      <c r="K73" s="134" t="s">
        <v>152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0" customHeight="1">
      <c r="A74" s="25"/>
      <c r="B74" s="126">
        <v>44713.0</v>
      </c>
      <c r="C74" s="127">
        <f t="shared" si="1"/>
        <v>44713</v>
      </c>
      <c r="D74" s="128">
        <f t="shared" si="2"/>
        <v>44713</v>
      </c>
      <c r="E74" s="129">
        <f t="shared" si="3"/>
        <v>23</v>
      </c>
      <c r="F74" s="130" t="s">
        <v>24</v>
      </c>
      <c r="G74" s="131" t="s">
        <v>52</v>
      </c>
      <c r="H74" s="130" t="s">
        <v>124</v>
      </c>
      <c r="I74" s="132">
        <f>289520-20266</f>
        <v>269254</v>
      </c>
      <c r="J74" s="133" t="s">
        <v>125</v>
      </c>
      <c r="K74" s="134" t="s">
        <v>153</v>
      </c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0" customHeight="1">
      <c r="A75" s="25"/>
      <c r="B75" s="126">
        <v>44922.0</v>
      </c>
      <c r="C75" s="127">
        <f t="shared" si="1"/>
        <v>44896</v>
      </c>
      <c r="D75" s="128">
        <f t="shared" si="2"/>
        <v>44922</v>
      </c>
      <c r="E75" s="129">
        <f t="shared" si="3"/>
        <v>53</v>
      </c>
      <c r="F75" s="130" t="s">
        <v>24</v>
      </c>
      <c r="G75" s="131" t="s">
        <v>27</v>
      </c>
      <c r="H75" s="130" t="s">
        <v>124</v>
      </c>
      <c r="I75" s="132">
        <v>269050.0</v>
      </c>
      <c r="J75" s="133" t="s">
        <v>122</v>
      </c>
      <c r="K75" s="134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0" customHeight="1">
      <c r="A76" s="25"/>
      <c r="B76" s="126">
        <v>44719.0</v>
      </c>
      <c r="C76" s="127">
        <f t="shared" si="1"/>
        <v>44713</v>
      </c>
      <c r="D76" s="128">
        <f t="shared" si="2"/>
        <v>44719</v>
      </c>
      <c r="E76" s="129">
        <f t="shared" si="3"/>
        <v>24</v>
      </c>
      <c r="F76" s="130" t="s">
        <v>119</v>
      </c>
      <c r="G76" s="131" t="s">
        <v>120</v>
      </c>
      <c r="H76" s="130" t="s">
        <v>121</v>
      </c>
      <c r="I76" s="132">
        <v>268858.0</v>
      </c>
      <c r="J76" s="133" t="s">
        <v>122</v>
      </c>
      <c r="K76" s="134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0" customHeight="1">
      <c r="A77" s="25"/>
      <c r="B77" s="126">
        <v>44798.0</v>
      </c>
      <c r="C77" s="127">
        <f t="shared" si="1"/>
        <v>44774</v>
      </c>
      <c r="D77" s="128">
        <f t="shared" si="2"/>
        <v>44798</v>
      </c>
      <c r="E77" s="129">
        <f t="shared" si="3"/>
        <v>35</v>
      </c>
      <c r="F77" s="130" t="s">
        <v>24</v>
      </c>
      <c r="G77" s="131" t="s">
        <v>27</v>
      </c>
      <c r="H77" s="130" t="s">
        <v>124</v>
      </c>
      <c r="I77" s="132">
        <v>263520.0</v>
      </c>
      <c r="J77" s="133" t="s">
        <v>122</v>
      </c>
      <c r="K77" s="13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0" customHeight="1">
      <c r="A78" s="25"/>
      <c r="B78" s="126">
        <v>44677.0</v>
      </c>
      <c r="C78" s="127">
        <f t="shared" si="1"/>
        <v>44652</v>
      </c>
      <c r="D78" s="128">
        <f t="shared" si="2"/>
        <v>44677</v>
      </c>
      <c r="E78" s="129">
        <f t="shared" si="3"/>
        <v>18</v>
      </c>
      <c r="F78" s="130" t="s">
        <v>24</v>
      </c>
      <c r="G78" s="131" t="s">
        <v>27</v>
      </c>
      <c r="H78" s="130" t="s">
        <v>124</v>
      </c>
      <c r="I78" s="132">
        <v>261800.0</v>
      </c>
      <c r="J78" s="133" t="s">
        <v>122</v>
      </c>
      <c r="K78" s="134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0" customHeight="1">
      <c r="A79" s="25"/>
      <c r="B79" s="126">
        <v>44747.0</v>
      </c>
      <c r="C79" s="127">
        <f t="shared" si="1"/>
        <v>44743</v>
      </c>
      <c r="D79" s="128">
        <f t="shared" si="2"/>
        <v>44747</v>
      </c>
      <c r="E79" s="129">
        <f t="shared" si="3"/>
        <v>28</v>
      </c>
      <c r="F79" s="130" t="s">
        <v>119</v>
      </c>
      <c r="G79" s="131" t="s">
        <v>120</v>
      </c>
      <c r="H79" s="130" t="s">
        <v>121</v>
      </c>
      <c r="I79" s="132">
        <v>256893.0</v>
      </c>
      <c r="J79" s="133" t="s">
        <v>122</v>
      </c>
      <c r="K79" s="134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0" customHeight="1">
      <c r="A80" s="25"/>
      <c r="B80" s="126">
        <v>44754.0</v>
      </c>
      <c r="C80" s="127">
        <f t="shared" si="1"/>
        <v>44743</v>
      </c>
      <c r="D80" s="128">
        <f t="shared" si="2"/>
        <v>44754</v>
      </c>
      <c r="E80" s="129">
        <f t="shared" si="3"/>
        <v>29</v>
      </c>
      <c r="F80" s="130" t="s">
        <v>128</v>
      </c>
      <c r="G80" s="131" t="s">
        <v>129</v>
      </c>
      <c r="H80" s="130" t="s">
        <v>124</v>
      </c>
      <c r="I80" s="132">
        <v>256297.0</v>
      </c>
      <c r="J80" s="133" t="s">
        <v>125</v>
      </c>
      <c r="K80" s="134" t="s">
        <v>154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0" customHeight="1">
      <c r="A81" s="25"/>
      <c r="B81" s="126">
        <v>44778.0</v>
      </c>
      <c r="C81" s="127">
        <f t="shared" si="1"/>
        <v>44774</v>
      </c>
      <c r="D81" s="128">
        <f t="shared" si="2"/>
        <v>44778</v>
      </c>
      <c r="E81" s="129">
        <f t="shared" si="3"/>
        <v>32</v>
      </c>
      <c r="F81" s="130" t="s">
        <v>119</v>
      </c>
      <c r="G81" s="131" t="s">
        <v>120</v>
      </c>
      <c r="H81" s="130" t="s">
        <v>121</v>
      </c>
      <c r="I81" s="132">
        <v>249986.0</v>
      </c>
      <c r="J81" s="133" t="s">
        <v>122</v>
      </c>
      <c r="K81" s="134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0" customHeight="1">
      <c r="A82" s="25"/>
      <c r="B82" s="126">
        <v>44839.0</v>
      </c>
      <c r="C82" s="127">
        <f t="shared" si="1"/>
        <v>44835</v>
      </c>
      <c r="D82" s="128">
        <f t="shared" si="2"/>
        <v>44839</v>
      </c>
      <c r="E82" s="129">
        <f t="shared" si="3"/>
        <v>41</v>
      </c>
      <c r="F82" s="130" t="s">
        <v>119</v>
      </c>
      <c r="G82" s="131" t="s">
        <v>120</v>
      </c>
      <c r="H82" s="130" t="s">
        <v>121</v>
      </c>
      <c r="I82" s="132">
        <v>246777.0</v>
      </c>
      <c r="J82" s="133" t="s">
        <v>122</v>
      </c>
      <c r="K82" s="13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0" customHeight="1">
      <c r="A83" s="25"/>
      <c r="B83" s="126">
        <v>44900.0</v>
      </c>
      <c r="C83" s="127">
        <f t="shared" si="1"/>
        <v>44896</v>
      </c>
      <c r="D83" s="128">
        <f t="shared" si="2"/>
        <v>44900</v>
      </c>
      <c r="E83" s="129">
        <f t="shared" si="3"/>
        <v>50</v>
      </c>
      <c r="F83" s="130" t="s">
        <v>119</v>
      </c>
      <c r="G83" s="131" t="s">
        <v>120</v>
      </c>
      <c r="H83" s="130" t="s">
        <v>121</v>
      </c>
      <c r="I83" s="132">
        <v>244991.9438830683</v>
      </c>
      <c r="J83" s="133" t="s">
        <v>122</v>
      </c>
      <c r="K83" s="134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0" customHeight="1">
      <c r="A84" s="25"/>
      <c r="B84" s="126">
        <v>44872.0</v>
      </c>
      <c r="C84" s="127">
        <f t="shared" si="1"/>
        <v>44866</v>
      </c>
      <c r="D84" s="128">
        <f t="shared" si="2"/>
        <v>44872</v>
      </c>
      <c r="E84" s="129">
        <f t="shared" si="3"/>
        <v>46</v>
      </c>
      <c r="F84" s="130" t="s">
        <v>119</v>
      </c>
      <c r="G84" s="131" t="s">
        <v>120</v>
      </c>
      <c r="H84" s="130" t="s">
        <v>121</v>
      </c>
      <c r="I84" s="132">
        <v>244375.0</v>
      </c>
      <c r="J84" s="133" t="s">
        <v>122</v>
      </c>
      <c r="K84" s="134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0" customHeight="1">
      <c r="A85" s="25"/>
      <c r="B85" s="126">
        <v>44889.0</v>
      </c>
      <c r="C85" s="127">
        <f t="shared" si="1"/>
        <v>44866</v>
      </c>
      <c r="D85" s="128">
        <f t="shared" si="2"/>
        <v>44889</v>
      </c>
      <c r="E85" s="129">
        <f t="shared" si="3"/>
        <v>48</v>
      </c>
      <c r="F85" s="130" t="s">
        <v>24</v>
      </c>
      <c r="G85" s="131" t="s">
        <v>27</v>
      </c>
      <c r="H85" s="130" t="s">
        <v>124</v>
      </c>
      <c r="I85" s="132">
        <v>237260.0</v>
      </c>
      <c r="J85" s="133" t="s">
        <v>122</v>
      </c>
      <c r="K85" s="134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0" customHeight="1">
      <c r="A86" s="25"/>
      <c r="B86" s="126">
        <v>44859.0</v>
      </c>
      <c r="C86" s="127">
        <f t="shared" si="1"/>
        <v>44835</v>
      </c>
      <c r="D86" s="128">
        <f t="shared" si="2"/>
        <v>44859</v>
      </c>
      <c r="E86" s="129">
        <f t="shared" si="3"/>
        <v>44</v>
      </c>
      <c r="F86" s="130" t="s">
        <v>24</v>
      </c>
      <c r="G86" s="131" t="s">
        <v>27</v>
      </c>
      <c r="H86" s="130" t="s">
        <v>124</v>
      </c>
      <c r="I86" s="132">
        <v>220170.0</v>
      </c>
      <c r="J86" s="133" t="s">
        <v>122</v>
      </c>
      <c r="K86" s="134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0" customHeight="1">
      <c r="A87" s="25"/>
      <c r="B87" s="126">
        <v>44768.0</v>
      </c>
      <c r="C87" s="127">
        <f t="shared" si="1"/>
        <v>44743</v>
      </c>
      <c r="D87" s="128">
        <f t="shared" si="2"/>
        <v>44768</v>
      </c>
      <c r="E87" s="129">
        <f t="shared" si="3"/>
        <v>31</v>
      </c>
      <c r="F87" s="130" t="s">
        <v>24</v>
      </c>
      <c r="G87" s="131" t="s">
        <v>27</v>
      </c>
      <c r="H87" s="130" t="s">
        <v>124</v>
      </c>
      <c r="I87" s="132">
        <v>219930.0</v>
      </c>
      <c r="J87" s="133" t="s">
        <v>122</v>
      </c>
      <c r="K87" s="13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0" customHeight="1">
      <c r="A88" s="25"/>
      <c r="B88" s="126">
        <v>44706.0</v>
      </c>
      <c r="C88" s="127">
        <f t="shared" si="1"/>
        <v>44682</v>
      </c>
      <c r="D88" s="128">
        <f t="shared" si="2"/>
        <v>44706</v>
      </c>
      <c r="E88" s="129">
        <f t="shared" si="3"/>
        <v>22</v>
      </c>
      <c r="F88" s="130" t="s">
        <v>24</v>
      </c>
      <c r="G88" s="131" t="s">
        <v>27</v>
      </c>
      <c r="H88" s="130" t="s">
        <v>124</v>
      </c>
      <c r="I88" s="132">
        <v>215430.0</v>
      </c>
      <c r="J88" s="133" t="s">
        <v>122</v>
      </c>
      <c r="K88" s="134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0" customHeight="1">
      <c r="A89" s="25"/>
      <c r="B89" s="126">
        <v>44802.0</v>
      </c>
      <c r="C89" s="127">
        <f t="shared" si="1"/>
        <v>44774</v>
      </c>
      <c r="D89" s="128">
        <f t="shared" si="2"/>
        <v>44802</v>
      </c>
      <c r="E89" s="129">
        <f t="shared" si="3"/>
        <v>36</v>
      </c>
      <c r="F89" s="130" t="s">
        <v>26</v>
      </c>
      <c r="G89" s="131" t="s">
        <v>82</v>
      </c>
      <c r="H89" s="130" t="s">
        <v>124</v>
      </c>
      <c r="I89" s="132">
        <v>215200.0</v>
      </c>
      <c r="J89" s="133" t="s">
        <v>125</v>
      </c>
      <c r="K89" s="134" t="s">
        <v>155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0" customHeight="1">
      <c r="A90" s="25"/>
      <c r="B90" s="126">
        <v>44563.0</v>
      </c>
      <c r="C90" s="127">
        <f t="shared" si="1"/>
        <v>44562</v>
      </c>
      <c r="D90" s="128">
        <f t="shared" si="2"/>
        <v>44563</v>
      </c>
      <c r="E90" s="129">
        <f t="shared" si="3"/>
        <v>2</v>
      </c>
      <c r="F90" s="130" t="s">
        <v>26</v>
      </c>
      <c r="G90" s="131" t="s">
        <v>76</v>
      </c>
      <c r="H90" s="130" t="s">
        <v>124</v>
      </c>
      <c r="I90" s="132">
        <v>214740.0</v>
      </c>
      <c r="J90" s="133" t="s">
        <v>125</v>
      </c>
      <c r="K90" s="134" t="s">
        <v>151</v>
      </c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0" customHeight="1">
      <c r="A91" s="25"/>
      <c r="B91" s="126">
        <v>44828.0</v>
      </c>
      <c r="C91" s="127">
        <f t="shared" si="1"/>
        <v>44805</v>
      </c>
      <c r="D91" s="128">
        <f t="shared" si="2"/>
        <v>44828</v>
      </c>
      <c r="E91" s="129">
        <f t="shared" si="3"/>
        <v>39</v>
      </c>
      <c r="F91" s="130" t="s">
        <v>24</v>
      </c>
      <c r="G91" s="131" t="s">
        <v>52</v>
      </c>
      <c r="H91" s="130" t="s">
        <v>124</v>
      </c>
      <c r="I91" s="132">
        <v>209560.0</v>
      </c>
      <c r="J91" s="133" t="s">
        <v>125</v>
      </c>
      <c r="K91" s="134" t="s">
        <v>156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0" customHeight="1">
      <c r="A92" s="25"/>
      <c r="B92" s="126">
        <v>44736.0</v>
      </c>
      <c r="C92" s="127">
        <f t="shared" si="1"/>
        <v>44713</v>
      </c>
      <c r="D92" s="128">
        <f t="shared" si="2"/>
        <v>44736</v>
      </c>
      <c r="E92" s="129">
        <f t="shared" si="3"/>
        <v>26</v>
      </c>
      <c r="F92" s="130" t="s">
        <v>24</v>
      </c>
      <c r="G92" s="131" t="s">
        <v>27</v>
      </c>
      <c r="H92" s="130" t="s">
        <v>124</v>
      </c>
      <c r="I92" s="132">
        <v>206910.0</v>
      </c>
      <c r="J92" s="133" t="s">
        <v>122</v>
      </c>
      <c r="K92" s="13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0" customHeight="1">
      <c r="A93" s="25"/>
      <c r="B93" s="126">
        <v>44839.0</v>
      </c>
      <c r="C93" s="127">
        <f t="shared" si="1"/>
        <v>44835</v>
      </c>
      <c r="D93" s="128">
        <f t="shared" si="2"/>
        <v>44839</v>
      </c>
      <c r="E93" s="129">
        <f t="shared" si="3"/>
        <v>41</v>
      </c>
      <c r="F93" s="130" t="s">
        <v>26</v>
      </c>
      <c r="G93" s="131" t="s">
        <v>70</v>
      </c>
      <c r="H93" s="130" t="s">
        <v>121</v>
      </c>
      <c r="I93" s="132">
        <f>228900*0.9</f>
        <v>206010</v>
      </c>
      <c r="J93" s="133" t="s">
        <v>125</v>
      </c>
      <c r="K93" s="134" t="s">
        <v>157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0" customHeight="1">
      <c r="A94" s="25"/>
      <c r="B94" s="126">
        <v>44584.0</v>
      </c>
      <c r="C94" s="127">
        <f t="shared" si="1"/>
        <v>44562</v>
      </c>
      <c r="D94" s="128">
        <f t="shared" si="2"/>
        <v>44584</v>
      </c>
      <c r="E94" s="129">
        <f t="shared" si="3"/>
        <v>5</v>
      </c>
      <c r="F94" s="130" t="s">
        <v>24</v>
      </c>
      <c r="G94" s="131" t="s">
        <v>52</v>
      </c>
      <c r="H94" s="130" t="s">
        <v>124</v>
      </c>
      <c r="I94" s="132">
        <v>205500.0</v>
      </c>
      <c r="J94" s="133" t="s">
        <v>125</v>
      </c>
      <c r="K94" s="134" t="s">
        <v>158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0" customHeight="1">
      <c r="A95" s="25"/>
      <c r="B95" s="126">
        <v>44607.0</v>
      </c>
      <c r="C95" s="127">
        <f t="shared" si="1"/>
        <v>44593</v>
      </c>
      <c r="D95" s="128">
        <f t="shared" si="2"/>
        <v>44607</v>
      </c>
      <c r="E95" s="129">
        <f t="shared" si="3"/>
        <v>8</v>
      </c>
      <c r="F95" s="130" t="s">
        <v>26</v>
      </c>
      <c r="G95" s="131" t="s">
        <v>76</v>
      </c>
      <c r="H95" s="130" t="s">
        <v>124</v>
      </c>
      <c r="I95" s="132">
        <v>202570.0</v>
      </c>
      <c r="J95" s="133" t="s">
        <v>125</v>
      </c>
      <c r="K95" s="134" t="s">
        <v>151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0" customHeight="1">
      <c r="A96" s="25"/>
      <c r="B96" s="126">
        <v>44656.0</v>
      </c>
      <c r="C96" s="127">
        <f t="shared" si="1"/>
        <v>44652</v>
      </c>
      <c r="D96" s="128">
        <f t="shared" si="2"/>
        <v>44656</v>
      </c>
      <c r="E96" s="129">
        <f t="shared" si="3"/>
        <v>15</v>
      </c>
      <c r="F96" s="130" t="s">
        <v>119</v>
      </c>
      <c r="G96" s="131" t="s">
        <v>120</v>
      </c>
      <c r="H96" s="130" t="s">
        <v>121</v>
      </c>
      <c r="I96" s="132">
        <v>200000.0</v>
      </c>
      <c r="J96" s="133" t="s">
        <v>122</v>
      </c>
      <c r="K96" s="134" t="s">
        <v>123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0" customHeight="1">
      <c r="A97" s="25"/>
      <c r="B97" s="126">
        <v>44806.0</v>
      </c>
      <c r="C97" s="127">
        <f t="shared" si="1"/>
        <v>44805</v>
      </c>
      <c r="D97" s="128">
        <f t="shared" si="2"/>
        <v>44806</v>
      </c>
      <c r="E97" s="129">
        <f t="shared" si="3"/>
        <v>36</v>
      </c>
      <c r="F97" s="130" t="s">
        <v>24</v>
      </c>
      <c r="G97" s="131" t="s">
        <v>25</v>
      </c>
      <c r="H97" s="130" t="s">
        <v>121</v>
      </c>
      <c r="I97" s="132">
        <v>200000.0</v>
      </c>
      <c r="J97" s="133" t="s">
        <v>122</v>
      </c>
      <c r="K97" s="134" t="s">
        <v>159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0" customHeight="1">
      <c r="A98" s="25"/>
      <c r="B98" s="126">
        <v>44738.0</v>
      </c>
      <c r="C98" s="127">
        <f t="shared" si="1"/>
        <v>44713</v>
      </c>
      <c r="D98" s="128">
        <f t="shared" si="2"/>
        <v>44738</v>
      </c>
      <c r="E98" s="129">
        <f t="shared" si="3"/>
        <v>27</v>
      </c>
      <c r="F98" s="130" t="s">
        <v>24</v>
      </c>
      <c r="G98" s="131" t="s">
        <v>36</v>
      </c>
      <c r="H98" s="130" t="s">
        <v>124</v>
      </c>
      <c r="I98" s="132">
        <f t="shared" ref="I98:I99" si="4">200000-5000</f>
        <v>195000</v>
      </c>
      <c r="J98" s="133" t="s">
        <v>125</v>
      </c>
      <c r="K98" s="134" t="s">
        <v>160</v>
      </c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0" customHeight="1">
      <c r="A99" s="25"/>
      <c r="B99" s="126">
        <v>44791.0</v>
      </c>
      <c r="C99" s="127">
        <f t="shared" si="1"/>
        <v>44774</v>
      </c>
      <c r="D99" s="128">
        <f t="shared" si="2"/>
        <v>44791</v>
      </c>
      <c r="E99" s="129">
        <f t="shared" si="3"/>
        <v>34</v>
      </c>
      <c r="F99" s="130" t="s">
        <v>24</v>
      </c>
      <c r="G99" s="131" t="s">
        <v>36</v>
      </c>
      <c r="H99" s="130" t="s">
        <v>124</v>
      </c>
      <c r="I99" s="132">
        <f t="shared" si="4"/>
        <v>195000</v>
      </c>
      <c r="J99" s="133" t="s">
        <v>125</v>
      </c>
      <c r="K99" s="134" t="s">
        <v>161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0" customHeight="1">
      <c r="A100" s="25"/>
      <c r="B100" s="126">
        <v>44591.0</v>
      </c>
      <c r="C100" s="127">
        <f t="shared" si="1"/>
        <v>44562</v>
      </c>
      <c r="D100" s="128">
        <f t="shared" si="2"/>
        <v>44591</v>
      </c>
      <c r="E100" s="129">
        <f t="shared" si="3"/>
        <v>6</v>
      </c>
      <c r="F100" s="130" t="s">
        <v>24</v>
      </c>
      <c r="G100" s="131" t="s">
        <v>34</v>
      </c>
      <c r="H100" s="130" t="s">
        <v>124</v>
      </c>
      <c r="I100" s="132">
        <v>190007.0</v>
      </c>
      <c r="J100" s="133" t="s">
        <v>125</v>
      </c>
      <c r="K100" s="134" t="s">
        <v>162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0" customHeight="1">
      <c r="A101" s="25"/>
      <c r="B101" s="126">
        <v>44827.0</v>
      </c>
      <c r="C101" s="127">
        <f t="shared" si="1"/>
        <v>44805</v>
      </c>
      <c r="D101" s="128">
        <f t="shared" si="2"/>
        <v>44827</v>
      </c>
      <c r="E101" s="129">
        <f t="shared" si="3"/>
        <v>39</v>
      </c>
      <c r="F101" s="130" t="s">
        <v>24</v>
      </c>
      <c r="G101" s="131" t="s">
        <v>38</v>
      </c>
      <c r="H101" s="130" t="s">
        <v>124</v>
      </c>
      <c r="I101" s="132">
        <f>115320+115320-960-8740-960-8740-10710-10710</f>
        <v>189820</v>
      </c>
      <c r="J101" s="133" t="s">
        <v>125</v>
      </c>
      <c r="K101" s="134" t="s">
        <v>163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0" customHeight="1">
      <c r="A102" s="25"/>
      <c r="B102" s="126">
        <v>44751.0</v>
      </c>
      <c r="C102" s="127">
        <f t="shared" si="1"/>
        <v>44743</v>
      </c>
      <c r="D102" s="128">
        <f t="shared" si="2"/>
        <v>44751</v>
      </c>
      <c r="E102" s="129">
        <f t="shared" si="3"/>
        <v>28</v>
      </c>
      <c r="F102" s="130" t="s">
        <v>24</v>
      </c>
      <c r="G102" s="131" t="s">
        <v>34</v>
      </c>
      <c r="H102" s="130" t="s">
        <v>121</v>
      </c>
      <c r="I102" s="132">
        <v>180000.0</v>
      </c>
      <c r="J102" s="133" t="s">
        <v>125</v>
      </c>
      <c r="K102" s="134" t="s">
        <v>164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0" customHeight="1">
      <c r="A103" s="25"/>
      <c r="B103" s="126">
        <v>44624.0</v>
      </c>
      <c r="C103" s="127">
        <f t="shared" si="1"/>
        <v>44621</v>
      </c>
      <c r="D103" s="128">
        <f t="shared" si="2"/>
        <v>44624</v>
      </c>
      <c r="E103" s="129">
        <f t="shared" si="3"/>
        <v>10</v>
      </c>
      <c r="F103" s="130" t="s">
        <v>24</v>
      </c>
      <c r="G103" s="131" t="s">
        <v>46</v>
      </c>
      <c r="H103" s="130" t="s">
        <v>124</v>
      </c>
      <c r="I103" s="132">
        <f>198300*0.9</f>
        <v>178470</v>
      </c>
      <c r="J103" s="133" t="s">
        <v>125</v>
      </c>
      <c r="K103" s="134" t="s">
        <v>165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0" customHeight="1">
      <c r="A104" s="25"/>
      <c r="B104" s="126">
        <v>44584.0</v>
      </c>
      <c r="C104" s="127">
        <f t="shared" si="1"/>
        <v>44562</v>
      </c>
      <c r="D104" s="128">
        <f t="shared" si="2"/>
        <v>44584</v>
      </c>
      <c r="E104" s="129">
        <f t="shared" si="3"/>
        <v>5</v>
      </c>
      <c r="F104" s="130" t="s">
        <v>24</v>
      </c>
      <c r="G104" s="131" t="s">
        <v>52</v>
      </c>
      <c r="H104" s="130" t="s">
        <v>124</v>
      </c>
      <c r="I104" s="132">
        <v>163449.0</v>
      </c>
      <c r="J104" s="133" t="s">
        <v>125</v>
      </c>
      <c r="K104" s="134" t="s">
        <v>166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0" customHeight="1">
      <c r="A105" s="25"/>
      <c r="B105" s="126">
        <v>44863.0</v>
      </c>
      <c r="C105" s="127">
        <f t="shared" si="1"/>
        <v>44835</v>
      </c>
      <c r="D105" s="128">
        <f t="shared" si="2"/>
        <v>44863</v>
      </c>
      <c r="E105" s="129">
        <f t="shared" si="3"/>
        <v>44</v>
      </c>
      <c r="F105" s="130" t="s">
        <v>26</v>
      </c>
      <c r="G105" s="131" t="s">
        <v>76</v>
      </c>
      <c r="H105" s="130" t="s">
        <v>124</v>
      </c>
      <c r="I105" s="132">
        <v>162200.0</v>
      </c>
      <c r="J105" s="133" t="s">
        <v>125</v>
      </c>
      <c r="K105" s="134" t="s">
        <v>167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0" customHeight="1">
      <c r="A106" s="25"/>
      <c r="B106" s="126">
        <v>44891.0</v>
      </c>
      <c r="C106" s="127">
        <f t="shared" si="1"/>
        <v>44866</v>
      </c>
      <c r="D106" s="128">
        <f t="shared" si="2"/>
        <v>44891</v>
      </c>
      <c r="E106" s="129">
        <f t="shared" si="3"/>
        <v>48</v>
      </c>
      <c r="F106" s="130" t="s">
        <v>26</v>
      </c>
      <c r="G106" s="131" t="s">
        <v>82</v>
      </c>
      <c r="H106" s="130" t="s">
        <v>124</v>
      </c>
      <c r="I106" s="132">
        <v>160000.0</v>
      </c>
      <c r="J106" s="133" t="s">
        <v>122</v>
      </c>
      <c r="K106" s="134" t="s">
        <v>168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0" customHeight="1">
      <c r="A107" s="25"/>
      <c r="B107" s="126">
        <v>44653.0</v>
      </c>
      <c r="C107" s="127">
        <f t="shared" si="1"/>
        <v>44652</v>
      </c>
      <c r="D107" s="128">
        <f t="shared" si="2"/>
        <v>44653</v>
      </c>
      <c r="E107" s="129">
        <f t="shared" si="3"/>
        <v>14</v>
      </c>
      <c r="F107" s="130" t="s">
        <v>26</v>
      </c>
      <c r="G107" s="131" t="s">
        <v>76</v>
      </c>
      <c r="H107" s="130" t="s">
        <v>124</v>
      </c>
      <c r="I107" s="132">
        <v>153880.0</v>
      </c>
      <c r="J107" s="133" t="s">
        <v>125</v>
      </c>
      <c r="K107" s="134" t="s">
        <v>169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0" customHeight="1">
      <c r="A108" s="25"/>
      <c r="B108" s="126">
        <v>44672.0</v>
      </c>
      <c r="C108" s="127">
        <f t="shared" si="1"/>
        <v>44652</v>
      </c>
      <c r="D108" s="128">
        <f t="shared" si="2"/>
        <v>44672</v>
      </c>
      <c r="E108" s="129">
        <f t="shared" si="3"/>
        <v>17</v>
      </c>
      <c r="F108" s="130" t="s">
        <v>24</v>
      </c>
      <c r="G108" s="131" t="s">
        <v>52</v>
      </c>
      <c r="H108" s="130" t="s">
        <v>124</v>
      </c>
      <c r="I108" s="132">
        <f>191390-38278</f>
        <v>153112</v>
      </c>
      <c r="J108" s="133" t="s">
        <v>125</v>
      </c>
      <c r="K108" s="134" t="s">
        <v>170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0" customHeight="1">
      <c r="A109" s="25"/>
      <c r="B109" s="126">
        <v>44666.0</v>
      </c>
      <c r="C109" s="127">
        <f t="shared" si="1"/>
        <v>44652</v>
      </c>
      <c r="D109" s="128">
        <f t="shared" si="2"/>
        <v>44666</v>
      </c>
      <c r="E109" s="129">
        <f t="shared" si="3"/>
        <v>16</v>
      </c>
      <c r="F109" s="130" t="s">
        <v>26</v>
      </c>
      <c r="G109" s="131" t="s">
        <v>76</v>
      </c>
      <c r="H109" s="130" t="s">
        <v>124</v>
      </c>
      <c r="I109" s="132">
        <v>151130.0</v>
      </c>
      <c r="J109" s="133" t="s">
        <v>125</v>
      </c>
      <c r="K109" s="134" t="s">
        <v>151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0" customHeight="1">
      <c r="A110" s="25"/>
      <c r="B110" s="126">
        <v>44912.0</v>
      </c>
      <c r="C110" s="127">
        <f t="shared" si="1"/>
        <v>44896</v>
      </c>
      <c r="D110" s="128">
        <f t="shared" si="2"/>
        <v>44912</v>
      </c>
      <c r="E110" s="129">
        <f t="shared" si="3"/>
        <v>51</v>
      </c>
      <c r="F110" s="130" t="s">
        <v>26</v>
      </c>
      <c r="G110" s="131" t="s">
        <v>70</v>
      </c>
      <c r="H110" s="130" t="s">
        <v>124</v>
      </c>
      <c r="I110" s="132">
        <v>150160.0</v>
      </c>
      <c r="J110" s="133" t="s">
        <v>125</v>
      </c>
      <c r="K110" s="134" t="s">
        <v>171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0" customHeight="1">
      <c r="A111" s="25"/>
      <c r="B111" s="126">
        <v>44849.0</v>
      </c>
      <c r="C111" s="127">
        <f t="shared" si="1"/>
        <v>44835</v>
      </c>
      <c r="D111" s="128">
        <f t="shared" si="2"/>
        <v>44849</v>
      </c>
      <c r="E111" s="129">
        <f t="shared" si="3"/>
        <v>42</v>
      </c>
      <c r="F111" s="130" t="s">
        <v>26</v>
      </c>
      <c r="G111" s="131" t="s">
        <v>76</v>
      </c>
      <c r="H111" s="130" t="s">
        <v>124</v>
      </c>
      <c r="I111" s="132">
        <v>147640.0</v>
      </c>
      <c r="J111" s="133" t="s">
        <v>125</v>
      </c>
      <c r="K111" s="134" t="s">
        <v>167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0" customHeight="1">
      <c r="A112" s="25"/>
      <c r="B112" s="126">
        <v>44627.0</v>
      </c>
      <c r="C112" s="127">
        <f t="shared" si="1"/>
        <v>44621</v>
      </c>
      <c r="D112" s="128">
        <f t="shared" si="2"/>
        <v>44627</v>
      </c>
      <c r="E112" s="129">
        <f t="shared" si="3"/>
        <v>11</v>
      </c>
      <c r="F112" s="130" t="s">
        <v>26</v>
      </c>
      <c r="G112" s="131" t="s">
        <v>76</v>
      </c>
      <c r="H112" s="130" t="s">
        <v>124</v>
      </c>
      <c r="I112" s="132">
        <v>144380.0</v>
      </c>
      <c r="J112" s="133" t="s">
        <v>125</v>
      </c>
      <c r="K112" s="134" t="s">
        <v>151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0" customHeight="1">
      <c r="A113" s="25"/>
      <c r="B113" s="126">
        <v>44583.0</v>
      </c>
      <c r="C113" s="127">
        <f t="shared" si="1"/>
        <v>44562</v>
      </c>
      <c r="D113" s="128">
        <f t="shared" si="2"/>
        <v>44583</v>
      </c>
      <c r="E113" s="129">
        <f t="shared" si="3"/>
        <v>4</v>
      </c>
      <c r="F113" s="130" t="s">
        <v>128</v>
      </c>
      <c r="G113" s="131" t="s">
        <v>172</v>
      </c>
      <c r="H113" s="130" t="s">
        <v>124</v>
      </c>
      <c r="I113" s="132">
        <v>136395.0</v>
      </c>
      <c r="J113" s="133" t="s">
        <v>125</v>
      </c>
      <c r="K113" s="134" t="s">
        <v>173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0" customHeight="1">
      <c r="A114" s="25"/>
      <c r="B114" s="126">
        <v>44609.0</v>
      </c>
      <c r="C114" s="127">
        <f t="shared" si="1"/>
        <v>44593</v>
      </c>
      <c r="D114" s="128">
        <f t="shared" si="2"/>
        <v>44609</v>
      </c>
      <c r="E114" s="129">
        <f t="shared" si="3"/>
        <v>8</v>
      </c>
      <c r="F114" s="130" t="s">
        <v>24</v>
      </c>
      <c r="G114" s="131" t="s">
        <v>36</v>
      </c>
      <c r="H114" s="130" t="s">
        <v>121</v>
      </c>
      <c r="I114" s="132">
        <f>150000*0.9</f>
        <v>135000</v>
      </c>
      <c r="J114" s="133" t="s">
        <v>125</v>
      </c>
      <c r="K114" s="134" t="s">
        <v>174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0" customHeight="1">
      <c r="A115" s="25"/>
      <c r="B115" s="126">
        <v>44743.0</v>
      </c>
      <c r="C115" s="127">
        <f t="shared" si="1"/>
        <v>44743</v>
      </c>
      <c r="D115" s="128">
        <f t="shared" si="2"/>
        <v>44743</v>
      </c>
      <c r="E115" s="129">
        <f t="shared" si="3"/>
        <v>27</v>
      </c>
      <c r="F115" s="130" t="s">
        <v>26</v>
      </c>
      <c r="G115" s="131" t="s">
        <v>76</v>
      </c>
      <c r="H115" s="130" t="s">
        <v>124</v>
      </c>
      <c r="I115" s="132">
        <v>133590.0</v>
      </c>
      <c r="J115" s="133" t="s">
        <v>125</v>
      </c>
      <c r="K115" s="134" t="s">
        <v>151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0" customHeight="1">
      <c r="A116" s="25"/>
      <c r="B116" s="126">
        <v>44575.0</v>
      </c>
      <c r="C116" s="127">
        <f t="shared" si="1"/>
        <v>44562</v>
      </c>
      <c r="D116" s="128">
        <f t="shared" si="2"/>
        <v>44575</v>
      </c>
      <c r="E116" s="129">
        <f t="shared" si="3"/>
        <v>3</v>
      </c>
      <c r="F116" s="130" t="s">
        <v>24</v>
      </c>
      <c r="G116" s="131" t="s">
        <v>38</v>
      </c>
      <c r="H116" s="130" t="s">
        <v>124</v>
      </c>
      <c r="I116" s="132">
        <v>132100.0</v>
      </c>
      <c r="J116" s="133" t="s">
        <v>122</v>
      </c>
      <c r="K116" s="134" t="s">
        <v>175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0" customHeight="1">
      <c r="A117" s="25"/>
      <c r="B117" s="126">
        <v>44619.0</v>
      </c>
      <c r="C117" s="127">
        <f t="shared" si="1"/>
        <v>44593</v>
      </c>
      <c r="D117" s="128">
        <f t="shared" si="2"/>
        <v>44619</v>
      </c>
      <c r="E117" s="129">
        <f t="shared" si="3"/>
        <v>10</v>
      </c>
      <c r="F117" s="130" t="s">
        <v>24</v>
      </c>
      <c r="G117" s="131" t="s">
        <v>34</v>
      </c>
      <c r="H117" s="130" t="s">
        <v>124</v>
      </c>
      <c r="I117" s="132">
        <f>136940-7730</f>
        <v>129210</v>
      </c>
      <c r="J117" s="133" t="s">
        <v>125</v>
      </c>
      <c r="K117" s="134" t="s">
        <v>176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0" customHeight="1">
      <c r="A118" s="25"/>
      <c r="B118" s="126">
        <v>44643.0</v>
      </c>
      <c r="C118" s="127">
        <f t="shared" si="1"/>
        <v>44621</v>
      </c>
      <c r="D118" s="128">
        <f t="shared" si="2"/>
        <v>44643</v>
      </c>
      <c r="E118" s="129">
        <f t="shared" si="3"/>
        <v>13</v>
      </c>
      <c r="F118" s="130" t="s">
        <v>128</v>
      </c>
      <c r="G118" s="131" t="s">
        <v>172</v>
      </c>
      <c r="H118" s="130" t="s">
        <v>124</v>
      </c>
      <c r="I118" s="132">
        <v>128020.0</v>
      </c>
      <c r="J118" s="133" t="s">
        <v>125</v>
      </c>
      <c r="K118" s="134" t="s">
        <v>177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0" customHeight="1">
      <c r="A119" s="25"/>
      <c r="B119" s="126">
        <v>44807.0</v>
      </c>
      <c r="C119" s="127">
        <f t="shared" si="1"/>
        <v>44805</v>
      </c>
      <c r="D119" s="128">
        <f t="shared" si="2"/>
        <v>44807</v>
      </c>
      <c r="E119" s="129">
        <f t="shared" si="3"/>
        <v>36</v>
      </c>
      <c r="F119" s="130" t="s">
        <v>24</v>
      </c>
      <c r="G119" s="131" t="s">
        <v>54</v>
      </c>
      <c r="H119" s="130" t="s">
        <v>124</v>
      </c>
      <c r="I119" s="132">
        <f>1259750-1133770</f>
        <v>125980</v>
      </c>
      <c r="J119" s="133" t="s">
        <v>122</v>
      </c>
      <c r="K119" s="134" t="s">
        <v>178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0" customHeight="1">
      <c r="A120" s="25"/>
      <c r="B120" s="126">
        <v>44905.0</v>
      </c>
      <c r="C120" s="127">
        <f t="shared" si="1"/>
        <v>44896</v>
      </c>
      <c r="D120" s="128">
        <f t="shared" si="2"/>
        <v>44905</v>
      </c>
      <c r="E120" s="129">
        <f t="shared" si="3"/>
        <v>50</v>
      </c>
      <c r="F120" s="130" t="s">
        <v>26</v>
      </c>
      <c r="G120" s="131" t="s">
        <v>70</v>
      </c>
      <c r="H120" s="130" t="s">
        <v>124</v>
      </c>
      <c r="I120" s="132">
        <v>125000.0</v>
      </c>
      <c r="J120" s="133" t="s">
        <v>125</v>
      </c>
      <c r="K120" s="134" t="s">
        <v>179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0" customHeight="1">
      <c r="A121" s="25"/>
      <c r="B121" s="126">
        <v>44847.0</v>
      </c>
      <c r="C121" s="127">
        <f t="shared" si="1"/>
        <v>44835</v>
      </c>
      <c r="D121" s="128">
        <f t="shared" si="2"/>
        <v>44847</v>
      </c>
      <c r="E121" s="129">
        <f t="shared" si="3"/>
        <v>42</v>
      </c>
      <c r="F121" s="130" t="s">
        <v>26</v>
      </c>
      <c r="G121" s="131" t="s">
        <v>79</v>
      </c>
      <c r="H121" s="130" t="s">
        <v>124</v>
      </c>
      <c r="I121" s="132">
        <v>120000.0</v>
      </c>
      <c r="J121" s="133" t="s">
        <v>125</v>
      </c>
      <c r="K121" s="134" t="s">
        <v>180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0" customHeight="1">
      <c r="A122" s="25"/>
      <c r="B122" s="126">
        <v>44762.0</v>
      </c>
      <c r="C122" s="127">
        <f t="shared" si="1"/>
        <v>44743</v>
      </c>
      <c r="D122" s="128">
        <f t="shared" si="2"/>
        <v>44762</v>
      </c>
      <c r="E122" s="129">
        <f t="shared" si="3"/>
        <v>30</v>
      </c>
      <c r="F122" s="130" t="s">
        <v>128</v>
      </c>
      <c r="G122" s="131" t="s">
        <v>129</v>
      </c>
      <c r="H122" s="130" t="s">
        <v>124</v>
      </c>
      <c r="I122" s="132">
        <v>117720.0</v>
      </c>
      <c r="J122" s="133" t="s">
        <v>122</v>
      </c>
      <c r="K122" s="134" t="s">
        <v>181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0" customHeight="1">
      <c r="A123" s="25"/>
      <c r="B123" s="126">
        <v>44906.0</v>
      </c>
      <c r="C123" s="127">
        <f t="shared" si="1"/>
        <v>44896</v>
      </c>
      <c r="D123" s="128">
        <f t="shared" si="2"/>
        <v>44906</v>
      </c>
      <c r="E123" s="129">
        <f t="shared" si="3"/>
        <v>51</v>
      </c>
      <c r="F123" s="130" t="s">
        <v>26</v>
      </c>
      <c r="G123" s="131" t="s">
        <v>82</v>
      </c>
      <c r="H123" s="130" t="s">
        <v>124</v>
      </c>
      <c r="I123" s="132">
        <v>117501.0</v>
      </c>
      <c r="J123" s="133" t="s">
        <v>125</v>
      </c>
      <c r="K123" s="134" t="s">
        <v>182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0" customHeight="1">
      <c r="A124" s="25"/>
      <c r="B124" s="126">
        <v>44836.0</v>
      </c>
      <c r="C124" s="127">
        <f t="shared" si="1"/>
        <v>44835</v>
      </c>
      <c r="D124" s="128">
        <f t="shared" si="2"/>
        <v>44836</v>
      </c>
      <c r="E124" s="129">
        <f t="shared" si="3"/>
        <v>41</v>
      </c>
      <c r="F124" s="130" t="s">
        <v>26</v>
      </c>
      <c r="G124" s="131" t="s">
        <v>76</v>
      </c>
      <c r="H124" s="130" t="s">
        <v>124</v>
      </c>
      <c r="I124" s="132">
        <v>116740.0</v>
      </c>
      <c r="J124" s="133" t="s">
        <v>125</v>
      </c>
      <c r="K124" s="134" t="s">
        <v>183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0" customHeight="1">
      <c r="A125" s="25"/>
      <c r="B125" s="126">
        <v>44759.0</v>
      </c>
      <c r="C125" s="127">
        <f t="shared" si="1"/>
        <v>44743</v>
      </c>
      <c r="D125" s="128">
        <f t="shared" si="2"/>
        <v>44759</v>
      </c>
      <c r="E125" s="129">
        <f t="shared" si="3"/>
        <v>30</v>
      </c>
      <c r="F125" s="130" t="s">
        <v>24</v>
      </c>
      <c r="G125" s="131" t="s">
        <v>38</v>
      </c>
      <c r="H125" s="130" t="s">
        <v>124</v>
      </c>
      <c r="I125" s="132">
        <v>115320.0</v>
      </c>
      <c r="J125" s="133" t="s">
        <v>125</v>
      </c>
      <c r="K125" s="134" t="s">
        <v>163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0" customHeight="1">
      <c r="A126" s="25"/>
      <c r="B126" s="126">
        <v>44759.0</v>
      </c>
      <c r="C126" s="127">
        <f t="shared" si="1"/>
        <v>44743</v>
      </c>
      <c r="D126" s="128">
        <f t="shared" si="2"/>
        <v>44759</v>
      </c>
      <c r="E126" s="129">
        <f t="shared" si="3"/>
        <v>30</v>
      </c>
      <c r="F126" s="130" t="s">
        <v>24</v>
      </c>
      <c r="G126" s="131" t="s">
        <v>38</v>
      </c>
      <c r="H126" s="130" t="s">
        <v>124</v>
      </c>
      <c r="I126" s="132">
        <v>115320.0</v>
      </c>
      <c r="J126" s="133" t="s">
        <v>122</v>
      </c>
      <c r="K126" s="134" t="s">
        <v>163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0" customHeight="1">
      <c r="A127" s="25"/>
      <c r="B127" s="126">
        <v>44772.0</v>
      </c>
      <c r="C127" s="127">
        <f t="shared" si="1"/>
        <v>44743</v>
      </c>
      <c r="D127" s="128">
        <f t="shared" si="2"/>
        <v>44772</v>
      </c>
      <c r="E127" s="129">
        <f t="shared" si="3"/>
        <v>31</v>
      </c>
      <c r="F127" s="130" t="s">
        <v>128</v>
      </c>
      <c r="G127" s="131" t="s">
        <v>129</v>
      </c>
      <c r="H127" s="130" t="s">
        <v>124</v>
      </c>
      <c r="I127" s="132">
        <v>113763.0</v>
      </c>
      <c r="J127" s="133" t="s">
        <v>125</v>
      </c>
      <c r="K127" s="134" t="s">
        <v>184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0" customHeight="1">
      <c r="A128" s="25"/>
      <c r="B128" s="126">
        <v>44846.0</v>
      </c>
      <c r="C128" s="127">
        <f t="shared" si="1"/>
        <v>44835</v>
      </c>
      <c r="D128" s="128">
        <f t="shared" si="2"/>
        <v>44846</v>
      </c>
      <c r="E128" s="129">
        <f t="shared" si="3"/>
        <v>42</v>
      </c>
      <c r="F128" s="130" t="s">
        <v>24</v>
      </c>
      <c r="G128" s="131" t="s">
        <v>52</v>
      </c>
      <c r="H128" s="130" t="s">
        <v>124</v>
      </c>
      <c r="I128" s="132">
        <v>110000.0</v>
      </c>
      <c r="J128" s="133" t="s">
        <v>125</v>
      </c>
      <c r="K128" s="134" t="s">
        <v>185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0" customHeight="1">
      <c r="A129" s="25"/>
      <c r="B129" s="126">
        <v>44789.0</v>
      </c>
      <c r="C129" s="127">
        <f t="shared" si="1"/>
        <v>44774</v>
      </c>
      <c r="D129" s="128">
        <f t="shared" si="2"/>
        <v>44789</v>
      </c>
      <c r="E129" s="129">
        <f t="shared" si="3"/>
        <v>34</v>
      </c>
      <c r="F129" s="130" t="s">
        <v>26</v>
      </c>
      <c r="G129" s="131" t="s">
        <v>82</v>
      </c>
      <c r="H129" s="130" t="s">
        <v>124</v>
      </c>
      <c r="I129" s="132">
        <v>108300.0</v>
      </c>
      <c r="J129" s="133" t="s">
        <v>122</v>
      </c>
      <c r="K129" s="134" t="s">
        <v>186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0" customHeight="1">
      <c r="A130" s="25"/>
      <c r="B130" s="126">
        <v>44732.0</v>
      </c>
      <c r="C130" s="127">
        <f t="shared" si="1"/>
        <v>44713</v>
      </c>
      <c r="D130" s="128">
        <f t="shared" si="2"/>
        <v>44732</v>
      </c>
      <c r="E130" s="129">
        <f t="shared" si="3"/>
        <v>26</v>
      </c>
      <c r="F130" s="130" t="s">
        <v>128</v>
      </c>
      <c r="G130" s="131" t="s">
        <v>172</v>
      </c>
      <c r="H130" s="130" t="s">
        <v>124</v>
      </c>
      <c r="I130" s="132">
        <v>106000.0</v>
      </c>
      <c r="J130" s="133" t="s">
        <v>125</v>
      </c>
      <c r="K130" s="134" t="s">
        <v>187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0" customHeight="1">
      <c r="A131" s="25"/>
      <c r="B131" s="126">
        <v>44616.0</v>
      </c>
      <c r="C131" s="127">
        <f t="shared" si="1"/>
        <v>44593</v>
      </c>
      <c r="D131" s="128">
        <f t="shared" si="2"/>
        <v>44616</v>
      </c>
      <c r="E131" s="129">
        <f t="shared" si="3"/>
        <v>9</v>
      </c>
      <c r="F131" s="130" t="s">
        <v>128</v>
      </c>
      <c r="G131" s="131" t="s">
        <v>172</v>
      </c>
      <c r="H131" s="130" t="s">
        <v>124</v>
      </c>
      <c r="I131" s="132">
        <f>110660-4905</f>
        <v>105755</v>
      </c>
      <c r="J131" s="133" t="s">
        <v>125</v>
      </c>
      <c r="K131" s="134" t="s">
        <v>188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0" customHeight="1">
      <c r="A132" s="25"/>
      <c r="B132" s="126">
        <v>44638.0</v>
      </c>
      <c r="C132" s="127">
        <f t="shared" si="1"/>
        <v>44621</v>
      </c>
      <c r="D132" s="128">
        <f t="shared" si="2"/>
        <v>44638</v>
      </c>
      <c r="E132" s="129">
        <f t="shared" si="3"/>
        <v>12</v>
      </c>
      <c r="F132" s="130" t="s">
        <v>26</v>
      </c>
      <c r="G132" s="131" t="s">
        <v>79</v>
      </c>
      <c r="H132" s="130" t="s">
        <v>121</v>
      </c>
      <c r="I132" s="132">
        <f>117000*0.9</f>
        <v>105300</v>
      </c>
      <c r="J132" s="133" t="s">
        <v>125</v>
      </c>
      <c r="K132" s="134" t="s">
        <v>189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0" customHeight="1">
      <c r="A133" s="25"/>
      <c r="B133" s="126">
        <v>44597.0</v>
      </c>
      <c r="C133" s="127">
        <f t="shared" si="1"/>
        <v>44593</v>
      </c>
      <c r="D133" s="128">
        <f t="shared" si="2"/>
        <v>44597</v>
      </c>
      <c r="E133" s="129">
        <f t="shared" si="3"/>
        <v>6</v>
      </c>
      <c r="F133" s="130" t="s">
        <v>26</v>
      </c>
      <c r="G133" s="131" t="s">
        <v>76</v>
      </c>
      <c r="H133" s="130" t="s">
        <v>124</v>
      </c>
      <c r="I133" s="132">
        <v>105150.0</v>
      </c>
      <c r="J133" s="133" t="s">
        <v>125</v>
      </c>
      <c r="K133" s="134" t="s">
        <v>167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0" customHeight="1">
      <c r="A134" s="25"/>
      <c r="B134" s="126">
        <v>44609.0</v>
      </c>
      <c r="C134" s="127">
        <f t="shared" si="1"/>
        <v>44593</v>
      </c>
      <c r="D134" s="128">
        <f t="shared" si="2"/>
        <v>44609</v>
      </c>
      <c r="E134" s="129">
        <f t="shared" si="3"/>
        <v>8</v>
      </c>
      <c r="F134" s="130" t="s">
        <v>26</v>
      </c>
      <c r="G134" s="131" t="s">
        <v>73</v>
      </c>
      <c r="H134" s="130" t="s">
        <v>124</v>
      </c>
      <c r="I134" s="132">
        <f>208500-105000</f>
        <v>103500</v>
      </c>
      <c r="J134" s="133" t="s">
        <v>122</v>
      </c>
      <c r="K134" s="134" t="s">
        <v>190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0" customHeight="1">
      <c r="A135" s="25"/>
      <c r="B135" s="126">
        <v>44617.0</v>
      </c>
      <c r="C135" s="127">
        <f t="shared" si="1"/>
        <v>44593</v>
      </c>
      <c r="D135" s="128">
        <f t="shared" si="2"/>
        <v>44617</v>
      </c>
      <c r="E135" s="129">
        <f t="shared" si="3"/>
        <v>9</v>
      </c>
      <c r="F135" s="130" t="s">
        <v>24</v>
      </c>
      <c r="G135" s="131" t="s">
        <v>25</v>
      </c>
      <c r="H135" s="130" t="s">
        <v>121</v>
      </c>
      <c r="I135" s="132">
        <v>100000.0</v>
      </c>
      <c r="J135" s="133" t="s">
        <v>125</v>
      </c>
      <c r="K135" s="134" t="s">
        <v>191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0" customHeight="1">
      <c r="A136" s="25"/>
      <c r="B136" s="126">
        <v>44693.0</v>
      </c>
      <c r="C136" s="127">
        <f t="shared" si="1"/>
        <v>44682</v>
      </c>
      <c r="D136" s="128">
        <f t="shared" si="2"/>
        <v>44693</v>
      </c>
      <c r="E136" s="129">
        <f t="shared" si="3"/>
        <v>20</v>
      </c>
      <c r="F136" s="130" t="s">
        <v>26</v>
      </c>
      <c r="G136" s="131" t="s">
        <v>73</v>
      </c>
      <c r="H136" s="130" t="s">
        <v>121</v>
      </c>
      <c r="I136" s="132">
        <v>100000.0</v>
      </c>
      <c r="J136" s="133" t="s">
        <v>125</v>
      </c>
      <c r="K136" s="134" t="s">
        <v>192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0" customHeight="1">
      <c r="A137" s="25"/>
      <c r="B137" s="126">
        <v>44729.0</v>
      </c>
      <c r="C137" s="127">
        <f t="shared" si="1"/>
        <v>44713</v>
      </c>
      <c r="D137" s="128">
        <f t="shared" si="2"/>
        <v>44729</v>
      </c>
      <c r="E137" s="129">
        <f t="shared" si="3"/>
        <v>25</v>
      </c>
      <c r="F137" s="130" t="s">
        <v>26</v>
      </c>
      <c r="G137" s="131" t="s">
        <v>73</v>
      </c>
      <c r="H137" s="130" t="s">
        <v>121</v>
      </c>
      <c r="I137" s="132">
        <v>100000.0</v>
      </c>
      <c r="J137" s="133" t="s">
        <v>125</v>
      </c>
      <c r="K137" s="134" t="s">
        <v>193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0" customHeight="1">
      <c r="A138" s="25"/>
      <c r="B138" s="126">
        <v>44752.0</v>
      </c>
      <c r="C138" s="127">
        <f t="shared" si="1"/>
        <v>44743</v>
      </c>
      <c r="D138" s="128">
        <f t="shared" si="2"/>
        <v>44752</v>
      </c>
      <c r="E138" s="129">
        <f t="shared" si="3"/>
        <v>29</v>
      </c>
      <c r="F138" s="130" t="s">
        <v>24</v>
      </c>
      <c r="G138" s="131" t="s">
        <v>25</v>
      </c>
      <c r="H138" s="130" t="s">
        <v>121</v>
      </c>
      <c r="I138" s="132">
        <v>100000.0</v>
      </c>
      <c r="J138" s="133" t="s">
        <v>122</v>
      </c>
      <c r="K138" s="134" t="s">
        <v>194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0" customHeight="1">
      <c r="A139" s="25"/>
      <c r="B139" s="126">
        <v>44772.0</v>
      </c>
      <c r="C139" s="127">
        <f t="shared" si="1"/>
        <v>44743</v>
      </c>
      <c r="D139" s="128">
        <f t="shared" si="2"/>
        <v>44772</v>
      </c>
      <c r="E139" s="129">
        <f t="shared" si="3"/>
        <v>31</v>
      </c>
      <c r="F139" s="130" t="s">
        <v>24</v>
      </c>
      <c r="G139" s="131" t="s">
        <v>25</v>
      </c>
      <c r="H139" s="130" t="s">
        <v>121</v>
      </c>
      <c r="I139" s="132">
        <v>100000.0</v>
      </c>
      <c r="J139" s="133" t="s">
        <v>122</v>
      </c>
      <c r="K139" s="134" t="s">
        <v>195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0" customHeight="1">
      <c r="A140" s="135"/>
      <c r="B140" s="126">
        <v>44718.0</v>
      </c>
      <c r="C140" s="127">
        <f t="shared" si="1"/>
        <v>44713</v>
      </c>
      <c r="D140" s="128">
        <f t="shared" si="2"/>
        <v>44718</v>
      </c>
      <c r="E140" s="129">
        <f t="shared" si="3"/>
        <v>24</v>
      </c>
      <c r="F140" s="130" t="s">
        <v>24</v>
      </c>
      <c r="G140" s="131" t="s">
        <v>46</v>
      </c>
      <c r="H140" s="130" t="s">
        <v>124</v>
      </c>
      <c r="I140" s="132">
        <v>99225.0</v>
      </c>
      <c r="J140" s="133" t="s">
        <v>125</v>
      </c>
      <c r="K140" s="134" t="s">
        <v>196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0" customHeight="1">
      <c r="A141" s="25"/>
      <c r="B141" s="126">
        <v>44575.0</v>
      </c>
      <c r="C141" s="127">
        <f t="shared" si="1"/>
        <v>44562</v>
      </c>
      <c r="D141" s="128">
        <f t="shared" si="2"/>
        <v>44575</v>
      </c>
      <c r="E141" s="129">
        <f t="shared" si="3"/>
        <v>3</v>
      </c>
      <c r="F141" s="130" t="s">
        <v>26</v>
      </c>
      <c r="G141" s="131" t="s">
        <v>76</v>
      </c>
      <c r="H141" s="130" t="s">
        <v>124</v>
      </c>
      <c r="I141" s="132">
        <v>99000.0</v>
      </c>
      <c r="J141" s="133" t="s">
        <v>125</v>
      </c>
      <c r="K141" s="134" t="s">
        <v>197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0" customHeight="1">
      <c r="A142" s="25"/>
      <c r="B142" s="126">
        <v>44811.0</v>
      </c>
      <c r="C142" s="127">
        <f t="shared" si="1"/>
        <v>44805</v>
      </c>
      <c r="D142" s="128">
        <f t="shared" si="2"/>
        <v>44811</v>
      </c>
      <c r="E142" s="129">
        <f t="shared" si="3"/>
        <v>37</v>
      </c>
      <c r="F142" s="130" t="s">
        <v>24</v>
      </c>
      <c r="G142" s="131" t="s">
        <v>34</v>
      </c>
      <c r="H142" s="130" t="s">
        <v>124</v>
      </c>
      <c r="I142" s="132">
        <v>98800.0</v>
      </c>
      <c r="J142" s="133" t="s">
        <v>125</v>
      </c>
      <c r="K142" s="134" t="s">
        <v>198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0" customHeight="1">
      <c r="A143" s="25"/>
      <c r="B143" s="126">
        <v>44625.0</v>
      </c>
      <c r="C143" s="127">
        <f t="shared" si="1"/>
        <v>44621</v>
      </c>
      <c r="D143" s="128">
        <f t="shared" si="2"/>
        <v>44625</v>
      </c>
      <c r="E143" s="129">
        <f t="shared" si="3"/>
        <v>10</v>
      </c>
      <c r="F143" s="130" t="s">
        <v>26</v>
      </c>
      <c r="G143" s="131" t="s">
        <v>76</v>
      </c>
      <c r="H143" s="130" t="s">
        <v>124</v>
      </c>
      <c r="I143" s="132">
        <v>97890.0</v>
      </c>
      <c r="J143" s="133" t="s">
        <v>125</v>
      </c>
      <c r="K143" s="134" t="s">
        <v>199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0" customHeight="1">
      <c r="A144" s="25"/>
      <c r="B144" s="126">
        <v>44633.0</v>
      </c>
      <c r="C144" s="127">
        <f t="shared" si="1"/>
        <v>44621</v>
      </c>
      <c r="D144" s="128">
        <f t="shared" si="2"/>
        <v>44633</v>
      </c>
      <c r="E144" s="129">
        <f t="shared" si="3"/>
        <v>12</v>
      </c>
      <c r="F144" s="130" t="s">
        <v>26</v>
      </c>
      <c r="G144" s="131" t="s">
        <v>82</v>
      </c>
      <c r="H144" s="130" t="s">
        <v>124</v>
      </c>
      <c r="I144" s="132">
        <v>97200.0</v>
      </c>
      <c r="J144" s="133" t="s">
        <v>122</v>
      </c>
      <c r="K144" s="134" t="s">
        <v>200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0" customHeight="1">
      <c r="A145" s="25"/>
      <c r="B145" s="126">
        <v>44666.0</v>
      </c>
      <c r="C145" s="127">
        <f t="shared" si="1"/>
        <v>44652</v>
      </c>
      <c r="D145" s="128">
        <f t="shared" si="2"/>
        <v>44666</v>
      </c>
      <c r="E145" s="129">
        <f t="shared" si="3"/>
        <v>16</v>
      </c>
      <c r="F145" s="130" t="s">
        <v>24</v>
      </c>
      <c r="G145" s="131" t="s">
        <v>46</v>
      </c>
      <c r="H145" s="130" t="s">
        <v>124</v>
      </c>
      <c r="I145" s="132">
        <v>97000.0</v>
      </c>
      <c r="J145" s="133" t="s">
        <v>125</v>
      </c>
      <c r="K145" s="134" t="s">
        <v>196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0" customHeight="1">
      <c r="A146" s="25"/>
      <c r="B146" s="126">
        <v>44778.0</v>
      </c>
      <c r="C146" s="127">
        <f t="shared" si="1"/>
        <v>44774</v>
      </c>
      <c r="D146" s="128">
        <f t="shared" si="2"/>
        <v>44778</v>
      </c>
      <c r="E146" s="129">
        <f t="shared" si="3"/>
        <v>32</v>
      </c>
      <c r="F146" s="130" t="s">
        <v>26</v>
      </c>
      <c r="G146" s="131" t="s">
        <v>70</v>
      </c>
      <c r="H146" s="130" t="s">
        <v>124</v>
      </c>
      <c r="I146" s="132">
        <v>96000.0</v>
      </c>
      <c r="J146" s="133" t="s">
        <v>122</v>
      </c>
      <c r="K146" s="134" t="s">
        <v>201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0" customHeight="1">
      <c r="A147" s="25"/>
      <c r="B147" s="126">
        <v>44709.0</v>
      </c>
      <c r="C147" s="127">
        <f t="shared" si="1"/>
        <v>44682</v>
      </c>
      <c r="D147" s="128">
        <f t="shared" si="2"/>
        <v>44709</v>
      </c>
      <c r="E147" s="129">
        <f t="shared" si="3"/>
        <v>22</v>
      </c>
      <c r="F147" s="130" t="s">
        <v>26</v>
      </c>
      <c r="G147" s="131" t="s">
        <v>76</v>
      </c>
      <c r="H147" s="130" t="s">
        <v>124</v>
      </c>
      <c r="I147" s="132">
        <v>94770.0</v>
      </c>
      <c r="J147" s="133" t="s">
        <v>122</v>
      </c>
      <c r="K147" s="134" t="s">
        <v>202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0" customHeight="1">
      <c r="A148" s="25"/>
      <c r="B148" s="126">
        <v>44666.0</v>
      </c>
      <c r="C148" s="127">
        <f t="shared" si="1"/>
        <v>44652</v>
      </c>
      <c r="D148" s="128">
        <f t="shared" si="2"/>
        <v>44666</v>
      </c>
      <c r="E148" s="129">
        <f t="shared" si="3"/>
        <v>16</v>
      </c>
      <c r="F148" s="130" t="s">
        <v>26</v>
      </c>
      <c r="G148" s="131" t="s">
        <v>76</v>
      </c>
      <c r="H148" s="130" t="s">
        <v>124</v>
      </c>
      <c r="I148" s="132">
        <v>92530.0</v>
      </c>
      <c r="J148" s="133" t="s">
        <v>125</v>
      </c>
      <c r="K148" s="134" t="s">
        <v>203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0" customHeight="1">
      <c r="A149" s="25"/>
      <c r="B149" s="126">
        <v>44699.0</v>
      </c>
      <c r="C149" s="127">
        <f t="shared" si="1"/>
        <v>44682</v>
      </c>
      <c r="D149" s="128">
        <f t="shared" si="2"/>
        <v>44699</v>
      </c>
      <c r="E149" s="129">
        <f t="shared" si="3"/>
        <v>21</v>
      </c>
      <c r="F149" s="130" t="s">
        <v>24</v>
      </c>
      <c r="G149" s="131" t="s">
        <v>49</v>
      </c>
      <c r="H149" s="130" t="s">
        <v>124</v>
      </c>
      <c r="I149" s="132">
        <f>73.07*1260</f>
        <v>92068.2</v>
      </c>
      <c r="J149" s="133" t="s">
        <v>122</v>
      </c>
      <c r="K149" s="134" t="s">
        <v>204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0" customHeight="1">
      <c r="A150" s="25"/>
      <c r="B150" s="126">
        <v>44703.0</v>
      </c>
      <c r="C150" s="127">
        <f t="shared" si="1"/>
        <v>44682</v>
      </c>
      <c r="D150" s="128">
        <f t="shared" si="2"/>
        <v>44703</v>
      </c>
      <c r="E150" s="129">
        <f t="shared" si="3"/>
        <v>22</v>
      </c>
      <c r="F150" s="130" t="s">
        <v>24</v>
      </c>
      <c r="G150" s="131" t="s">
        <v>46</v>
      </c>
      <c r="H150" s="130" t="s">
        <v>121</v>
      </c>
      <c r="I150" s="132">
        <v>90000.0</v>
      </c>
      <c r="J150" s="133" t="s">
        <v>125</v>
      </c>
      <c r="K150" s="134" t="s">
        <v>205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0" customHeight="1">
      <c r="A151" s="25"/>
      <c r="B151" s="126">
        <v>44618.0</v>
      </c>
      <c r="C151" s="127">
        <f t="shared" si="1"/>
        <v>44593</v>
      </c>
      <c r="D151" s="128">
        <f t="shared" si="2"/>
        <v>44618</v>
      </c>
      <c r="E151" s="129">
        <f t="shared" si="3"/>
        <v>9</v>
      </c>
      <c r="F151" s="130" t="s">
        <v>24</v>
      </c>
      <c r="G151" s="131" t="s">
        <v>46</v>
      </c>
      <c r="H151" s="130" t="s">
        <v>124</v>
      </c>
      <c r="I151" s="132">
        <v>88000.0</v>
      </c>
      <c r="J151" s="133" t="s">
        <v>125</v>
      </c>
      <c r="K151" s="134" t="s">
        <v>196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0" customHeight="1">
      <c r="A152" s="25"/>
      <c r="B152" s="126">
        <v>44610.0</v>
      </c>
      <c r="C152" s="127">
        <f t="shared" si="1"/>
        <v>44593</v>
      </c>
      <c r="D152" s="128">
        <f t="shared" si="2"/>
        <v>44610</v>
      </c>
      <c r="E152" s="129">
        <f t="shared" si="3"/>
        <v>8</v>
      </c>
      <c r="F152" s="130" t="s">
        <v>24</v>
      </c>
      <c r="G152" s="131" t="s">
        <v>52</v>
      </c>
      <c r="H152" s="130" t="s">
        <v>124</v>
      </c>
      <c r="I152" s="132">
        <v>86920.0</v>
      </c>
      <c r="J152" s="133" t="s">
        <v>122</v>
      </c>
      <c r="K152" s="134" t="s">
        <v>206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0" customHeight="1">
      <c r="A153" s="25"/>
      <c r="B153" s="126">
        <v>44632.0</v>
      </c>
      <c r="C153" s="127">
        <f t="shared" si="1"/>
        <v>44621</v>
      </c>
      <c r="D153" s="128">
        <f t="shared" si="2"/>
        <v>44632</v>
      </c>
      <c r="E153" s="129">
        <f t="shared" si="3"/>
        <v>11</v>
      </c>
      <c r="F153" s="130" t="s">
        <v>24</v>
      </c>
      <c r="G153" s="131" t="s">
        <v>46</v>
      </c>
      <c r="H153" s="130" t="s">
        <v>124</v>
      </c>
      <c r="I153" s="132">
        <f>69408+17000</f>
        <v>86408</v>
      </c>
      <c r="J153" s="133" t="s">
        <v>125</v>
      </c>
      <c r="K153" s="134" t="s">
        <v>196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0" customHeight="1">
      <c r="A154" s="25"/>
      <c r="B154" s="126">
        <v>44925.0</v>
      </c>
      <c r="C154" s="127">
        <f t="shared" si="1"/>
        <v>44896</v>
      </c>
      <c r="D154" s="128">
        <f t="shared" si="2"/>
        <v>44925</v>
      </c>
      <c r="E154" s="129">
        <f t="shared" si="3"/>
        <v>53</v>
      </c>
      <c r="F154" s="130" t="s">
        <v>24</v>
      </c>
      <c r="G154" s="131" t="s">
        <v>46</v>
      </c>
      <c r="H154" s="130" t="s">
        <v>121</v>
      </c>
      <c r="I154" s="132">
        <f>95000*0.9</f>
        <v>85500</v>
      </c>
      <c r="J154" s="133" t="s">
        <v>125</v>
      </c>
      <c r="K154" s="134" t="s">
        <v>207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0" customHeight="1">
      <c r="A155" s="25"/>
      <c r="B155" s="126">
        <v>44832.0</v>
      </c>
      <c r="C155" s="127">
        <f t="shared" si="1"/>
        <v>44805</v>
      </c>
      <c r="D155" s="128">
        <f t="shared" si="2"/>
        <v>44832</v>
      </c>
      <c r="E155" s="129">
        <f t="shared" si="3"/>
        <v>40</v>
      </c>
      <c r="F155" s="130" t="s">
        <v>128</v>
      </c>
      <c r="G155" s="131" t="s">
        <v>172</v>
      </c>
      <c r="H155" s="130" t="s">
        <v>124</v>
      </c>
      <c r="I155" s="132">
        <v>85000.0</v>
      </c>
      <c r="J155" s="133" t="s">
        <v>125</v>
      </c>
      <c r="K155" s="134" t="s">
        <v>208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0" customHeight="1">
      <c r="A156" s="25"/>
      <c r="B156" s="126">
        <v>44891.0</v>
      </c>
      <c r="C156" s="127">
        <f t="shared" si="1"/>
        <v>44866</v>
      </c>
      <c r="D156" s="128">
        <f t="shared" si="2"/>
        <v>44891</v>
      </c>
      <c r="E156" s="129">
        <f t="shared" si="3"/>
        <v>48</v>
      </c>
      <c r="F156" s="130" t="s">
        <v>26</v>
      </c>
      <c r="G156" s="131" t="s">
        <v>82</v>
      </c>
      <c r="H156" s="130" t="s">
        <v>124</v>
      </c>
      <c r="I156" s="132">
        <f>24400+57400</f>
        <v>81800</v>
      </c>
      <c r="J156" s="133" t="s">
        <v>125</v>
      </c>
      <c r="K156" s="134" t="s">
        <v>209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0" customHeight="1">
      <c r="A157" s="25"/>
      <c r="B157" s="126">
        <v>44826.0</v>
      </c>
      <c r="C157" s="127">
        <f t="shared" si="1"/>
        <v>44805</v>
      </c>
      <c r="D157" s="128">
        <f t="shared" si="2"/>
        <v>44826</v>
      </c>
      <c r="E157" s="129">
        <f t="shared" si="3"/>
        <v>39</v>
      </c>
      <c r="F157" s="130" t="s">
        <v>24</v>
      </c>
      <c r="G157" s="131" t="s">
        <v>46</v>
      </c>
      <c r="H157" s="130" t="s">
        <v>124</v>
      </c>
      <c r="I157" s="132">
        <v>81000.0</v>
      </c>
      <c r="J157" s="133" t="s">
        <v>125</v>
      </c>
      <c r="K157" s="134" t="s">
        <v>196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0" customHeight="1">
      <c r="A158" s="25"/>
      <c r="B158" s="126">
        <v>44580.0</v>
      </c>
      <c r="C158" s="127">
        <f t="shared" si="1"/>
        <v>44562</v>
      </c>
      <c r="D158" s="128">
        <f t="shared" si="2"/>
        <v>44580</v>
      </c>
      <c r="E158" s="129">
        <f t="shared" si="3"/>
        <v>4</v>
      </c>
      <c r="F158" s="130" t="s">
        <v>24</v>
      </c>
      <c r="G158" s="131" t="s">
        <v>34</v>
      </c>
      <c r="H158" s="130" t="s">
        <v>124</v>
      </c>
      <c r="I158" s="132">
        <v>80140.0</v>
      </c>
      <c r="J158" s="133" t="s">
        <v>125</v>
      </c>
      <c r="K158" s="134" t="s">
        <v>210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0" customHeight="1">
      <c r="A159" s="25"/>
      <c r="B159" s="126">
        <v>44648.0</v>
      </c>
      <c r="C159" s="127">
        <f t="shared" si="1"/>
        <v>44621</v>
      </c>
      <c r="D159" s="128">
        <f t="shared" si="2"/>
        <v>44648</v>
      </c>
      <c r="E159" s="129">
        <f t="shared" si="3"/>
        <v>14</v>
      </c>
      <c r="F159" s="130" t="s">
        <v>26</v>
      </c>
      <c r="G159" s="131" t="s">
        <v>76</v>
      </c>
      <c r="H159" s="130" t="s">
        <v>124</v>
      </c>
      <c r="I159" s="132">
        <v>79900.0</v>
      </c>
      <c r="J159" s="133" t="s">
        <v>125</v>
      </c>
      <c r="K159" s="134" t="s">
        <v>211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0" customHeight="1">
      <c r="A160" s="25"/>
      <c r="B160" s="126">
        <v>44709.0</v>
      </c>
      <c r="C160" s="127">
        <f t="shared" si="1"/>
        <v>44682</v>
      </c>
      <c r="D160" s="128">
        <f t="shared" si="2"/>
        <v>44709</v>
      </c>
      <c r="E160" s="129">
        <f t="shared" si="3"/>
        <v>22</v>
      </c>
      <c r="F160" s="130" t="s">
        <v>26</v>
      </c>
      <c r="G160" s="131" t="s">
        <v>82</v>
      </c>
      <c r="H160" s="130" t="s">
        <v>124</v>
      </c>
      <c r="I160" s="132">
        <v>79800.0</v>
      </c>
      <c r="J160" s="133" t="s">
        <v>122</v>
      </c>
      <c r="K160" s="134" t="s">
        <v>212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0" customHeight="1">
      <c r="A161" s="25"/>
      <c r="B161" s="126">
        <v>44863.0</v>
      </c>
      <c r="C161" s="127">
        <f t="shared" si="1"/>
        <v>44835</v>
      </c>
      <c r="D161" s="128">
        <f t="shared" si="2"/>
        <v>44863</v>
      </c>
      <c r="E161" s="129">
        <f t="shared" si="3"/>
        <v>44</v>
      </c>
      <c r="F161" s="130" t="s">
        <v>26</v>
      </c>
      <c r="G161" s="131" t="s">
        <v>82</v>
      </c>
      <c r="H161" s="130" t="s">
        <v>124</v>
      </c>
      <c r="I161" s="132">
        <v>79800.0</v>
      </c>
      <c r="J161" s="133" t="s">
        <v>125</v>
      </c>
      <c r="K161" s="134" t="s">
        <v>213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0" customHeight="1">
      <c r="A162" s="25"/>
      <c r="B162" s="126">
        <v>44688.0</v>
      </c>
      <c r="C162" s="127">
        <f t="shared" si="1"/>
        <v>44682</v>
      </c>
      <c r="D162" s="128">
        <f t="shared" si="2"/>
        <v>44688</v>
      </c>
      <c r="E162" s="129">
        <f t="shared" si="3"/>
        <v>19</v>
      </c>
      <c r="F162" s="130" t="s">
        <v>24</v>
      </c>
      <c r="G162" s="131" t="s">
        <v>46</v>
      </c>
      <c r="H162" s="130" t="s">
        <v>124</v>
      </c>
      <c r="I162" s="132">
        <v>79550.0</v>
      </c>
      <c r="J162" s="133" t="s">
        <v>125</v>
      </c>
      <c r="K162" s="134" t="s">
        <v>196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0" customHeight="1">
      <c r="A163" s="25"/>
      <c r="B163" s="126">
        <v>44731.0</v>
      </c>
      <c r="C163" s="127">
        <f t="shared" si="1"/>
        <v>44713</v>
      </c>
      <c r="D163" s="128">
        <f t="shared" si="2"/>
        <v>44731</v>
      </c>
      <c r="E163" s="129">
        <f t="shared" si="3"/>
        <v>26</v>
      </c>
      <c r="F163" s="130" t="s">
        <v>26</v>
      </c>
      <c r="G163" s="131" t="s">
        <v>76</v>
      </c>
      <c r="H163" s="130" t="s">
        <v>124</v>
      </c>
      <c r="I163" s="132">
        <v>77560.0</v>
      </c>
      <c r="J163" s="133" t="s">
        <v>125</v>
      </c>
      <c r="K163" s="134" t="s">
        <v>167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0" customHeight="1">
      <c r="A164" s="25"/>
      <c r="B164" s="126">
        <v>44814.0</v>
      </c>
      <c r="C164" s="127">
        <f t="shared" si="1"/>
        <v>44805</v>
      </c>
      <c r="D164" s="128">
        <f t="shared" si="2"/>
        <v>44814</v>
      </c>
      <c r="E164" s="129">
        <f t="shared" si="3"/>
        <v>37</v>
      </c>
      <c r="F164" s="130" t="s">
        <v>24</v>
      </c>
      <c r="G164" s="131" t="s">
        <v>46</v>
      </c>
      <c r="H164" s="130" t="s">
        <v>124</v>
      </c>
      <c r="I164" s="132">
        <v>77000.0</v>
      </c>
      <c r="J164" s="133" t="s">
        <v>125</v>
      </c>
      <c r="K164" s="134" t="s">
        <v>196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0" customHeight="1">
      <c r="A165" s="25"/>
      <c r="B165" s="126">
        <v>44908.0</v>
      </c>
      <c r="C165" s="127">
        <f t="shared" si="1"/>
        <v>44896</v>
      </c>
      <c r="D165" s="128">
        <f t="shared" si="2"/>
        <v>44908</v>
      </c>
      <c r="E165" s="129">
        <f t="shared" si="3"/>
        <v>51</v>
      </c>
      <c r="F165" s="130" t="s">
        <v>26</v>
      </c>
      <c r="G165" s="131" t="s">
        <v>70</v>
      </c>
      <c r="H165" s="130" t="s">
        <v>124</v>
      </c>
      <c r="I165" s="132">
        <f>85000*0.9</f>
        <v>76500</v>
      </c>
      <c r="J165" s="133" t="s">
        <v>125</v>
      </c>
      <c r="K165" s="134" t="s">
        <v>214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0" customHeight="1">
      <c r="A166" s="25"/>
      <c r="B166" s="126">
        <v>44681.0</v>
      </c>
      <c r="C166" s="127">
        <f t="shared" si="1"/>
        <v>44652</v>
      </c>
      <c r="D166" s="128">
        <f t="shared" si="2"/>
        <v>44681</v>
      </c>
      <c r="E166" s="129">
        <f t="shared" si="3"/>
        <v>18</v>
      </c>
      <c r="F166" s="130" t="s">
        <v>26</v>
      </c>
      <c r="G166" s="131" t="s">
        <v>73</v>
      </c>
      <c r="H166" s="130" t="s">
        <v>124</v>
      </c>
      <c r="I166" s="132">
        <f>33000+8000+35000</f>
        <v>76000</v>
      </c>
      <c r="J166" s="133" t="s">
        <v>122</v>
      </c>
      <c r="K166" s="134" t="s">
        <v>215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0" customHeight="1">
      <c r="A167" s="25"/>
      <c r="B167" s="126">
        <v>44695.0</v>
      </c>
      <c r="C167" s="127">
        <f t="shared" si="1"/>
        <v>44682</v>
      </c>
      <c r="D167" s="128">
        <f t="shared" si="2"/>
        <v>44695</v>
      </c>
      <c r="E167" s="129">
        <f t="shared" si="3"/>
        <v>20</v>
      </c>
      <c r="F167" s="130" t="s">
        <v>26</v>
      </c>
      <c r="G167" s="131" t="s">
        <v>79</v>
      </c>
      <c r="H167" s="130" t="s">
        <v>124</v>
      </c>
      <c r="I167" s="132">
        <v>74300.0</v>
      </c>
      <c r="J167" s="133" t="s">
        <v>125</v>
      </c>
      <c r="K167" s="134" t="s">
        <v>216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0" customHeight="1">
      <c r="A168" s="25"/>
      <c r="B168" s="126">
        <v>44863.0</v>
      </c>
      <c r="C168" s="127">
        <f t="shared" si="1"/>
        <v>44835</v>
      </c>
      <c r="D168" s="128">
        <f t="shared" si="2"/>
        <v>44863</v>
      </c>
      <c r="E168" s="129">
        <f t="shared" si="3"/>
        <v>44</v>
      </c>
      <c r="F168" s="130" t="s">
        <v>26</v>
      </c>
      <c r="G168" s="131" t="s">
        <v>82</v>
      </c>
      <c r="H168" s="130" t="s">
        <v>124</v>
      </c>
      <c r="I168" s="132">
        <v>73700.0</v>
      </c>
      <c r="J168" s="133" t="s">
        <v>122</v>
      </c>
      <c r="K168" s="134" t="s">
        <v>213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0" customHeight="1">
      <c r="A169" s="25"/>
      <c r="B169" s="126">
        <v>44867.0</v>
      </c>
      <c r="C169" s="127">
        <f t="shared" si="1"/>
        <v>44866</v>
      </c>
      <c r="D169" s="128">
        <f t="shared" si="2"/>
        <v>44867</v>
      </c>
      <c r="E169" s="129">
        <f t="shared" si="3"/>
        <v>45</v>
      </c>
      <c r="F169" s="130" t="s">
        <v>24</v>
      </c>
      <c r="G169" s="131" t="s">
        <v>49</v>
      </c>
      <c r="H169" s="130" t="s">
        <v>124</v>
      </c>
      <c r="I169" s="132">
        <f>78900-5523</f>
        <v>73377</v>
      </c>
      <c r="J169" s="133" t="s">
        <v>125</v>
      </c>
      <c r="K169" s="136" t="s">
        <v>217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0" customHeight="1">
      <c r="A170" s="25"/>
      <c r="B170" s="126">
        <v>44788.0</v>
      </c>
      <c r="C170" s="127">
        <f t="shared" si="1"/>
        <v>44774</v>
      </c>
      <c r="D170" s="128">
        <f t="shared" si="2"/>
        <v>44788</v>
      </c>
      <c r="E170" s="129">
        <f t="shared" si="3"/>
        <v>34</v>
      </c>
      <c r="F170" s="130" t="s">
        <v>24</v>
      </c>
      <c r="G170" s="131" t="s">
        <v>46</v>
      </c>
      <c r="H170" s="130" t="s">
        <v>124</v>
      </c>
      <c r="I170" s="132">
        <v>73000.0</v>
      </c>
      <c r="J170" s="133" t="s">
        <v>125</v>
      </c>
      <c r="K170" s="134" t="s">
        <v>196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0" customHeight="1">
      <c r="A171" s="25"/>
      <c r="B171" s="126">
        <v>44587.0</v>
      </c>
      <c r="C171" s="127">
        <f t="shared" si="1"/>
        <v>44562</v>
      </c>
      <c r="D171" s="128">
        <f t="shared" si="2"/>
        <v>44587</v>
      </c>
      <c r="E171" s="129">
        <f t="shared" si="3"/>
        <v>5</v>
      </c>
      <c r="F171" s="130" t="s">
        <v>24</v>
      </c>
      <c r="G171" s="131" t="s">
        <v>52</v>
      </c>
      <c r="H171" s="130" t="s">
        <v>124</v>
      </c>
      <c r="I171" s="132">
        <f>75800-3790</f>
        <v>72010</v>
      </c>
      <c r="J171" s="133" t="s">
        <v>125</v>
      </c>
      <c r="K171" s="134" t="s">
        <v>218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0" customHeight="1">
      <c r="A172" s="25"/>
      <c r="B172" s="126">
        <v>44619.0</v>
      </c>
      <c r="C172" s="127">
        <f t="shared" si="1"/>
        <v>44593</v>
      </c>
      <c r="D172" s="128">
        <f t="shared" si="2"/>
        <v>44619</v>
      </c>
      <c r="E172" s="129">
        <f t="shared" si="3"/>
        <v>10</v>
      </c>
      <c r="F172" s="130" t="s">
        <v>26</v>
      </c>
      <c r="G172" s="131" t="s">
        <v>76</v>
      </c>
      <c r="H172" s="130" t="s">
        <v>124</v>
      </c>
      <c r="I172" s="132">
        <v>71630.0</v>
      </c>
      <c r="J172" s="133" t="s">
        <v>125</v>
      </c>
      <c r="K172" s="134" t="s">
        <v>167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0" customHeight="1">
      <c r="A173" s="25"/>
      <c r="B173" s="126">
        <v>44594.0</v>
      </c>
      <c r="C173" s="127">
        <f t="shared" si="1"/>
        <v>44593</v>
      </c>
      <c r="D173" s="128">
        <f t="shared" si="2"/>
        <v>44594</v>
      </c>
      <c r="E173" s="129">
        <f t="shared" si="3"/>
        <v>6</v>
      </c>
      <c r="F173" s="130" t="s">
        <v>26</v>
      </c>
      <c r="G173" s="131" t="s">
        <v>76</v>
      </c>
      <c r="H173" s="130" t="s">
        <v>124</v>
      </c>
      <c r="I173" s="132">
        <f>63095+7920</f>
        <v>71015</v>
      </c>
      <c r="J173" s="133" t="s">
        <v>125</v>
      </c>
      <c r="K173" s="134" t="s">
        <v>167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0" customHeight="1">
      <c r="A174" s="25"/>
      <c r="B174" s="126">
        <v>44772.0</v>
      </c>
      <c r="C174" s="127">
        <f t="shared" si="1"/>
        <v>44743</v>
      </c>
      <c r="D174" s="128">
        <f t="shared" si="2"/>
        <v>44772</v>
      </c>
      <c r="E174" s="129">
        <f t="shared" si="3"/>
        <v>31</v>
      </c>
      <c r="F174" s="130" t="s">
        <v>128</v>
      </c>
      <c r="G174" s="131" t="s">
        <v>129</v>
      </c>
      <c r="H174" s="130" t="s">
        <v>124</v>
      </c>
      <c r="I174" s="132">
        <v>70588.0</v>
      </c>
      <c r="J174" s="133" t="s">
        <v>125</v>
      </c>
      <c r="K174" s="134" t="s">
        <v>219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0" customHeight="1">
      <c r="A175" s="25"/>
      <c r="B175" s="126">
        <v>44791.0</v>
      </c>
      <c r="C175" s="127">
        <f t="shared" si="1"/>
        <v>44774</v>
      </c>
      <c r="D175" s="128">
        <f t="shared" si="2"/>
        <v>44791</v>
      </c>
      <c r="E175" s="129">
        <f t="shared" si="3"/>
        <v>34</v>
      </c>
      <c r="F175" s="130" t="s">
        <v>26</v>
      </c>
      <c r="G175" s="131" t="s">
        <v>76</v>
      </c>
      <c r="H175" s="130" t="s">
        <v>124</v>
      </c>
      <c r="I175" s="132">
        <v>70080.0</v>
      </c>
      <c r="J175" s="133" t="s">
        <v>125</v>
      </c>
      <c r="K175" s="134" t="s">
        <v>167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0" customHeight="1">
      <c r="A176" s="25"/>
      <c r="B176" s="126">
        <v>44625.0</v>
      </c>
      <c r="C176" s="127">
        <f t="shared" si="1"/>
        <v>44621</v>
      </c>
      <c r="D176" s="128">
        <f t="shared" si="2"/>
        <v>44625</v>
      </c>
      <c r="E176" s="129">
        <f t="shared" si="3"/>
        <v>10</v>
      </c>
      <c r="F176" s="130" t="s">
        <v>24</v>
      </c>
      <c r="G176" s="131" t="s">
        <v>46</v>
      </c>
      <c r="H176" s="130" t="s">
        <v>121</v>
      </c>
      <c r="I176" s="132">
        <v>70000.0</v>
      </c>
      <c r="J176" s="133" t="s">
        <v>122</v>
      </c>
      <c r="K176" s="134" t="s">
        <v>220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0" customHeight="1">
      <c r="A177" s="25"/>
      <c r="B177" s="126">
        <v>44841.0</v>
      </c>
      <c r="C177" s="127">
        <f t="shared" si="1"/>
        <v>44835</v>
      </c>
      <c r="D177" s="128">
        <f t="shared" si="2"/>
        <v>44841</v>
      </c>
      <c r="E177" s="129">
        <f t="shared" si="3"/>
        <v>41</v>
      </c>
      <c r="F177" s="130" t="s">
        <v>24</v>
      </c>
      <c r="G177" s="131" t="s">
        <v>25</v>
      </c>
      <c r="H177" s="130" t="s">
        <v>121</v>
      </c>
      <c r="I177" s="132">
        <v>70000.0</v>
      </c>
      <c r="J177" s="133" t="s">
        <v>125</v>
      </c>
      <c r="K177" s="134" t="s">
        <v>221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0" customHeight="1">
      <c r="A178" s="25"/>
      <c r="B178" s="126">
        <v>44867.0</v>
      </c>
      <c r="C178" s="127">
        <f t="shared" si="1"/>
        <v>44866</v>
      </c>
      <c r="D178" s="128">
        <f t="shared" si="2"/>
        <v>44867</v>
      </c>
      <c r="E178" s="129">
        <f t="shared" si="3"/>
        <v>45</v>
      </c>
      <c r="F178" s="130" t="s">
        <v>26</v>
      </c>
      <c r="G178" s="131" t="s">
        <v>76</v>
      </c>
      <c r="H178" s="130" t="s">
        <v>124</v>
      </c>
      <c r="I178" s="132">
        <v>69860.0</v>
      </c>
      <c r="J178" s="133" t="s">
        <v>125</v>
      </c>
      <c r="K178" s="134" t="s">
        <v>222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0" customHeight="1">
      <c r="A179" s="25"/>
      <c r="B179" s="126">
        <v>44682.0</v>
      </c>
      <c r="C179" s="127">
        <f t="shared" si="1"/>
        <v>44682</v>
      </c>
      <c r="D179" s="128">
        <f t="shared" si="2"/>
        <v>44682</v>
      </c>
      <c r="E179" s="129">
        <f t="shared" si="3"/>
        <v>19</v>
      </c>
      <c r="F179" s="130" t="s">
        <v>26</v>
      </c>
      <c r="G179" s="131" t="s">
        <v>70</v>
      </c>
      <c r="H179" s="130" t="s">
        <v>124</v>
      </c>
      <c r="I179" s="132">
        <f>76780-7306</f>
        <v>69474</v>
      </c>
      <c r="J179" s="133" t="s">
        <v>125</v>
      </c>
      <c r="K179" s="134" t="s">
        <v>223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0" customHeight="1">
      <c r="A180" s="25"/>
      <c r="B180" s="126">
        <v>44912.0</v>
      </c>
      <c r="C180" s="127">
        <f t="shared" si="1"/>
        <v>44896</v>
      </c>
      <c r="D180" s="128">
        <f t="shared" si="2"/>
        <v>44912</v>
      </c>
      <c r="E180" s="129">
        <f t="shared" si="3"/>
        <v>51</v>
      </c>
      <c r="F180" s="130" t="s">
        <v>24</v>
      </c>
      <c r="G180" s="131" t="s">
        <v>46</v>
      </c>
      <c r="H180" s="130" t="s">
        <v>124</v>
      </c>
      <c r="I180" s="132">
        <v>69230.0</v>
      </c>
      <c r="J180" s="133" t="s">
        <v>125</v>
      </c>
      <c r="K180" s="134" t="s">
        <v>196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0" customHeight="1">
      <c r="A181" s="25"/>
      <c r="B181" s="126">
        <v>44912.0</v>
      </c>
      <c r="C181" s="127">
        <f t="shared" si="1"/>
        <v>44896</v>
      </c>
      <c r="D181" s="128">
        <f t="shared" si="2"/>
        <v>44912</v>
      </c>
      <c r="E181" s="129">
        <f t="shared" si="3"/>
        <v>51</v>
      </c>
      <c r="F181" s="130" t="s">
        <v>24</v>
      </c>
      <c r="G181" s="131" t="s">
        <v>46</v>
      </c>
      <c r="H181" s="130" t="s">
        <v>124</v>
      </c>
      <c r="I181" s="132">
        <v>69230.0</v>
      </c>
      <c r="J181" s="133" t="s">
        <v>125</v>
      </c>
      <c r="K181" s="134" t="s">
        <v>196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0" customHeight="1">
      <c r="A182" s="25"/>
      <c r="B182" s="126">
        <v>44687.0</v>
      </c>
      <c r="C182" s="127">
        <f t="shared" si="1"/>
        <v>44682</v>
      </c>
      <c r="D182" s="128">
        <f t="shared" si="2"/>
        <v>44687</v>
      </c>
      <c r="E182" s="129">
        <f t="shared" si="3"/>
        <v>19</v>
      </c>
      <c r="F182" s="130" t="s">
        <v>24</v>
      </c>
      <c r="G182" s="131" t="s">
        <v>34</v>
      </c>
      <c r="H182" s="130" t="s">
        <v>124</v>
      </c>
      <c r="I182" s="132">
        <v>69000.0</v>
      </c>
      <c r="J182" s="133" t="s">
        <v>122</v>
      </c>
      <c r="K182" s="134" t="s">
        <v>224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0" customHeight="1">
      <c r="A183" s="25"/>
      <c r="B183" s="126">
        <v>44778.0</v>
      </c>
      <c r="C183" s="127">
        <f t="shared" si="1"/>
        <v>44774</v>
      </c>
      <c r="D183" s="128">
        <f t="shared" si="2"/>
        <v>44778</v>
      </c>
      <c r="E183" s="129">
        <f t="shared" si="3"/>
        <v>32</v>
      </c>
      <c r="F183" s="130" t="s">
        <v>26</v>
      </c>
      <c r="G183" s="131" t="s">
        <v>76</v>
      </c>
      <c r="H183" s="130" t="s">
        <v>124</v>
      </c>
      <c r="I183" s="132">
        <v>69000.0</v>
      </c>
      <c r="J183" s="133" t="s">
        <v>125</v>
      </c>
      <c r="K183" s="134" t="s">
        <v>167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0" customHeight="1">
      <c r="A184" s="25"/>
      <c r="B184" s="126">
        <v>44866.0</v>
      </c>
      <c r="C184" s="127">
        <f t="shared" si="1"/>
        <v>44866</v>
      </c>
      <c r="D184" s="128">
        <f t="shared" si="2"/>
        <v>44866</v>
      </c>
      <c r="E184" s="129">
        <f t="shared" si="3"/>
        <v>45</v>
      </c>
      <c r="F184" s="130" t="s">
        <v>26</v>
      </c>
      <c r="G184" s="131" t="s">
        <v>79</v>
      </c>
      <c r="H184" s="130" t="s">
        <v>124</v>
      </c>
      <c r="I184" s="132">
        <f>76000*0.9</f>
        <v>68400</v>
      </c>
      <c r="J184" s="133" t="s">
        <v>125</v>
      </c>
      <c r="K184" s="134" t="s">
        <v>225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0" customHeight="1">
      <c r="A185" s="25"/>
      <c r="B185" s="126">
        <v>44785.0</v>
      </c>
      <c r="C185" s="127">
        <f t="shared" si="1"/>
        <v>44774</v>
      </c>
      <c r="D185" s="128">
        <f t="shared" si="2"/>
        <v>44785</v>
      </c>
      <c r="E185" s="129">
        <f t="shared" si="3"/>
        <v>33</v>
      </c>
      <c r="F185" s="130" t="s">
        <v>26</v>
      </c>
      <c r="G185" s="131" t="s">
        <v>76</v>
      </c>
      <c r="H185" s="130" t="s">
        <v>124</v>
      </c>
      <c r="I185" s="132">
        <v>68080.0</v>
      </c>
      <c r="J185" s="133" t="s">
        <v>125</v>
      </c>
      <c r="K185" s="134" t="s">
        <v>167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0" customHeight="1">
      <c r="A186" s="25"/>
      <c r="B186" s="126">
        <v>44922.0</v>
      </c>
      <c r="C186" s="127">
        <f t="shared" si="1"/>
        <v>44896</v>
      </c>
      <c r="D186" s="128">
        <f t="shared" si="2"/>
        <v>44922</v>
      </c>
      <c r="E186" s="129">
        <f t="shared" si="3"/>
        <v>53</v>
      </c>
      <c r="F186" s="130" t="s">
        <v>24</v>
      </c>
      <c r="G186" s="131" t="s">
        <v>46</v>
      </c>
      <c r="H186" s="130" t="s">
        <v>124</v>
      </c>
      <c r="I186" s="132">
        <v>68000.0</v>
      </c>
      <c r="J186" s="133" t="s">
        <v>125</v>
      </c>
      <c r="K186" s="134" t="s">
        <v>196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0" customHeight="1">
      <c r="A187" s="25"/>
      <c r="B187" s="126">
        <v>44607.0</v>
      </c>
      <c r="C187" s="127">
        <f t="shared" si="1"/>
        <v>44593</v>
      </c>
      <c r="D187" s="128">
        <f t="shared" si="2"/>
        <v>44607</v>
      </c>
      <c r="E187" s="129">
        <f t="shared" si="3"/>
        <v>8</v>
      </c>
      <c r="F187" s="130" t="s">
        <v>24</v>
      </c>
      <c r="G187" s="131" t="s">
        <v>54</v>
      </c>
      <c r="H187" s="130" t="s">
        <v>124</v>
      </c>
      <c r="I187" s="132">
        <f>55.78*1200</f>
        <v>66936</v>
      </c>
      <c r="J187" s="133" t="s">
        <v>122</v>
      </c>
      <c r="K187" s="134" t="s">
        <v>226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0" customHeight="1">
      <c r="A188" s="25"/>
      <c r="B188" s="126">
        <v>44612.0</v>
      </c>
      <c r="C188" s="127">
        <f t="shared" si="1"/>
        <v>44593</v>
      </c>
      <c r="D188" s="128">
        <f t="shared" si="2"/>
        <v>44612</v>
      </c>
      <c r="E188" s="129">
        <f t="shared" si="3"/>
        <v>9</v>
      </c>
      <c r="F188" s="130" t="s">
        <v>24</v>
      </c>
      <c r="G188" s="131" t="s">
        <v>46</v>
      </c>
      <c r="H188" s="130" t="s">
        <v>124</v>
      </c>
      <c r="I188" s="132">
        <v>65793.0</v>
      </c>
      <c r="J188" s="133" t="s">
        <v>125</v>
      </c>
      <c r="K188" s="134" t="s">
        <v>196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0" customHeight="1">
      <c r="A189" s="25"/>
      <c r="B189" s="126">
        <v>44767.0</v>
      </c>
      <c r="C189" s="127">
        <f t="shared" si="1"/>
        <v>44743</v>
      </c>
      <c r="D189" s="128">
        <f t="shared" si="2"/>
        <v>44767</v>
      </c>
      <c r="E189" s="129">
        <f t="shared" si="3"/>
        <v>31</v>
      </c>
      <c r="F189" s="130" t="s">
        <v>128</v>
      </c>
      <c r="G189" s="131" t="s">
        <v>129</v>
      </c>
      <c r="H189" s="130" t="s">
        <v>124</v>
      </c>
      <c r="I189" s="132">
        <v>65094.0</v>
      </c>
      <c r="J189" s="133" t="s">
        <v>125</v>
      </c>
      <c r="K189" s="134" t="s">
        <v>227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0" customHeight="1">
      <c r="A190" s="25"/>
      <c r="B190" s="126">
        <v>44709.0</v>
      </c>
      <c r="C190" s="127">
        <f t="shared" si="1"/>
        <v>44682</v>
      </c>
      <c r="D190" s="128">
        <f t="shared" si="2"/>
        <v>44709</v>
      </c>
      <c r="E190" s="129">
        <f t="shared" si="3"/>
        <v>22</v>
      </c>
      <c r="F190" s="130" t="s">
        <v>26</v>
      </c>
      <c r="G190" s="131" t="s">
        <v>79</v>
      </c>
      <c r="H190" s="130" t="s">
        <v>124</v>
      </c>
      <c r="I190" s="132">
        <v>65000.0</v>
      </c>
      <c r="J190" s="133" t="s">
        <v>125</v>
      </c>
      <c r="K190" s="134" t="s">
        <v>228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0" customHeight="1">
      <c r="A191" s="25"/>
      <c r="B191" s="126">
        <v>44845.0</v>
      </c>
      <c r="C191" s="127">
        <f t="shared" si="1"/>
        <v>44835</v>
      </c>
      <c r="D191" s="128">
        <f t="shared" si="2"/>
        <v>44845</v>
      </c>
      <c r="E191" s="129">
        <f t="shared" si="3"/>
        <v>42</v>
      </c>
      <c r="F191" s="130" t="s">
        <v>24</v>
      </c>
      <c r="G191" s="131" t="s">
        <v>46</v>
      </c>
      <c r="H191" s="130" t="s">
        <v>124</v>
      </c>
      <c r="I191" s="132">
        <v>64200.0</v>
      </c>
      <c r="J191" s="133" t="s">
        <v>125</v>
      </c>
      <c r="K191" s="134" t="s">
        <v>196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0" customHeight="1">
      <c r="A192" s="25"/>
      <c r="B192" s="126">
        <v>44886.0</v>
      </c>
      <c r="C192" s="127">
        <f t="shared" si="1"/>
        <v>44866</v>
      </c>
      <c r="D192" s="128">
        <f t="shared" si="2"/>
        <v>44886</v>
      </c>
      <c r="E192" s="129">
        <f t="shared" si="3"/>
        <v>48</v>
      </c>
      <c r="F192" s="130" t="s">
        <v>24</v>
      </c>
      <c r="G192" s="131" t="s">
        <v>46</v>
      </c>
      <c r="H192" s="130" t="s">
        <v>124</v>
      </c>
      <c r="I192" s="132">
        <v>63920.0</v>
      </c>
      <c r="J192" s="133" t="s">
        <v>125</v>
      </c>
      <c r="K192" s="134" t="s">
        <v>196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0" customHeight="1">
      <c r="A193" s="25"/>
      <c r="B193" s="126">
        <v>44828.0</v>
      </c>
      <c r="C193" s="127">
        <f t="shared" si="1"/>
        <v>44805</v>
      </c>
      <c r="D193" s="128">
        <f t="shared" si="2"/>
        <v>44828</v>
      </c>
      <c r="E193" s="129">
        <f t="shared" si="3"/>
        <v>39</v>
      </c>
      <c r="F193" s="130" t="s">
        <v>26</v>
      </c>
      <c r="G193" s="131" t="s">
        <v>79</v>
      </c>
      <c r="H193" s="130" t="s">
        <v>124</v>
      </c>
      <c r="I193" s="132">
        <v>63000.0</v>
      </c>
      <c r="J193" s="133" t="s">
        <v>122</v>
      </c>
      <c r="K193" s="134" t="s">
        <v>229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0" customHeight="1">
      <c r="A194" s="25"/>
      <c r="B194" s="126">
        <v>44862.0</v>
      </c>
      <c r="C194" s="127">
        <f t="shared" si="1"/>
        <v>44835</v>
      </c>
      <c r="D194" s="128">
        <f t="shared" si="2"/>
        <v>44862</v>
      </c>
      <c r="E194" s="129">
        <f t="shared" si="3"/>
        <v>44</v>
      </c>
      <c r="F194" s="130" t="s">
        <v>26</v>
      </c>
      <c r="G194" s="131" t="s">
        <v>76</v>
      </c>
      <c r="H194" s="130" t="s">
        <v>124</v>
      </c>
      <c r="I194" s="132">
        <v>62060.0</v>
      </c>
      <c r="J194" s="133" t="s">
        <v>125</v>
      </c>
      <c r="K194" s="134" t="s">
        <v>167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0" customHeight="1">
      <c r="A195" s="25"/>
      <c r="B195" s="126">
        <v>44674.0</v>
      </c>
      <c r="C195" s="127">
        <f t="shared" si="1"/>
        <v>44652</v>
      </c>
      <c r="D195" s="128">
        <f t="shared" si="2"/>
        <v>44674</v>
      </c>
      <c r="E195" s="129">
        <f t="shared" si="3"/>
        <v>17</v>
      </c>
      <c r="F195" s="130" t="s">
        <v>128</v>
      </c>
      <c r="G195" s="131" t="s">
        <v>172</v>
      </c>
      <c r="H195" s="130" t="s">
        <v>124</v>
      </c>
      <c r="I195" s="132">
        <v>62000.0</v>
      </c>
      <c r="J195" s="133" t="s">
        <v>125</v>
      </c>
      <c r="K195" s="134" t="s">
        <v>230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0" customHeight="1">
      <c r="A196" s="25"/>
      <c r="B196" s="126">
        <v>44925.0</v>
      </c>
      <c r="C196" s="127">
        <f t="shared" si="1"/>
        <v>44896</v>
      </c>
      <c r="D196" s="128">
        <f t="shared" si="2"/>
        <v>44925</v>
      </c>
      <c r="E196" s="129">
        <f t="shared" si="3"/>
        <v>53</v>
      </c>
      <c r="F196" s="130" t="s">
        <v>26</v>
      </c>
      <c r="G196" s="131" t="s">
        <v>76</v>
      </c>
      <c r="H196" s="130" t="s">
        <v>121</v>
      </c>
      <c r="I196" s="132">
        <v>60660.0</v>
      </c>
      <c r="J196" s="133" t="s">
        <v>122</v>
      </c>
      <c r="K196" s="134" t="s">
        <v>231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0" customHeight="1">
      <c r="A197" s="25"/>
      <c r="B197" s="126">
        <v>44721.0</v>
      </c>
      <c r="C197" s="127">
        <f t="shared" si="1"/>
        <v>44713</v>
      </c>
      <c r="D197" s="128">
        <f t="shared" si="2"/>
        <v>44721</v>
      </c>
      <c r="E197" s="129">
        <f t="shared" si="3"/>
        <v>24</v>
      </c>
      <c r="F197" s="130" t="s">
        <v>26</v>
      </c>
      <c r="G197" s="131" t="s">
        <v>73</v>
      </c>
      <c r="H197" s="130" t="s">
        <v>124</v>
      </c>
      <c r="I197" s="132">
        <v>60000.0</v>
      </c>
      <c r="J197" s="133" t="s">
        <v>122</v>
      </c>
      <c r="K197" s="134" t="s">
        <v>232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0" customHeight="1">
      <c r="A198" s="25"/>
      <c r="B198" s="126">
        <v>44846.0</v>
      </c>
      <c r="C198" s="127">
        <f t="shared" si="1"/>
        <v>44835</v>
      </c>
      <c r="D198" s="128">
        <f t="shared" si="2"/>
        <v>44846</v>
      </c>
      <c r="E198" s="129">
        <f t="shared" si="3"/>
        <v>42</v>
      </c>
      <c r="F198" s="130" t="s">
        <v>26</v>
      </c>
      <c r="G198" s="131" t="s">
        <v>79</v>
      </c>
      <c r="H198" s="130" t="s">
        <v>124</v>
      </c>
      <c r="I198" s="132">
        <v>60000.0</v>
      </c>
      <c r="J198" s="133" t="s">
        <v>125</v>
      </c>
      <c r="K198" s="134" t="s">
        <v>233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0" customHeight="1">
      <c r="A199" s="25"/>
      <c r="B199" s="126">
        <v>44869.0</v>
      </c>
      <c r="C199" s="127">
        <f t="shared" si="1"/>
        <v>44866</v>
      </c>
      <c r="D199" s="128">
        <f t="shared" si="2"/>
        <v>44869</v>
      </c>
      <c r="E199" s="129">
        <f t="shared" si="3"/>
        <v>45</v>
      </c>
      <c r="F199" s="130" t="s">
        <v>24</v>
      </c>
      <c r="G199" s="131" t="s">
        <v>46</v>
      </c>
      <c r="H199" s="130" t="s">
        <v>124</v>
      </c>
      <c r="I199" s="132">
        <v>60000.0</v>
      </c>
      <c r="J199" s="133" t="s">
        <v>125</v>
      </c>
      <c r="K199" s="134" t="s">
        <v>196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0" customHeight="1">
      <c r="A200" s="25"/>
      <c r="B200" s="126">
        <v>44583.0</v>
      </c>
      <c r="C200" s="127">
        <f t="shared" si="1"/>
        <v>44562</v>
      </c>
      <c r="D200" s="128">
        <f t="shared" si="2"/>
        <v>44583</v>
      </c>
      <c r="E200" s="129">
        <f t="shared" si="3"/>
        <v>4</v>
      </c>
      <c r="F200" s="130" t="s">
        <v>24</v>
      </c>
      <c r="G200" s="131" t="s">
        <v>46</v>
      </c>
      <c r="H200" s="130" t="s">
        <v>124</v>
      </c>
      <c r="I200" s="132">
        <v>59940.0</v>
      </c>
      <c r="J200" s="133" t="s">
        <v>125</v>
      </c>
      <c r="K200" s="134" t="s">
        <v>196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0" customHeight="1">
      <c r="A201" s="25"/>
      <c r="B201" s="126">
        <v>44650.0</v>
      </c>
      <c r="C201" s="127">
        <f t="shared" si="1"/>
        <v>44621</v>
      </c>
      <c r="D201" s="128">
        <f t="shared" si="2"/>
        <v>44650</v>
      </c>
      <c r="E201" s="129">
        <f t="shared" si="3"/>
        <v>14</v>
      </c>
      <c r="F201" s="130" t="s">
        <v>26</v>
      </c>
      <c r="G201" s="131" t="s">
        <v>76</v>
      </c>
      <c r="H201" s="130" t="s">
        <v>124</v>
      </c>
      <c r="I201" s="132">
        <v>59886.0</v>
      </c>
      <c r="J201" s="133" t="s">
        <v>122</v>
      </c>
      <c r="K201" s="134" t="s">
        <v>234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0" customHeight="1">
      <c r="A202" s="25"/>
      <c r="B202" s="126">
        <v>44828.0</v>
      </c>
      <c r="C202" s="127">
        <f t="shared" si="1"/>
        <v>44805</v>
      </c>
      <c r="D202" s="128">
        <f t="shared" si="2"/>
        <v>44828</v>
      </c>
      <c r="E202" s="129">
        <f t="shared" si="3"/>
        <v>39</v>
      </c>
      <c r="F202" s="130" t="s">
        <v>24</v>
      </c>
      <c r="G202" s="131" t="s">
        <v>54</v>
      </c>
      <c r="H202" s="130" t="s">
        <v>124</v>
      </c>
      <c r="I202" s="132">
        <v>59673.0</v>
      </c>
      <c r="J202" s="133" t="s">
        <v>122</v>
      </c>
      <c r="K202" s="134" t="s">
        <v>235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0" customHeight="1">
      <c r="A203" s="25"/>
      <c r="B203" s="126">
        <v>44920.0</v>
      </c>
      <c r="C203" s="127">
        <f t="shared" si="1"/>
        <v>44896</v>
      </c>
      <c r="D203" s="128">
        <f t="shared" si="2"/>
        <v>44920</v>
      </c>
      <c r="E203" s="129">
        <f t="shared" si="3"/>
        <v>53</v>
      </c>
      <c r="F203" s="130" t="s">
        <v>128</v>
      </c>
      <c r="G203" s="131" t="s">
        <v>172</v>
      </c>
      <c r="H203" s="130" t="s">
        <v>124</v>
      </c>
      <c r="I203" s="132">
        <v>59000.0</v>
      </c>
      <c r="J203" s="133" t="s">
        <v>125</v>
      </c>
      <c r="K203" s="134" t="s">
        <v>236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0" customHeight="1">
      <c r="A204" s="25"/>
      <c r="B204" s="126">
        <v>44573.0</v>
      </c>
      <c r="C204" s="127">
        <f t="shared" si="1"/>
        <v>44562</v>
      </c>
      <c r="D204" s="128">
        <f t="shared" si="2"/>
        <v>44573</v>
      </c>
      <c r="E204" s="129">
        <f t="shared" si="3"/>
        <v>3</v>
      </c>
      <c r="F204" s="130" t="s">
        <v>26</v>
      </c>
      <c r="G204" s="131" t="s">
        <v>79</v>
      </c>
      <c r="H204" s="130" t="s">
        <v>124</v>
      </c>
      <c r="I204" s="132">
        <v>58000.0</v>
      </c>
      <c r="J204" s="133" t="s">
        <v>122</v>
      </c>
      <c r="K204" s="134" t="s">
        <v>237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0" customHeight="1">
      <c r="A205" s="25"/>
      <c r="B205" s="126">
        <v>44924.0</v>
      </c>
      <c r="C205" s="127">
        <f t="shared" si="1"/>
        <v>44896</v>
      </c>
      <c r="D205" s="128">
        <f t="shared" si="2"/>
        <v>44924</v>
      </c>
      <c r="E205" s="129">
        <f t="shared" si="3"/>
        <v>53</v>
      </c>
      <c r="F205" s="130" t="s">
        <v>26</v>
      </c>
      <c r="G205" s="131" t="s">
        <v>73</v>
      </c>
      <c r="H205" s="130" t="s">
        <v>121</v>
      </c>
      <c r="I205" s="132">
        <v>58000.0</v>
      </c>
      <c r="J205" s="133" t="s">
        <v>122</v>
      </c>
      <c r="K205" s="134" t="s">
        <v>238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0" customHeight="1">
      <c r="A206" s="25"/>
      <c r="B206" s="126">
        <v>44800.0</v>
      </c>
      <c r="C206" s="127">
        <f t="shared" si="1"/>
        <v>44774</v>
      </c>
      <c r="D206" s="128">
        <f t="shared" si="2"/>
        <v>44800</v>
      </c>
      <c r="E206" s="129">
        <f t="shared" si="3"/>
        <v>35</v>
      </c>
      <c r="F206" s="130" t="s">
        <v>26</v>
      </c>
      <c r="G206" s="131" t="s">
        <v>76</v>
      </c>
      <c r="H206" s="130" t="s">
        <v>124</v>
      </c>
      <c r="I206" s="132">
        <v>57700.0</v>
      </c>
      <c r="J206" s="133" t="s">
        <v>125</v>
      </c>
      <c r="K206" s="134" t="s">
        <v>239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0" customHeight="1">
      <c r="A207" s="25"/>
      <c r="B207" s="126">
        <v>44664.0</v>
      </c>
      <c r="C207" s="127">
        <f t="shared" si="1"/>
        <v>44652</v>
      </c>
      <c r="D207" s="128">
        <f t="shared" si="2"/>
        <v>44664</v>
      </c>
      <c r="E207" s="129">
        <f t="shared" si="3"/>
        <v>16</v>
      </c>
      <c r="F207" s="130" t="s">
        <v>26</v>
      </c>
      <c r="G207" s="131" t="s">
        <v>76</v>
      </c>
      <c r="H207" s="130" t="s">
        <v>124</v>
      </c>
      <c r="I207" s="132">
        <v>57250.0</v>
      </c>
      <c r="J207" s="133" t="s">
        <v>125</v>
      </c>
      <c r="K207" s="134" t="s">
        <v>167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0" customHeight="1">
      <c r="A208" s="25"/>
      <c r="B208" s="126">
        <v>44786.0</v>
      </c>
      <c r="C208" s="127">
        <f t="shared" si="1"/>
        <v>44774</v>
      </c>
      <c r="D208" s="128">
        <f t="shared" si="2"/>
        <v>44786</v>
      </c>
      <c r="E208" s="129">
        <f t="shared" si="3"/>
        <v>33</v>
      </c>
      <c r="F208" s="130" t="s">
        <v>26</v>
      </c>
      <c r="G208" s="131" t="s">
        <v>76</v>
      </c>
      <c r="H208" s="130" t="s">
        <v>124</v>
      </c>
      <c r="I208" s="132">
        <f>146940-90000</f>
        <v>56940</v>
      </c>
      <c r="J208" s="133" t="s">
        <v>125</v>
      </c>
      <c r="K208" s="134" t="s">
        <v>240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0" customHeight="1">
      <c r="A209" s="25"/>
      <c r="B209" s="126">
        <v>44847.0</v>
      </c>
      <c r="C209" s="127">
        <f t="shared" si="1"/>
        <v>44835</v>
      </c>
      <c r="D209" s="128">
        <f t="shared" si="2"/>
        <v>44847</v>
      </c>
      <c r="E209" s="129">
        <f t="shared" si="3"/>
        <v>42</v>
      </c>
      <c r="F209" s="130" t="s">
        <v>24</v>
      </c>
      <c r="G209" s="131" t="s">
        <v>49</v>
      </c>
      <c r="H209" s="130" t="s">
        <v>124</v>
      </c>
      <c r="I209" s="132">
        <v>56800.0</v>
      </c>
      <c r="J209" s="133" t="s">
        <v>125</v>
      </c>
      <c r="K209" s="134" t="s">
        <v>241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0" customHeight="1">
      <c r="A210" s="25"/>
      <c r="B210" s="126">
        <v>44821.0</v>
      </c>
      <c r="C210" s="127">
        <f t="shared" si="1"/>
        <v>44805</v>
      </c>
      <c r="D210" s="128">
        <f t="shared" si="2"/>
        <v>44821</v>
      </c>
      <c r="E210" s="129">
        <f t="shared" si="3"/>
        <v>38</v>
      </c>
      <c r="F210" s="130" t="s">
        <v>24</v>
      </c>
      <c r="G210" s="131" t="s">
        <v>52</v>
      </c>
      <c r="H210" s="130" t="s">
        <v>124</v>
      </c>
      <c r="I210" s="132">
        <v>56700.0</v>
      </c>
      <c r="J210" s="133" t="s">
        <v>125</v>
      </c>
      <c r="K210" s="134" t="s">
        <v>242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0" customHeight="1">
      <c r="A211" s="25"/>
      <c r="B211" s="126">
        <v>44760.0</v>
      </c>
      <c r="C211" s="127">
        <f t="shared" si="1"/>
        <v>44743</v>
      </c>
      <c r="D211" s="128">
        <f t="shared" si="2"/>
        <v>44760</v>
      </c>
      <c r="E211" s="129">
        <f t="shared" si="3"/>
        <v>30</v>
      </c>
      <c r="F211" s="130" t="s">
        <v>24</v>
      </c>
      <c r="G211" s="131" t="s">
        <v>29</v>
      </c>
      <c r="H211" s="130" t="s">
        <v>124</v>
      </c>
      <c r="I211" s="132">
        <f>66050-10000</f>
        <v>56050</v>
      </c>
      <c r="J211" s="133" t="s">
        <v>122</v>
      </c>
      <c r="K211" s="134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0" customHeight="1">
      <c r="A212" s="25"/>
      <c r="B212" s="126">
        <v>44675.0</v>
      </c>
      <c r="C212" s="127">
        <f t="shared" si="1"/>
        <v>44652</v>
      </c>
      <c r="D212" s="128">
        <f t="shared" si="2"/>
        <v>44675</v>
      </c>
      <c r="E212" s="129">
        <f t="shared" si="3"/>
        <v>18</v>
      </c>
      <c r="F212" s="130" t="s">
        <v>26</v>
      </c>
      <c r="G212" s="131" t="s">
        <v>70</v>
      </c>
      <c r="H212" s="130" t="s">
        <v>124</v>
      </c>
      <c r="I212" s="132">
        <v>55600.0</v>
      </c>
      <c r="J212" s="133" t="s">
        <v>125</v>
      </c>
      <c r="K212" s="134" t="s">
        <v>243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0" customHeight="1">
      <c r="A213" s="25"/>
      <c r="B213" s="126">
        <v>44584.0</v>
      </c>
      <c r="C213" s="127">
        <f t="shared" si="1"/>
        <v>44562</v>
      </c>
      <c r="D213" s="128">
        <f t="shared" si="2"/>
        <v>44584</v>
      </c>
      <c r="E213" s="129">
        <f t="shared" si="3"/>
        <v>5</v>
      </c>
      <c r="F213" s="130" t="s">
        <v>24</v>
      </c>
      <c r="G213" s="131" t="s">
        <v>52</v>
      </c>
      <c r="H213" s="130" t="s">
        <v>124</v>
      </c>
      <c r="I213" s="132">
        <f>56680-1355</f>
        <v>55325</v>
      </c>
      <c r="J213" s="133" t="s">
        <v>125</v>
      </c>
      <c r="K213" s="134" t="s">
        <v>244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0" customHeight="1">
      <c r="A214" s="25"/>
      <c r="B214" s="126">
        <v>44729.0</v>
      </c>
      <c r="C214" s="127">
        <f t="shared" si="1"/>
        <v>44713</v>
      </c>
      <c r="D214" s="128">
        <f t="shared" si="2"/>
        <v>44729</v>
      </c>
      <c r="E214" s="129">
        <f t="shared" si="3"/>
        <v>25</v>
      </c>
      <c r="F214" s="130" t="s">
        <v>24</v>
      </c>
      <c r="G214" s="131" t="s">
        <v>29</v>
      </c>
      <c r="H214" s="130" t="s">
        <v>124</v>
      </c>
      <c r="I214" s="132">
        <f>3850-770+61450-9230</f>
        <v>55300</v>
      </c>
      <c r="J214" s="133" t="s">
        <v>122</v>
      </c>
      <c r="K214" s="134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0" customHeight="1">
      <c r="A215" s="25"/>
      <c r="B215" s="126">
        <v>44617.0</v>
      </c>
      <c r="C215" s="127">
        <f t="shared" si="1"/>
        <v>44593</v>
      </c>
      <c r="D215" s="128">
        <f t="shared" si="2"/>
        <v>44617</v>
      </c>
      <c r="E215" s="129">
        <f t="shared" si="3"/>
        <v>9</v>
      </c>
      <c r="F215" s="130" t="s">
        <v>128</v>
      </c>
      <c r="G215" s="131" t="s">
        <v>172</v>
      </c>
      <c r="H215" s="130" t="s">
        <v>124</v>
      </c>
      <c r="I215" s="132">
        <v>55000.0</v>
      </c>
      <c r="J215" s="133" t="s">
        <v>125</v>
      </c>
      <c r="K215" s="134" t="s">
        <v>245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0" customHeight="1">
      <c r="A216" s="25"/>
      <c r="B216" s="126">
        <v>44898.0</v>
      </c>
      <c r="C216" s="127">
        <f t="shared" si="1"/>
        <v>44896</v>
      </c>
      <c r="D216" s="128">
        <f t="shared" si="2"/>
        <v>44898</v>
      </c>
      <c r="E216" s="129">
        <f t="shared" si="3"/>
        <v>49</v>
      </c>
      <c r="F216" s="130" t="s">
        <v>26</v>
      </c>
      <c r="G216" s="131" t="s">
        <v>76</v>
      </c>
      <c r="H216" s="130" t="s">
        <v>124</v>
      </c>
      <c r="I216" s="132">
        <f>60570-6057</f>
        <v>54513</v>
      </c>
      <c r="J216" s="133" t="s">
        <v>125</v>
      </c>
      <c r="K216" s="134" t="s">
        <v>246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0" customHeight="1">
      <c r="A217" s="25"/>
      <c r="B217" s="126">
        <v>44786.0</v>
      </c>
      <c r="C217" s="127">
        <f t="shared" si="1"/>
        <v>44774</v>
      </c>
      <c r="D217" s="128">
        <f t="shared" si="2"/>
        <v>44786</v>
      </c>
      <c r="E217" s="129">
        <f t="shared" si="3"/>
        <v>33</v>
      </c>
      <c r="F217" s="130" t="s">
        <v>26</v>
      </c>
      <c r="G217" s="131" t="s">
        <v>76</v>
      </c>
      <c r="H217" s="130" t="s">
        <v>124</v>
      </c>
      <c r="I217" s="132">
        <v>54300.0</v>
      </c>
      <c r="J217" s="133" t="s">
        <v>125</v>
      </c>
      <c r="K217" s="134" t="s">
        <v>247</v>
      </c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0" customHeight="1">
      <c r="A218" s="25"/>
      <c r="B218" s="126">
        <v>44699.0</v>
      </c>
      <c r="C218" s="127">
        <f t="shared" si="1"/>
        <v>44682</v>
      </c>
      <c r="D218" s="128">
        <f t="shared" si="2"/>
        <v>44699</v>
      </c>
      <c r="E218" s="129">
        <f t="shared" si="3"/>
        <v>21</v>
      </c>
      <c r="F218" s="130" t="s">
        <v>24</v>
      </c>
      <c r="G218" s="131" t="s">
        <v>29</v>
      </c>
      <c r="H218" s="130" t="s">
        <v>124</v>
      </c>
      <c r="I218" s="132">
        <f>62000-10000+2100</f>
        <v>54100</v>
      </c>
      <c r="J218" s="133" t="s">
        <v>122</v>
      </c>
      <c r="K218" s="134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0" customHeight="1">
      <c r="A219" s="25"/>
      <c r="B219" s="126">
        <v>44620.0</v>
      </c>
      <c r="C219" s="127">
        <f t="shared" si="1"/>
        <v>44593</v>
      </c>
      <c r="D219" s="128">
        <f t="shared" si="2"/>
        <v>44620</v>
      </c>
      <c r="E219" s="129">
        <f t="shared" si="3"/>
        <v>10</v>
      </c>
      <c r="F219" s="130" t="s">
        <v>24</v>
      </c>
      <c r="G219" s="131" t="s">
        <v>46</v>
      </c>
      <c r="H219" s="130" t="s">
        <v>124</v>
      </c>
      <c r="I219" s="132">
        <f>48240+5600</f>
        <v>53840</v>
      </c>
      <c r="J219" s="133" t="s">
        <v>125</v>
      </c>
      <c r="K219" s="134" t="s">
        <v>248</v>
      </c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0" customHeight="1">
      <c r="A220" s="25"/>
      <c r="B220" s="126">
        <v>44702.0</v>
      </c>
      <c r="C220" s="127">
        <f t="shared" si="1"/>
        <v>44682</v>
      </c>
      <c r="D220" s="128">
        <f t="shared" si="2"/>
        <v>44702</v>
      </c>
      <c r="E220" s="129">
        <f t="shared" si="3"/>
        <v>21</v>
      </c>
      <c r="F220" s="130" t="s">
        <v>26</v>
      </c>
      <c r="G220" s="131" t="s">
        <v>76</v>
      </c>
      <c r="H220" s="130" t="s">
        <v>124</v>
      </c>
      <c r="I220" s="132">
        <v>53690.0</v>
      </c>
      <c r="J220" s="133" t="s">
        <v>125</v>
      </c>
      <c r="K220" s="134" t="s">
        <v>247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0" customHeight="1">
      <c r="A221" s="25"/>
      <c r="B221" s="126">
        <v>44837.0</v>
      </c>
      <c r="C221" s="127">
        <f t="shared" si="1"/>
        <v>44835</v>
      </c>
      <c r="D221" s="128">
        <f t="shared" si="2"/>
        <v>44837</v>
      </c>
      <c r="E221" s="129">
        <f t="shared" si="3"/>
        <v>41</v>
      </c>
      <c r="F221" s="130" t="s">
        <v>24</v>
      </c>
      <c r="G221" s="131" t="s">
        <v>46</v>
      </c>
      <c r="H221" s="130" t="s">
        <v>124</v>
      </c>
      <c r="I221" s="132">
        <v>53394.0</v>
      </c>
      <c r="J221" s="133" t="s">
        <v>125</v>
      </c>
      <c r="K221" s="134" t="s">
        <v>196</v>
      </c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0" customHeight="1">
      <c r="A222" s="25"/>
      <c r="B222" s="126">
        <v>44808.0</v>
      </c>
      <c r="C222" s="127">
        <f t="shared" si="1"/>
        <v>44805</v>
      </c>
      <c r="D222" s="128">
        <f t="shared" si="2"/>
        <v>44808</v>
      </c>
      <c r="E222" s="129">
        <f t="shared" si="3"/>
        <v>37</v>
      </c>
      <c r="F222" s="130" t="s">
        <v>24</v>
      </c>
      <c r="G222" s="131" t="s">
        <v>54</v>
      </c>
      <c r="H222" s="130" t="s">
        <v>124</v>
      </c>
      <c r="I222" s="132">
        <v>53370.0</v>
      </c>
      <c r="J222" s="133" t="s">
        <v>125</v>
      </c>
      <c r="K222" s="134" t="s">
        <v>249</v>
      </c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0" customHeight="1">
      <c r="A223" s="25"/>
      <c r="B223" s="126">
        <v>44918.0</v>
      </c>
      <c r="C223" s="127">
        <f t="shared" si="1"/>
        <v>44896</v>
      </c>
      <c r="D223" s="128">
        <f t="shared" si="2"/>
        <v>44918</v>
      </c>
      <c r="E223" s="129">
        <f t="shared" si="3"/>
        <v>52</v>
      </c>
      <c r="F223" s="130" t="s">
        <v>26</v>
      </c>
      <c r="G223" s="131" t="s">
        <v>70</v>
      </c>
      <c r="H223" s="130" t="s">
        <v>124</v>
      </c>
      <c r="I223" s="132">
        <v>52900.0</v>
      </c>
      <c r="J223" s="133" t="s">
        <v>125</v>
      </c>
      <c r="K223" s="134" t="s">
        <v>250</v>
      </c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0" customHeight="1">
      <c r="A224" s="25"/>
      <c r="B224" s="126">
        <v>44925.0</v>
      </c>
      <c r="C224" s="127">
        <f t="shared" si="1"/>
        <v>44896</v>
      </c>
      <c r="D224" s="128">
        <f t="shared" si="2"/>
        <v>44925</v>
      </c>
      <c r="E224" s="129">
        <f t="shared" si="3"/>
        <v>53</v>
      </c>
      <c r="F224" s="130" t="s">
        <v>26</v>
      </c>
      <c r="G224" s="131" t="s">
        <v>70</v>
      </c>
      <c r="H224" s="130" t="s">
        <v>121</v>
      </c>
      <c r="I224" s="132">
        <v>52650.0</v>
      </c>
      <c r="J224" s="133" t="s">
        <v>122</v>
      </c>
      <c r="K224" s="134" t="s">
        <v>251</v>
      </c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0" customHeight="1">
      <c r="A225" s="25"/>
      <c r="B225" s="126">
        <v>44896.0</v>
      </c>
      <c r="C225" s="127">
        <f t="shared" si="1"/>
        <v>44896</v>
      </c>
      <c r="D225" s="128">
        <f t="shared" si="2"/>
        <v>44896</v>
      </c>
      <c r="E225" s="129">
        <f t="shared" si="3"/>
        <v>49</v>
      </c>
      <c r="F225" s="130" t="s">
        <v>26</v>
      </c>
      <c r="G225" s="131" t="s">
        <v>76</v>
      </c>
      <c r="H225" s="130" t="s">
        <v>124</v>
      </c>
      <c r="I225" s="132">
        <f>58440-5844</f>
        <v>52596</v>
      </c>
      <c r="J225" s="133" t="s">
        <v>125</v>
      </c>
      <c r="K225" s="134" t="s">
        <v>252</v>
      </c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0" customHeight="1">
      <c r="A226" s="25"/>
      <c r="B226" s="126">
        <v>44691.0</v>
      </c>
      <c r="C226" s="127">
        <f t="shared" si="1"/>
        <v>44682</v>
      </c>
      <c r="D226" s="128">
        <f t="shared" si="2"/>
        <v>44691</v>
      </c>
      <c r="E226" s="129">
        <f t="shared" si="3"/>
        <v>20</v>
      </c>
      <c r="F226" s="130" t="s">
        <v>26</v>
      </c>
      <c r="G226" s="131" t="s">
        <v>76</v>
      </c>
      <c r="H226" s="130" t="s">
        <v>124</v>
      </c>
      <c r="I226" s="132">
        <f>53980-1919</f>
        <v>52061</v>
      </c>
      <c r="J226" s="133" t="s">
        <v>125</v>
      </c>
      <c r="K226" s="134" t="s">
        <v>253</v>
      </c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0" customHeight="1">
      <c r="A227" s="25"/>
      <c r="B227" s="126">
        <v>44903.0</v>
      </c>
      <c r="C227" s="127">
        <f t="shared" si="1"/>
        <v>44896</v>
      </c>
      <c r="D227" s="128">
        <f t="shared" si="2"/>
        <v>44903</v>
      </c>
      <c r="E227" s="129">
        <f t="shared" si="3"/>
        <v>50</v>
      </c>
      <c r="F227" s="130" t="s">
        <v>26</v>
      </c>
      <c r="G227" s="131" t="s">
        <v>70</v>
      </c>
      <c r="H227" s="130" t="s">
        <v>124</v>
      </c>
      <c r="I227" s="132">
        <f>55001-2973</f>
        <v>52028</v>
      </c>
      <c r="J227" s="133" t="s">
        <v>125</v>
      </c>
      <c r="K227" s="134" t="s">
        <v>254</v>
      </c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0" customHeight="1">
      <c r="A228" s="25"/>
      <c r="B228" s="126">
        <v>44639.0</v>
      </c>
      <c r="C228" s="127">
        <f t="shared" si="1"/>
        <v>44621</v>
      </c>
      <c r="D228" s="128">
        <f t="shared" si="2"/>
        <v>44639</v>
      </c>
      <c r="E228" s="129">
        <f t="shared" si="3"/>
        <v>12</v>
      </c>
      <c r="F228" s="130" t="s">
        <v>26</v>
      </c>
      <c r="G228" s="131" t="s">
        <v>79</v>
      </c>
      <c r="H228" s="130" t="s">
        <v>124</v>
      </c>
      <c r="I228" s="132">
        <v>52000.0</v>
      </c>
      <c r="J228" s="133" t="s">
        <v>122</v>
      </c>
      <c r="K228" s="134" t="s">
        <v>255</v>
      </c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0" customHeight="1">
      <c r="A229" s="25"/>
      <c r="B229" s="126">
        <v>44759.0</v>
      </c>
      <c r="C229" s="127">
        <f t="shared" si="1"/>
        <v>44743</v>
      </c>
      <c r="D229" s="128">
        <f t="shared" si="2"/>
        <v>44759</v>
      </c>
      <c r="E229" s="129">
        <f t="shared" si="3"/>
        <v>30</v>
      </c>
      <c r="F229" s="130" t="s">
        <v>26</v>
      </c>
      <c r="G229" s="131" t="s">
        <v>70</v>
      </c>
      <c r="H229" s="130" t="s">
        <v>124</v>
      </c>
      <c r="I229" s="132">
        <f>53040-1271</f>
        <v>51769</v>
      </c>
      <c r="J229" s="133" t="s">
        <v>125</v>
      </c>
      <c r="K229" s="134" t="s">
        <v>256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0" customHeight="1">
      <c r="A230" s="25"/>
      <c r="B230" s="126">
        <v>44603.0</v>
      </c>
      <c r="C230" s="127">
        <f t="shared" si="1"/>
        <v>44593</v>
      </c>
      <c r="D230" s="128">
        <f t="shared" si="2"/>
        <v>44603</v>
      </c>
      <c r="E230" s="129">
        <f t="shared" si="3"/>
        <v>7</v>
      </c>
      <c r="F230" s="130" t="s">
        <v>26</v>
      </c>
      <c r="G230" s="131" t="s">
        <v>70</v>
      </c>
      <c r="H230" s="130" t="s">
        <v>124</v>
      </c>
      <c r="I230" s="132">
        <v>51720.0</v>
      </c>
      <c r="J230" s="133" t="s">
        <v>125</v>
      </c>
      <c r="K230" s="134" t="s">
        <v>257</v>
      </c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0" customHeight="1">
      <c r="A231" s="25"/>
      <c r="B231" s="126">
        <v>44566.0</v>
      </c>
      <c r="C231" s="127">
        <f t="shared" si="1"/>
        <v>44562</v>
      </c>
      <c r="D231" s="128">
        <f t="shared" si="2"/>
        <v>44566</v>
      </c>
      <c r="E231" s="129">
        <f t="shared" si="3"/>
        <v>2</v>
      </c>
      <c r="F231" s="130" t="s">
        <v>26</v>
      </c>
      <c r="G231" s="131" t="s">
        <v>76</v>
      </c>
      <c r="H231" s="130" t="s">
        <v>124</v>
      </c>
      <c r="I231" s="132">
        <v>51247.0</v>
      </c>
      <c r="J231" s="133" t="s">
        <v>125</v>
      </c>
      <c r="K231" s="134" t="s">
        <v>167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0" customHeight="1">
      <c r="A232" s="25"/>
      <c r="B232" s="126">
        <v>44710.0</v>
      </c>
      <c r="C232" s="127">
        <f t="shared" si="1"/>
        <v>44682</v>
      </c>
      <c r="D232" s="128">
        <f t="shared" si="2"/>
        <v>44710</v>
      </c>
      <c r="E232" s="129">
        <f t="shared" si="3"/>
        <v>23</v>
      </c>
      <c r="F232" s="130" t="s">
        <v>26</v>
      </c>
      <c r="G232" s="131" t="s">
        <v>70</v>
      </c>
      <c r="H232" s="130" t="s">
        <v>124</v>
      </c>
      <c r="I232" s="132">
        <v>51120.0</v>
      </c>
      <c r="J232" s="133" t="s">
        <v>125</v>
      </c>
      <c r="K232" s="134" t="s">
        <v>258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0" customHeight="1">
      <c r="A233" s="25"/>
      <c r="B233" s="126">
        <v>44562.0</v>
      </c>
      <c r="C233" s="127">
        <f t="shared" si="1"/>
        <v>44562</v>
      </c>
      <c r="D233" s="128">
        <f t="shared" si="2"/>
        <v>44562</v>
      </c>
      <c r="E233" s="129">
        <f t="shared" si="3"/>
        <v>1</v>
      </c>
      <c r="F233" s="130" t="s">
        <v>26</v>
      </c>
      <c r="G233" s="131" t="s">
        <v>82</v>
      </c>
      <c r="H233" s="130" t="s">
        <v>124</v>
      </c>
      <c r="I233" s="132">
        <v>51088.0</v>
      </c>
      <c r="J233" s="133" t="s">
        <v>125</v>
      </c>
      <c r="K233" s="134" t="s">
        <v>259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0" customHeight="1">
      <c r="A234" s="25"/>
      <c r="B234" s="126">
        <v>44920.0</v>
      </c>
      <c r="C234" s="127">
        <f t="shared" si="1"/>
        <v>44896</v>
      </c>
      <c r="D234" s="128">
        <f t="shared" si="2"/>
        <v>44920</v>
      </c>
      <c r="E234" s="129">
        <f t="shared" si="3"/>
        <v>53</v>
      </c>
      <c r="F234" s="130" t="s">
        <v>24</v>
      </c>
      <c r="G234" s="131" t="s">
        <v>46</v>
      </c>
      <c r="H234" s="130" t="s">
        <v>124</v>
      </c>
      <c r="I234" s="132">
        <v>51000.0</v>
      </c>
      <c r="J234" s="133" t="s">
        <v>125</v>
      </c>
      <c r="K234" s="134" t="s">
        <v>196</v>
      </c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0" customHeight="1">
      <c r="A235" s="25"/>
      <c r="B235" s="126">
        <v>44781.0</v>
      </c>
      <c r="C235" s="127">
        <f t="shared" si="1"/>
        <v>44774</v>
      </c>
      <c r="D235" s="128">
        <f t="shared" si="2"/>
        <v>44781</v>
      </c>
      <c r="E235" s="129">
        <f t="shared" si="3"/>
        <v>33</v>
      </c>
      <c r="F235" s="130" t="s">
        <v>26</v>
      </c>
      <c r="G235" s="131" t="s">
        <v>70</v>
      </c>
      <c r="H235" s="130" t="s">
        <v>124</v>
      </c>
      <c r="I235" s="132">
        <f>56200-5318</f>
        <v>50882</v>
      </c>
      <c r="J235" s="133" t="s">
        <v>125</v>
      </c>
      <c r="K235" s="134" t="s">
        <v>260</v>
      </c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0" customHeight="1">
      <c r="A236" s="25"/>
      <c r="B236" s="126">
        <v>44880.0</v>
      </c>
      <c r="C236" s="127">
        <f t="shared" si="1"/>
        <v>44866</v>
      </c>
      <c r="D236" s="128">
        <f t="shared" si="2"/>
        <v>44880</v>
      </c>
      <c r="E236" s="129">
        <f t="shared" si="3"/>
        <v>47</v>
      </c>
      <c r="F236" s="130" t="s">
        <v>26</v>
      </c>
      <c r="G236" s="131" t="s">
        <v>76</v>
      </c>
      <c r="H236" s="130" t="s">
        <v>124</v>
      </c>
      <c r="I236" s="132">
        <f>56360-5636</f>
        <v>50724</v>
      </c>
      <c r="J236" s="133" t="s">
        <v>125</v>
      </c>
      <c r="K236" s="134" t="s">
        <v>261</v>
      </c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0" customHeight="1">
      <c r="A237" s="25"/>
      <c r="B237" s="126">
        <v>44633.0</v>
      </c>
      <c r="C237" s="127">
        <f t="shared" si="1"/>
        <v>44621</v>
      </c>
      <c r="D237" s="128">
        <f t="shared" si="2"/>
        <v>44633</v>
      </c>
      <c r="E237" s="129">
        <f t="shared" si="3"/>
        <v>12</v>
      </c>
      <c r="F237" s="130" t="s">
        <v>26</v>
      </c>
      <c r="G237" s="131" t="s">
        <v>70</v>
      </c>
      <c r="H237" s="130" t="s">
        <v>124</v>
      </c>
      <c r="I237" s="132">
        <v>50500.0</v>
      </c>
      <c r="J237" s="133" t="s">
        <v>122</v>
      </c>
      <c r="K237" s="134" t="s">
        <v>262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0" customHeight="1">
      <c r="A238" s="25"/>
      <c r="B238" s="126">
        <v>44611.0</v>
      </c>
      <c r="C238" s="127">
        <f t="shared" si="1"/>
        <v>44593</v>
      </c>
      <c r="D238" s="128">
        <f t="shared" si="2"/>
        <v>44611</v>
      </c>
      <c r="E238" s="129">
        <f t="shared" si="3"/>
        <v>8</v>
      </c>
      <c r="F238" s="130" t="s">
        <v>26</v>
      </c>
      <c r="G238" s="131" t="s">
        <v>70</v>
      </c>
      <c r="H238" s="130" t="s">
        <v>124</v>
      </c>
      <c r="I238" s="132">
        <f>56000-5600</f>
        <v>50400</v>
      </c>
      <c r="J238" s="133" t="s">
        <v>125</v>
      </c>
      <c r="K238" s="134" t="s">
        <v>263</v>
      </c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0" customHeight="1">
      <c r="A239" s="25"/>
      <c r="B239" s="126">
        <v>44918.0</v>
      </c>
      <c r="C239" s="127">
        <f t="shared" si="1"/>
        <v>44896</v>
      </c>
      <c r="D239" s="128">
        <f t="shared" si="2"/>
        <v>44918</v>
      </c>
      <c r="E239" s="129">
        <f t="shared" si="3"/>
        <v>52</v>
      </c>
      <c r="F239" s="130" t="s">
        <v>26</v>
      </c>
      <c r="G239" s="131" t="s">
        <v>79</v>
      </c>
      <c r="H239" s="130" t="s">
        <v>121</v>
      </c>
      <c r="I239" s="132">
        <f>56000*0.9</f>
        <v>50400</v>
      </c>
      <c r="J239" s="133" t="s">
        <v>125</v>
      </c>
      <c r="K239" s="134" t="s">
        <v>264</v>
      </c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0" customHeight="1">
      <c r="A240" s="25"/>
      <c r="B240" s="126">
        <v>44706.0</v>
      </c>
      <c r="C240" s="127">
        <f t="shared" si="1"/>
        <v>44682</v>
      </c>
      <c r="D240" s="128">
        <f t="shared" si="2"/>
        <v>44706</v>
      </c>
      <c r="E240" s="129">
        <f t="shared" si="3"/>
        <v>22</v>
      </c>
      <c r="F240" s="130" t="s">
        <v>26</v>
      </c>
      <c r="G240" s="131" t="s">
        <v>76</v>
      </c>
      <c r="H240" s="130" t="s">
        <v>124</v>
      </c>
      <c r="I240" s="132">
        <v>50360.0</v>
      </c>
      <c r="J240" s="133" t="s">
        <v>125</v>
      </c>
      <c r="K240" s="134" t="s">
        <v>167</v>
      </c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0" customHeight="1">
      <c r="A241" s="25"/>
      <c r="B241" s="126">
        <v>44623.0</v>
      </c>
      <c r="C241" s="127">
        <f t="shared" si="1"/>
        <v>44621</v>
      </c>
      <c r="D241" s="128">
        <f t="shared" si="2"/>
        <v>44623</v>
      </c>
      <c r="E241" s="129">
        <f t="shared" si="3"/>
        <v>10</v>
      </c>
      <c r="F241" s="130" t="s">
        <v>26</v>
      </c>
      <c r="G241" s="131" t="s">
        <v>70</v>
      </c>
      <c r="H241" s="130" t="s">
        <v>124</v>
      </c>
      <c r="I241" s="132">
        <v>50051.0</v>
      </c>
      <c r="J241" s="133" t="s">
        <v>125</v>
      </c>
      <c r="K241" s="134" t="s">
        <v>265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0" customHeight="1">
      <c r="A242" s="25"/>
      <c r="B242" s="126">
        <v>44575.0</v>
      </c>
      <c r="C242" s="127">
        <f t="shared" si="1"/>
        <v>44562</v>
      </c>
      <c r="D242" s="128">
        <f t="shared" si="2"/>
        <v>44575</v>
      </c>
      <c r="E242" s="129">
        <f t="shared" si="3"/>
        <v>3</v>
      </c>
      <c r="F242" s="130" t="s">
        <v>24</v>
      </c>
      <c r="G242" s="131" t="s">
        <v>25</v>
      </c>
      <c r="H242" s="130" t="s">
        <v>121</v>
      </c>
      <c r="I242" s="132">
        <v>50000.0</v>
      </c>
      <c r="J242" s="133" t="s">
        <v>122</v>
      </c>
      <c r="K242" s="134" t="s">
        <v>266</v>
      </c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0" customHeight="1">
      <c r="A243" s="25"/>
      <c r="B243" s="126">
        <v>44671.0</v>
      </c>
      <c r="C243" s="127">
        <f t="shared" si="1"/>
        <v>44652</v>
      </c>
      <c r="D243" s="128">
        <f t="shared" si="2"/>
        <v>44671</v>
      </c>
      <c r="E243" s="129">
        <f t="shared" si="3"/>
        <v>17</v>
      </c>
      <c r="F243" s="130" t="s">
        <v>24</v>
      </c>
      <c r="G243" s="131" t="s">
        <v>25</v>
      </c>
      <c r="H243" s="130" t="s">
        <v>121</v>
      </c>
      <c r="I243" s="132">
        <v>50000.0</v>
      </c>
      <c r="J243" s="133" t="s">
        <v>125</v>
      </c>
      <c r="K243" s="134" t="s">
        <v>267</v>
      </c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0" customHeight="1">
      <c r="A244" s="25"/>
      <c r="B244" s="126">
        <v>44797.0</v>
      </c>
      <c r="C244" s="127">
        <f t="shared" si="1"/>
        <v>44774</v>
      </c>
      <c r="D244" s="128">
        <f t="shared" si="2"/>
        <v>44797</v>
      </c>
      <c r="E244" s="129">
        <f t="shared" si="3"/>
        <v>35</v>
      </c>
      <c r="F244" s="130" t="s">
        <v>24</v>
      </c>
      <c r="G244" s="131" t="s">
        <v>25</v>
      </c>
      <c r="H244" s="130" t="s">
        <v>121</v>
      </c>
      <c r="I244" s="132">
        <v>50000.0</v>
      </c>
      <c r="J244" s="133" t="s">
        <v>125</v>
      </c>
      <c r="K244" s="134" t="s">
        <v>268</v>
      </c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0" customHeight="1">
      <c r="A245" s="25"/>
      <c r="B245" s="126">
        <v>44826.0</v>
      </c>
      <c r="C245" s="127">
        <f t="shared" si="1"/>
        <v>44805</v>
      </c>
      <c r="D245" s="128">
        <f t="shared" si="2"/>
        <v>44826</v>
      </c>
      <c r="E245" s="129">
        <f t="shared" si="3"/>
        <v>39</v>
      </c>
      <c r="F245" s="130" t="s">
        <v>24</v>
      </c>
      <c r="G245" s="131" t="s">
        <v>25</v>
      </c>
      <c r="H245" s="130" t="s">
        <v>121</v>
      </c>
      <c r="I245" s="132">
        <v>50000.0</v>
      </c>
      <c r="J245" s="133" t="s">
        <v>122</v>
      </c>
      <c r="K245" s="134" t="s">
        <v>269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0" customHeight="1">
      <c r="A246" s="25"/>
      <c r="B246" s="126">
        <v>44908.0</v>
      </c>
      <c r="C246" s="127">
        <f t="shared" si="1"/>
        <v>44896</v>
      </c>
      <c r="D246" s="128">
        <f t="shared" si="2"/>
        <v>44908</v>
      </c>
      <c r="E246" s="129">
        <f t="shared" si="3"/>
        <v>51</v>
      </c>
      <c r="F246" s="130" t="s">
        <v>26</v>
      </c>
      <c r="G246" s="131" t="s">
        <v>79</v>
      </c>
      <c r="H246" s="130" t="s">
        <v>124</v>
      </c>
      <c r="I246" s="132">
        <v>50000.0</v>
      </c>
      <c r="J246" s="133" t="s">
        <v>125</v>
      </c>
      <c r="K246" s="134" t="s">
        <v>270</v>
      </c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0" customHeight="1">
      <c r="A247" s="25"/>
      <c r="B247" s="126">
        <v>44914.0</v>
      </c>
      <c r="C247" s="127">
        <f t="shared" si="1"/>
        <v>44896</v>
      </c>
      <c r="D247" s="128">
        <f t="shared" si="2"/>
        <v>44914</v>
      </c>
      <c r="E247" s="129">
        <f t="shared" si="3"/>
        <v>52</v>
      </c>
      <c r="F247" s="130" t="s">
        <v>24</v>
      </c>
      <c r="G247" s="131" t="s">
        <v>25</v>
      </c>
      <c r="H247" s="130" t="s">
        <v>121</v>
      </c>
      <c r="I247" s="132">
        <v>50000.0</v>
      </c>
      <c r="J247" s="133" t="s">
        <v>125</v>
      </c>
      <c r="K247" s="134" t="s">
        <v>271</v>
      </c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0" customHeight="1">
      <c r="A248" s="25"/>
      <c r="B248" s="126">
        <v>44865.0</v>
      </c>
      <c r="C248" s="127">
        <f t="shared" si="1"/>
        <v>44835</v>
      </c>
      <c r="D248" s="128">
        <f t="shared" si="2"/>
        <v>44865</v>
      </c>
      <c r="E248" s="129">
        <f t="shared" si="3"/>
        <v>45</v>
      </c>
      <c r="F248" s="130" t="s">
        <v>24</v>
      </c>
      <c r="G248" s="131" t="s">
        <v>29</v>
      </c>
      <c r="H248" s="130" t="s">
        <v>124</v>
      </c>
      <c r="I248" s="132">
        <f>28900+29400-5780-2620</f>
        <v>49900</v>
      </c>
      <c r="J248" s="133" t="s">
        <v>125</v>
      </c>
      <c r="K248" s="134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0" customHeight="1">
      <c r="A249" s="25"/>
      <c r="B249" s="126">
        <v>44856.0</v>
      </c>
      <c r="C249" s="127">
        <f t="shared" si="1"/>
        <v>44835</v>
      </c>
      <c r="D249" s="128">
        <f t="shared" si="2"/>
        <v>44856</v>
      </c>
      <c r="E249" s="129">
        <f t="shared" si="3"/>
        <v>43</v>
      </c>
      <c r="F249" s="130" t="s">
        <v>26</v>
      </c>
      <c r="G249" s="131" t="s">
        <v>79</v>
      </c>
      <c r="H249" s="130" t="s">
        <v>124</v>
      </c>
      <c r="I249" s="132">
        <v>49500.0</v>
      </c>
      <c r="J249" s="133" t="s">
        <v>122</v>
      </c>
      <c r="K249" s="134" t="s">
        <v>272</v>
      </c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0" customHeight="1">
      <c r="A250" s="25"/>
      <c r="B250" s="126">
        <v>44591.0</v>
      </c>
      <c r="C250" s="127">
        <f t="shared" si="1"/>
        <v>44562</v>
      </c>
      <c r="D250" s="128">
        <f t="shared" si="2"/>
        <v>44591</v>
      </c>
      <c r="E250" s="129">
        <f t="shared" si="3"/>
        <v>6</v>
      </c>
      <c r="F250" s="130" t="s">
        <v>24</v>
      </c>
      <c r="G250" s="131" t="s">
        <v>34</v>
      </c>
      <c r="H250" s="130" t="s">
        <v>124</v>
      </c>
      <c r="I250" s="132">
        <v>49000.0</v>
      </c>
      <c r="J250" s="133" t="s">
        <v>122</v>
      </c>
      <c r="K250" s="134" t="s">
        <v>273</v>
      </c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0" customHeight="1">
      <c r="A251" s="25"/>
      <c r="B251" s="126">
        <v>44687.0</v>
      </c>
      <c r="C251" s="127">
        <f t="shared" si="1"/>
        <v>44682</v>
      </c>
      <c r="D251" s="128">
        <f t="shared" si="2"/>
        <v>44687</v>
      </c>
      <c r="E251" s="129">
        <f t="shared" si="3"/>
        <v>19</v>
      </c>
      <c r="F251" s="130" t="s">
        <v>24</v>
      </c>
      <c r="G251" s="131" t="s">
        <v>34</v>
      </c>
      <c r="H251" s="130" t="s">
        <v>124</v>
      </c>
      <c r="I251" s="132">
        <v>49000.0</v>
      </c>
      <c r="J251" s="133" t="s">
        <v>122</v>
      </c>
      <c r="K251" s="134" t="s">
        <v>274</v>
      </c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0" customHeight="1">
      <c r="A252" s="25"/>
      <c r="B252" s="126">
        <v>44673.0</v>
      </c>
      <c r="C252" s="127">
        <f t="shared" si="1"/>
        <v>44652</v>
      </c>
      <c r="D252" s="128">
        <f t="shared" si="2"/>
        <v>44673</v>
      </c>
      <c r="E252" s="129">
        <f t="shared" si="3"/>
        <v>17</v>
      </c>
      <c r="F252" s="130" t="s">
        <v>26</v>
      </c>
      <c r="G252" s="131" t="s">
        <v>70</v>
      </c>
      <c r="H252" s="130" t="s">
        <v>121</v>
      </c>
      <c r="I252" s="132">
        <v>48840.0</v>
      </c>
      <c r="J252" s="133" t="s">
        <v>125</v>
      </c>
      <c r="K252" s="134" t="s">
        <v>275</v>
      </c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0" customHeight="1">
      <c r="A253" s="25"/>
      <c r="B253" s="126">
        <v>44730.0</v>
      </c>
      <c r="C253" s="127">
        <f t="shared" si="1"/>
        <v>44713</v>
      </c>
      <c r="D253" s="128">
        <f t="shared" si="2"/>
        <v>44730</v>
      </c>
      <c r="E253" s="129">
        <f t="shared" si="3"/>
        <v>25</v>
      </c>
      <c r="F253" s="130" t="s">
        <v>26</v>
      </c>
      <c r="G253" s="131" t="s">
        <v>70</v>
      </c>
      <c r="H253" s="130" t="s">
        <v>124</v>
      </c>
      <c r="I253" s="132">
        <f>51390-2734</f>
        <v>48656</v>
      </c>
      <c r="J253" s="133" t="s">
        <v>125</v>
      </c>
      <c r="K253" s="134" t="s">
        <v>276</v>
      </c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0" customHeight="1">
      <c r="A254" s="25"/>
      <c r="B254" s="126">
        <v>44843.0</v>
      </c>
      <c r="C254" s="127">
        <f t="shared" si="1"/>
        <v>44835</v>
      </c>
      <c r="D254" s="128">
        <f t="shared" si="2"/>
        <v>44843</v>
      </c>
      <c r="E254" s="129">
        <f t="shared" si="3"/>
        <v>42</v>
      </c>
      <c r="F254" s="130" t="s">
        <v>26</v>
      </c>
      <c r="G254" s="131" t="s">
        <v>72</v>
      </c>
      <c r="H254" s="130" t="s">
        <v>121</v>
      </c>
      <c r="I254" s="132">
        <f>54000*0.9</f>
        <v>48600</v>
      </c>
      <c r="J254" s="133" t="s">
        <v>125</v>
      </c>
      <c r="K254" s="134" t="s">
        <v>277</v>
      </c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0" customHeight="1">
      <c r="A255" s="25"/>
      <c r="B255" s="126">
        <v>44892.0</v>
      </c>
      <c r="C255" s="127">
        <f t="shared" si="1"/>
        <v>44866</v>
      </c>
      <c r="D255" s="128">
        <f t="shared" si="2"/>
        <v>44892</v>
      </c>
      <c r="E255" s="129">
        <f t="shared" si="3"/>
        <v>49</v>
      </c>
      <c r="F255" s="130" t="s">
        <v>26</v>
      </c>
      <c r="G255" s="131" t="s">
        <v>70</v>
      </c>
      <c r="H255" s="130" t="s">
        <v>124</v>
      </c>
      <c r="I255" s="132">
        <v>48400.0</v>
      </c>
      <c r="J255" s="133" t="s">
        <v>122</v>
      </c>
      <c r="K255" s="134" t="s">
        <v>278</v>
      </c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0" customHeight="1">
      <c r="A256" s="25"/>
      <c r="B256" s="126">
        <v>44640.0</v>
      </c>
      <c r="C256" s="127">
        <f t="shared" si="1"/>
        <v>44621</v>
      </c>
      <c r="D256" s="128">
        <f t="shared" si="2"/>
        <v>44640</v>
      </c>
      <c r="E256" s="129">
        <f t="shared" si="3"/>
        <v>13</v>
      </c>
      <c r="F256" s="130" t="s">
        <v>26</v>
      </c>
      <c r="G256" s="131" t="s">
        <v>70</v>
      </c>
      <c r="H256" s="130" t="s">
        <v>124</v>
      </c>
      <c r="I256" s="132">
        <f>46100+1900</f>
        <v>48000</v>
      </c>
      <c r="J256" s="133" t="s">
        <v>125</v>
      </c>
      <c r="K256" s="134" t="s">
        <v>279</v>
      </c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0" customHeight="1">
      <c r="A257" s="25"/>
      <c r="B257" s="126">
        <v>44891.0</v>
      </c>
      <c r="C257" s="127">
        <f t="shared" si="1"/>
        <v>44866</v>
      </c>
      <c r="D257" s="128">
        <f t="shared" si="2"/>
        <v>44891</v>
      </c>
      <c r="E257" s="129">
        <f t="shared" si="3"/>
        <v>48</v>
      </c>
      <c r="F257" s="130" t="s">
        <v>24</v>
      </c>
      <c r="G257" s="131" t="s">
        <v>49</v>
      </c>
      <c r="H257" s="130" t="s">
        <v>121</v>
      </c>
      <c r="I257" s="132">
        <v>48000.0</v>
      </c>
      <c r="J257" s="133" t="s">
        <v>125</v>
      </c>
      <c r="K257" s="134" t="s">
        <v>280</v>
      </c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0" customHeight="1">
      <c r="A258" s="25"/>
      <c r="B258" s="126">
        <v>44586.0</v>
      </c>
      <c r="C258" s="127">
        <f t="shared" si="1"/>
        <v>44562</v>
      </c>
      <c r="D258" s="128">
        <f t="shared" si="2"/>
        <v>44586</v>
      </c>
      <c r="E258" s="129">
        <f t="shared" si="3"/>
        <v>5</v>
      </c>
      <c r="F258" s="130" t="s">
        <v>24</v>
      </c>
      <c r="G258" s="131" t="s">
        <v>46</v>
      </c>
      <c r="H258" s="130" t="s">
        <v>124</v>
      </c>
      <c r="I258" s="132">
        <v>47550.0</v>
      </c>
      <c r="J258" s="133" t="s">
        <v>125</v>
      </c>
      <c r="K258" s="134" t="s">
        <v>196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0" customHeight="1">
      <c r="A259" s="25"/>
      <c r="B259" s="126">
        <v>44909.0</v>
      </c>
      <c r="C259" s="127">
        <f t="shared" si="1"/>
        <v>44896</v>
      </c>
      <c r="D259" s="128">
        <f t="shared" si="2"/>
        <v>44909</v>
      </c>
      <c r="E259" s="129">
        <f t="shared" si="3"/>
        <v>51</v>
      </c>
      <c r="F259" s="130" t="s">
        <v>26</v>
      </c>
      <c r="G259" s="131" t="s">
        <v>76</v>
      </c>
      <c r="H259" s="130" t="s">
        <v>124</v>
      </c>
      <c r="I259" s="132">
        <v>47500.0</v>
      </c>
      <c r="J259" s="133" t="s">
        <v>125</v>
      </c>
      <c r="K259" s="134" t="s">
        <v>281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0" customHeight="1">
      <c r="A260" s="25"/>
      <c r="B260" s="126">
        <v>44880.0</v>
      </c>
      <c r="C260" s="127">
        <f t="shared" si="1"/>
        <v>44866</v>
      </c>
      <c r="D260" s="128">
        <f t="shared" si="2"/>
        <v>44880</v>
      </c>
      <c r="E260" s="129">
        <f t="shared" si="3"/>
        <v>47</v>
      </c>
      <c r="F260" s="130" t="s">
        <v>26</v>
      </c>
      <c r="G260" s="131" t="s">
        <v>70</v>
      </c>
      <c r="H260" s="130" t="s">
        <v>124</v>
      </c>
      <c r="I260" s="132">
        <v>47440.0</v>
      </c>
      <c r="J260" s="133" t="s">
        <v>125</v>
      </c>
      <c r="K260" s="134" t="s">
        <v>282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0" customHeight="1">
      <c r="A261" s="25"/>
      <c r="B261" s="126">
        <v>44876.0</v>
      </c>
      <c r="C261" s="127">
        <f t="shared" si="1"/>
        <v>44866</v>
      </c>
      <c r="D261" s="128">
        <f t="shared" si="2"/>
        <v>44876</v>
      </c>
      <c r="E261" s="129">
        <f t="shared" si="3"/>
        <v>46</v>
      </c>
      <c r="F261" s="130" t="s">
        <v>24</v>
      </c>
      <c r="G261" s="131" t="s">
        <v>44</v>
      </c>
      <c r="H261" s="130" t="s">
        <v>124</v>
      </c>
      <c r="I261" s="132">
        <v>47300.0</v>
      </c>
      <c r="J261" s="133" t="s">
        <v>122</v>
      </c>
      <c r="K261" s="134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0" customHeight="1">
      <c r="A262" s="25"/>
      <c r="B262" s="126">
        <v>44569.0</v>
      </c>
      <c r="C262" s="127">
        <f t="shared" si="1"/>
        <v>44562</v>
      </c>
      <c r="D262" s="128">
        <f t="shared" si="2"/>
        <v>44569</v>
      </c>
      <c r="E262" s="129">
        <f t="shared" si="3"/>
        <v>2</v>
      </c>
      <c r="F262" s="130" t="s">
        <v>26</v>
      </c>
      <c r="G262" s="131" t="s">
        <v>70</v>
      </c>
      <c r="H262" s="130" t="s">
        <v>124</v>
      </c>
      <c r="I262" s="132">
        <v>47175.0</v>
      </c>
      <c r="J262" s="133" t="s">
        <v>125</v>
      </c>
      <c r="K262" s="134" t="s">
        <v>283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0" customHeight="1">
      <c r="A263" s="25"/>
      <c r="B263" s="126">
        <v>44645.0</v>
      </c>
      <c r="C263" s="127">
        <f t="shared" si="1"/>
        <v>44621</v>
      </c>
      <c r="D263" s="128">
        <f t="shared" si="2"/>
        <v>44645</v>
      </c>
      <c r="E263" s="129">
        <f t="shared" si="3"/>
        <v>13</v>
      </c>
      <c r="F263" s="130" t="s">
        <v>26</v>
      </c>
      <c r="G263" s="131" t="s">
        <v>76</v>
      </c>
      <c r="H263" s="130" t="s">
        <v>124</v>
      </c>
      <c r="I263" s="132">
        <v>47140.0</v>
      </c>
      <c r="J263" s="133" t="s">
        <v>125</v>
      </c>
      <c r="K263" s="134" t="s">
        <v>167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0" customHeight="1">
      <c r="A264" s="25"/>
      <c r="B264" s="126">
        <v>44659.0</v>
      </c>
      <c r="C264" s="127">
        <f t="shared" si="1"/>
        <v>44652</v>
      </c>
      <c r="D264" s="128">
        <f t="shared" si="2"/>
        <v>44659</v>
      </c>
      <c r="E264" s="129">
        <f t="shared" si="3"/>
        <v>15</v>
      </c>
      <c r="F264" s="130" t="s">
        <v>26</v>
      </c>
      <c r="G264" s="131" t="s">
        <v>79</v>
      </c>
      <c r="H264" s="130" t="s">
        <v>124</v>
      </c>
      <c r="I264" s="132">
        <v>47000.0</v>
      </c>
      <c r="J264" s="133" t="s">
        <v>122</v>
      </c>
      <c r="K264" s="134" t="s">
        <v>284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0" customHeight="1">
      <c r="A265" s="25"/>
      <c r="B265" s="126">
        <v>44745.0</v>
      </c>
      <c r="C265" s="127">
        <f t="shared" si="1"/>
        <v>44743</v>
      </c>
      <c r="D265" s="128">
        <f t="shared" si="2"/>
        <v>44745</v>
      </c>
      <c r="E265" s="129">
        <f t="shared" si="3"/>
        <v>28</v>
      </c>
      <c r="F265" s="130" t="s">
        <v>26</v>
      </c>
      <c r="G265" s="131" t="s">
        <v>79</v>
      </c>
      <c r="H265" s="130" t="s">
        <v>124</v>
      </c>
      <c r="I265" s="132">
        <v>47000.0</v>
      </c>
      <c r="J265" s="133" t="s">
        <v>122</v>
      </c>
      <c r="K265" s="134" t="s">
        <v>285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0" customHeight="1">
      <c r="A266" s="25"/>
      <c r="B266" s="126">
        <v>44783.0</v>
      </c>
      <c r="C266" s="127">
        <f t="shared" si="1"/>
        <v>44774</v>
      </c>
      <c r="D266" s="128">
        <f t="shared" si="2"/>
        <v>44783</v>
      </c>
      <c r="E266" s="129">
        <f t="shared" si="3"/>
        <v>33</v>
      </c>
      <c r="F266" s="130" t="s">
        <v>26</v>
      </c>
      <c r="G266" s="131" t="s">
        <v>70</v>
      </c>
      <c r="H266" s="130" t="s">
        <v>124</v>
      </c>
      <c r="I266" s="132">
        <v>46800.0</v>
      </c>
      <c r="J266" s="133" t="s">
        <v>122</v>
      </c>
      <c r="K266" s="134" t="s">
        <v>286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0" customHeight="1">
      <c r="A267" s="25"/>
      <c r="B267" s="126">
        <v>44801.0</v>
      </c>
      <c r="C267" s="127">
        <f t="shared" si="1"/>
        <v>44774</v>
      </c>
      <c r="D267" s="128">
        <f t="shared" si="2"/>
        <v>44801</v>
      </c>
      <c r="E267" s="129">
        <f t="shared" si="3"/>
        <v>36</v>
      </c>
      <c r="F267" s="130" t="s">
        <v>26</v>
      </c>
      <c r="G267" s="131" t="s">
        <v>79</v>
      </c>
      <c r="H267" s="130" t="s">
        <v>121</v>
      </c>
      <c r="I267" s="132">
        <f t="shared" ref="I267:I268" si="5">52000*0.9</f>
        <v>46800</v>
      </c>
      <c r="J267" s="133" t="s">
        <v>125</v>
      </c>
      <c r="K267" s="134" t="s">
        <v>287</v>
      </c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0" customHeight="1">
      <c r="A268" s="25"/>
      <c r="B268" s="126">
        <v>44922.0</v>
      </c>
      <c r="C268" s="127">
        <f t="shared" si="1"/>
        <v>44896</v>
      </c>
      <c r="D268" s="128">
        <f t="shared" si="2"/>
        <v>44922</v>
      </c>
      <c r="E268" s="129">
        <f t="shared" si="3"/>
        <v>53</v>
      </c>
      <c r="F268" s="130" t="s">
        <v>128</v>
      </c>
      <c r="G268" s="131" t="s">
        <v>172</v>
      </c>
      <c r="H268" s="130" t="s">
        <v>121</v>
      </c>
      <c r="I268" s="132">
        <f t="shared" si="5"/>
        <v>46800</v>
      </c>
      <c r="J268" s="133" t="s">
        <v>125</v>
      </c>
      <c r="K268" s="134" t="s">
        <v>288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0" customHeight="1">
      <c r="A269" s="25"/>
      <c r="B269" s="126">
        <v>44726.0</v>
      </c>
      <c r="C269" s="127">
        <f t="shared" si="1"/>
        <v>44713</v>
      </c>
      <c r="D269" s="128">
        <f t="shared" si="2"/>
        <v>44726</v>
      </c>
      <c r="E269" s="129">
        <f t="shared" si="3"/>
        <v>25</v>
      </c>
      <c r="F269" s="130" t="s">
        <v>26</v>
      </c>
      <c r="G269" s="131" t="s">
        <v>70</v>
      </c>
      <c r="H269" s="130" t="s">
        <v>124</v>
      </c>
      <c r="I269" s="132">
        <f>51620-5162</f>
        <v>46458</v>
      </c>
      <c r="J269" s="133" t="s">
        <v>125</v>
      </c>
      <c r="K269" s="134" t="s">
        <v>247</v>
      </c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0" customHeight="1">
      <c r="A270" s="25"/>
      <c r="B270" s="126">
        <v>44667.0</v>
      </c>
      <c r="C270" s="127">
        <f t="shared" si="1"/>
        <v>44652</v>
      </c>
      <c r="D270" s="128">
        <f t="shared" si="2"/>
        <v>44667</v>
      </c>
      <c r="E270" s="129">
        <f t="shared" si="3"/>
        <v>16</v>
      </c>
      <c r="F270" s="130" t="s">
        <v>26</v>
      </c>
      <c r="G270" s="131" t="s">
        <v>76</v>
      </c>
      <c r="H270" s="130" t="s">
        <v>124</v>
      </c>
      <c r="I270" s="132">
        <v>46420.0</v>
      </c>
      <c r="J270" s="133" t="s">
        <v>125</v>
      </c>
      <c r="K270" s="134" t="s">
        <v>167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0" customHeight="1">
      <c r="A271" s="25"/>
      <c r="B271" s="126">
        <v>44907.0</v>
      </c>
      <c r="C271" s="127">
        <f t="shared" si="1"/>
        <v>44896</v>
      </c>
      <c r="D271" s="128">
        <f t="shared" si="2"/>
        <v>44907</v>
      </c>
      <c r="E271" s="129">
        <f t="shared" si="3"/>
        <v>51</v>
      </c>
      <c r="F271" s="130" t="s">
        <v>24</v>
      </c>
      <c r="G271" s="131" t="s">
        <v>44</v>
      </c>
      <c r="H271" s="130" t="s">
        <v>124</v>
      </c>
      <c r="I271" s="132">
        <f>47300+13970-10000-5000</f>
        <v>46270</v>
      </c>
      <c r="J271" s="133" t="s">
        <v>122</v>
      </c>
      <c r="K271" s="134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0" customHeight="1">
      <c r="A272" s="25"/>
      <c r="B272" s="126">
        <v>44817.0</v>
      </c>
      <c r="C272" s="127">
        <f t="shared" si="1"/>
        <v>44805</v>
      </c>
      <c r="D272" s="128">
        <f t="shared" si="2"/>
        <v>44817</v>
      </c>
      <c r="E272" s="129">
        <f t="shared" si="3"/>
        <v>38</v>
      </c>
      <c r="F272" s="130" t="s">
        <v>24</v>
      </c>
      <c r="G272" s="131" t="s">
        <v>44</v>
      </c>
      <c r="H272" s="130" t="s">
        <v>124</v>
      </c>
      <c r="I272" s="132">
        <f t="shared" ref="I272:I273" si="6">47190-5000+13970-10000</f>
        <v>46160</v>
      </c>
      <c r="J272" s="133" t="s">
        <v>122</v>
      </c>
      <c r="K272" s="134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0" customHeight="1">
      <c r="A273" s="25"/>
      <c r="B273" s="126">
        <v>44845.0</v>
      </c>
      <c r="C273" s="127">
        <f t="shared" si="1"/>
        <v>44835</v>
      </c>
      <c r="D273" s="128">
        <f t="shared" si="2"/>
        <v>44845</v>
      </c>
      <c r="E273" s="129">
        <f t="shared" si="3"/>
        <v>42</v>
      </c>
      <c r="F273" s="130" t="s">
        <v>24</v>
      </c>
      <c r="G273" s="131" t="s">
        <v>44</v>
      </c>
      <c r="H273" s="130" t="s">
        <v>124</v>
      </c>
      <c r="I273" s="132">
        <f t="shared" si="6"/>
        <v>46160</v>
      </c>
      <c r="J273" s="133" t="s">
        <v>122</v>
      </c>
      <c r="K273" s="134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0" customHeight="1">
      <c r="A274" s="25"/>
      <c r="B274" s="126">
        <v>44606.0</v>
      </c>
      <c r="C274" s="127">
        <f t="shared" si="1"/>
        <v>44593</v>
      </c>
      <c r="D274" s="128">
        <f t="shared" si="2"/>
        <v>44606</v>
      </c>
      <c r="E274" s="129">
        <f t="shared" si="3"/>
        <v>8</v>
      </c>
      <c r="F274" s="130" t="s">
        <v>26</v>
      </c>
      <c r="G274" s="131" t="s">
        <v>76</v>
      </c>
      <c r="H274" s="130" t="s">
        <v>124</v>
      </c>
      <c r="I274" s="132">
        <v>46140.0</v>
      </c>
      <c r="J274" s="133" t="s">
        <v>125</v>
      </c>
      <c r="K274" s="134" t="s">
        <v>167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0" customHeight="1">
      <c r="A275" s="25"/>
      <c r="B275" s="126">
        <v>44899.0</v>
      </c>
      <c r="C275" s="127">
        <f t="shared" si="1"/>
        <v>44896</v>
      </c>
      <c r="D275" s="128">
        <f t="shared" si="2"/>
        <v>44899</v>
      </c>
      <c r="E275" s="129">
        <f t="shared" si="3"/>
        <v>50</v>
      </c>
      <c r="F275" s="130" t="s">
        <v>24</v>
      </c>
      <c r="G275" s="131" t="s">
        <v>49</v>
      </c>
      <c r="H275" s="130" t="s">
        <v>121</v>
      </c>
      <c r="I275" s="132">
        <v>46000.0</v>
      </c>
      <c r="J275" s="133" t="s">
        <v>125</v>
      </c>
      <c r="K275" s="134" t="s">
        <v>289</v>
      </c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0" customHeight="1">
      <c r="A276" s="25"/>
      <c r="B276" s="126">
        <v>44869.0</v>
      </c>
      <c r="C276" s="127">
        <f t="shared" si="1"/>
        <v>44866</v>
      </c>
      <c r="D276" s="128">
        <f t="shared" si="2"/>
        <v>44869</v>
      </c>
      <c r="E276" s="129">
        <f t="shared" si="3"/>
        <v>45</v>
      </c>
      <c r="F276" s="130" t="s">
        <v>26</v>
      </c>
      <c r="G276" s="131" t="s">
        <v>76</v>
      </c>
      <c r="H276" s="130" t="s">
        <v>124</v>
      </c>
      <c r="I276" s="132">
        <v>45760.0</v>
      </c>
      <c r="J276" s="133" t="s">
        <v>125</v>
      </c>
      <c r="K276" s="134" t="s">
        <v>183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0" customHeight="1">
      <c r="A277" s="25"/>
      <c r="B277" s="126">
        <v>44898.0</v>
      </c>
      <c r="C277" s="127">
        <f t="shared" si="1"/>
        <v>44896</v>
      </c>
      <c r="D277" s="128">
        <f t="shared" si="2"/>
        <v>44898</v>
      </c>
      <c r="E277" s="129">
        <f t="shared" si="3"/>
        <v>49</v>
      </c>
      <c r="F277" s="130" t="s">
        <v>26</v>
      </c>
      <c r="G277" s="131" t="s">
        <v>76</v>
      </c>
      <c r="H277" s="130" t="s">
        <v>124</v>
      </c>
      <c r="I277" s="132">
        <f>55652-10000</f>
        <v>45652</v>
      </c>
      <c r="J277" s="133" t="s">
        <v>125</v>
      </c>
      <c r="K277" s="134" t="s">
        <v>290</v>
      </c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0" customHeight="1">
      <c r="A278" s="25"/>
      <c r="B278" s="126">
        <v>44836.0</v>
      </c>
      <c r="C278" s="127">
        <f t="shared" si="1"/>
        <v>44835</v>
      </c>
      <c r="D278" s="128">
        <f t="shared" si="2"/>
        <v>44836</v>
      </c>
      <c r="E278" s="129">
        <f t="shared" si="3"/>
        <v>41</v>
      </c>
      <c r="F278" s="130" t="s">
        <v>26</v>
      </c>
      <c r="G278" s="131" t="s">
        <v>76</v>
      </c>
      <c r="H278" s="130" t="s">
        <v>124</v>
      </c>
      <c r="I278" s="132">
        <f>50364-5000</f>
        <v>45364</v>
      </c>
      <c r="J278" s="133" t="s">
        <v>125</v>
      </c>
      <c r="K278" s="134" t="s">
        <v>291</v>
      </c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0" customHeight="1">
      <c r="A279" s="25"/>
      <c r="B279" s="126">
        <v>44844.0</v>
      </c>
      <c r="C279" s="127">
        <f t="shared" si="1"/>
        <v>44835</v>
      </c>
      <c r="D279" s="128">
        <f t="shared" si="2"/>
        <v>44844</v>
      </c>
      <c r="E279" s="129">
        <f t="shared" si="3"/>
        <v>42</v>
      </c>
      <c r="F279" s="130" t="s">
        <v>24</v>
      </c>
      <c r="G279" s="131" t="s">
        <v>34</v>
      </c>
      <c r="H279" s="130" t="s">
        <v>124</v>
      </c>
      <c r="I279" s="132">
        <f>50400-5040</f>
        <v>45360</v>
      </c>
      <c r="J279" s="133" t="s">
        <v>125</v>
      </c>
      <c r="K279" s="134" t="s">
        <v>292</v>
      </c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0" customHeight="1">
      <c r="A280" s="25"/>
      <c r="B280" s="126">
        <v>44675.0</v>
      </c>
      <c r="C280" s="127">
        <f t="shared" si="1"/>
        <v>44652</v>
      </c>
      <c r="D280" s="128">
        <f t="shared" si="2"/>
        <v>44675</v>
      </c>
      <c r="E280" s="129">
        <f t="shared" si="3"/>
        <v>18</v>
      </c>
      <c r="F280" s="130" t="s">
        <v>26</v>
      </c>
      <c r="G280" s="131" t="s">
        <v>76</v>
      </c>
      <c r="H280" s="130" t="s">
        <v>124</v>
      </c>
      <c r="I280" s="132">
        <v>45260.0</v>
      </c>
      <c r="J280" s="133" t="s">
        <v>125</v>
      </c>
      <c r="K280" s="134" t="s">
        <v>293</v>
      </c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0" customHeight="1">
      <c r="A281" s="25"/>
      <c r="B281" s="126">
        <v>44856.0</v>
      </c>
      <c r="C281" s="127">
        <f t="shared" si="1"/>
        <v>44835</v>
      </c>
      <c r="D281" s="128">
        <f t="shared" si="2"/>
        <v>44856</v>
      </c>
      <c r="E281" s="129">
        <f t="shared" si="3"/>
        <v>43</v>
      </c>
      <c r="F281" s="130" t="s">
        <v>26</v>
      </c>
      <c r="G281" s="131" t="s">
        <v>76</v>
      </c>
      <c r="H281" s="130" t="s">
        <v>124</v>
      </c>
      <c r="I281" s="132">
        <f>50220-5022</f>
        <v>45198</v>
      </c>
      <c r="J281" s="133" t="s">
        <v>125</v>
      </c>
      <c r="K281" s="134" t="s">
        <v>294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0" customHeight="1">
      <c r="A282" s="25"/>
      <c r="B282" s="126">
        <v>44629.0</v>
      </c>
      <c r="C282" s="127">
        <f t="shared" si="1"/>
        <v>44621</v>
      </c>
      <c r="D282" s="128">
        <f t="shared" si="2"/>
        <v>44629</v>
      </c>
      <c r="E282" s="129">
        <f t="shared" si="3"/>
        <v>11</v>
      </c>
      <c r="F282" s="130" t="s">
        <v>26</v>
      </c>
      <c r="G282" s="131" t="s">
        <v>70</v>
      </c>
      <c r="H282" s="130" t="s">
        <v>124</v>
      </c>
      <c r="I282" s="132">
        <f>50000*0.9</f>
        <v>45000</v>
      </c>
      <c r="J282" s="133" t="s">
        <v>125</v>
      </c>
      <c r="K282" s="134" t="s">
        <v>295</v>
      </c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0" customHeight="1">
      <c r="A283" s="25"/>
      <c r="B283" s="126">
        <v>44802.0</v>
      </c>
      <c r="C283" s="127">
        <f t="shared" si="1"/>
        <v>44774</v>
      </c>
      <c r="D283" s="128">
        <f t="shared" si="2"/>
        <v>44802</v>
      </c>
      <c r="E283" s="129">
        <f t="shared" si="3"/>
        <v>36</v>
      </c>
      <c r="F283" s="130" t="s">
        <v>26</v>
      </c>
      <c r="G283" s="131" t="s">
        <v>79</v>
      </c>
      <c r="H283" s="130" t="s">
        <v>124</v>
      </c>
      <c r="I283" s="132">
        <v>45000.0</v>
      </c>
      <c r="J283" s="133" t="s">
        <v>122</v>
      </c>
      <c r="K283" s="134" t="s">
        <v>296</v>
      </c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0" customHeight="1">
      <c r="A284" s="25"/>
      <c r="B284" s="126">
        <v>44857.0</v>
      </c>
      <c r="C284" s="127">
        <f t="shared" si="1"/>
        <v>44835</v>
      </c>
      <c r="D284" s="128">
        <f t="shared" si="2"/>
        <v>44857</v>
      </c>
      <c r="E284" s="129">
        <f t="shared" si="3"/>
        <v>44</v>
      </c>
      <c r="F284" s="130" t="s">
        <v>26</v>
      </c>
      <c r="G284" s="131" t="s">
        <v>73</v>
      </c>
      <c r="H284" s="130" t="s">
        <v>124</v>
      </c>
      <c r="I284" s="132">
        <v>45000.0</v>
      </c>
      <c r="J284" s="133" t="s">
        <v>122</v>
      </c>
      <c r="K284" s="134" t="s">
        <v>297</v>
      </c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0" customHeight="1">
      <c r="A285" s="25"/>
      <c r="B285" s="126">
        <v>44924.0</v>
      </c>
      <c r="C285" s="127">
        <f t="shared" si="1"/>
        <v>44896</v>
      </c>
      <c r="D285" s="128">
        <f t="shared" si="2"/>
        <v>44924</v>
      </c>
      <c r="E285" s="129">
        <f t="shared" si="3"/>
        <v>53</v>
      </c>
      <c r="F285" s="130" t="s">
        <v>26</v>
      </c>
      <c r="G285" s="131" t="s">
        <v>76</v>
      </c>
      <c r="H285" s="130" t="s">
        <v>121</v>
      </c>
      <c r="I285" s="132">
        <v>44950.0</v>
      </c>
      <c r="J285" s="133" t="s">
        <v>122</v>
      </c>
      <c r="K285" s="134" t="s">
        <v>298</v>
      </c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0" customHeight="1">
      <c r="A286" s="25"/>
      <c r="B286" s="126">
        <v>44865.0</v>
      </c>
      <c r="C286" s="127">
        <f t="shared" si="1"/>
        <v>44835</v>
      </c>
      <c r="D286" s="128">
        <f t="shared" si="2"/>
        <v>44865</v>
      </c>
      <c r="E286" s="129">
        <f t="shared" si="3"/>
        <v>45</v>
      </c>
      <c r="F286" s="130" t="s">
        <v>24</v>
      </c>
      <c r="G286" s="131" t="s">
        <v>46</v>
      </c>
      <c r="H286" s="130" t="s">
        <v>124</v>
      </c>
      <c r="I286" s="132">
        <f>7900+36800</f>
        <v>44700</v>
      </c>
      <c r="J286" s="133" t="s">
        <v>125</v>
      </c>
      <c r="K286" s="134" t="s">
        <v>248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0" customHeight="1">
      <c r="A287" s="25"/>
      <c r="B287" s="126">
        <v>44836.0</v>
      </c>
      <c r="C287" s="127">
        <f t="shared" si="1"/>
        <v>44835</v>
      </c>
      <c r="D287" s="128">
        <f t="shared" si="2"/>
        <v>44836</v>
      </c>
      <c r="E287" s="129">
        <f t="shared" si="3"/>
        <v>41</v>
      </c>
      <c r="F287" s="130" t="s">
        <v>26</v>
      </c>
      <c r="G287" s="131" t="s">
        <v>72</v>
      </c>
      <c r="H287" s="130" t="s">
        <v>121</v>
      </c>
      <c r="I287" s="132">
        <f>49500*0.9</f>
        <v>44550</v>
      </c>
      <c r="J287" s="133" t="s">
        <v>125</v>
      </c>
      <c r="K287" s="134" t="s">
        <v>277</v>
      </c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0" customHeight="1">
      <c r="A288" s="25"/>
      <c r="B288" s="126">
        <v>44734.0</v>
      </c>
      <c r="C288" s="127">
        <f t="shared" si="1"/>
        <v>44713</v>
      </c>
      <c r="D288" s="128">
        <f t="shared" si="2"/>
        <v>44734</v>
      </c>
      <c r="E288" s="129">
        <f t="shared" si="3"/>
        <v>26</v>
      </c>
      <c r="F288" s="130" t="s">
        <v>26</v>
      </c>
      <c r="G288" s="131" t="s">
        <v>79</v>
      </c>
      <c r="H288" s="130" t="s">
        <v>124</v>
      </c>
      <c r="I288" s="132">
        <v>44000.0</v>
      </c>
      <c r="J288" s="133" t="s">
        <v>122</v>
      </c>
      <c r="K288" s="134" t="s">
        <v>299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0" customHeight="1">
      <c r="A289" s="25"/>
      <c r="B289" s="126">
        <v>44788.0</v>
      </c>
      <c r="C289" s="127">
        <f t="shared" si="1"/>
        <v>44774</v>
      </c>
      <c r="D289" s="128">
        <f t="shared" si="2"/>
        <v>44788</v>
      </c>
      <c r="E289" s="129">
        <f t="shared" si="3"/>
        <v>34</v>
      </c>
      <c r="F289" s="130" t="s">
        <v>128</v>
      </c>
      <c r="G289" s="131" t="s">
        <v>172</v>
      </c>
      <c r="H289" s="130" t="s">
        <v>124</v>
      </c>
      <c r="I289" s="132">
        <v>44000.0</v>
      </c>
      <c r="J289" s="133" t="s">
        <v>122</v>
      </c>
      <c r="K289" s="134" t="s">
        <v>300</v>
      </c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0" customHeight="1">
      <c r="A290" s="25"/>
      <c r="B290" s="126">
        <v>44623.0</v>
      </c>
      <c r="C290" s="127">
        <f t="shared" si="1"/>
        <v>44621</v>
      </c>
      <c r="D290" s="128">
        <f t="shared" si="2"/>
        <v>44623</v>
      </c>
      <c r="E290" s="129">
        <f t="shared" si="3"/>
        <v>10</v>
      </c>
      <c r="F290" s="130" t="s">
        <v>26</v>
      </c>
      <c r="G290" s="131" t="s">
        <v>70</v>
      </c>
      <c r="H290" s="130" t="s">
        <v>124</v>
      </c>
      <c r="I290" s="132">
        <v>43902.0</v>
      </c>
      <c r="J290" s="133" t="s">
        <v>125</v>
      </c>
      <c r="K290" s="134" t="s">
        <v>301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0" customHeight="1">
      <c r="A291" s="25"/>
      <c r="B291" s="126">
        <v>44906.0</v>
      </c>
      <c r="C291" s="127">
        <f t="shared" si="1"/>
        <v>44896</v>
      </c>
      <c r="D291" s="128">
        <f t="shared" si="2"/>
        <v>44906</v>
      </c>
      <c r="E291" s="129">
        <f t="shared" si="3"/>
        <v>51</v>
      </c>
      <c r="F291" s="130" t="s">
        <v>26</v>
      </c>
      <c r="G291" s="131" t="s">
        <v>79</v>
      </c>
      <c r="H291" s="130" t="s">
        <v>121</v>
      </c>
      <c r="I291" s="132">
        <f>48500*0.9</f>
        <v>43650</v>
      </c>
      <c r="J291" s="133" t="s">
        <v>125</v>
      </c>
      <c r="K291" s="134" t="s">
        <v>302</v>
      </c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0" customHeight="1">
      <c r="A292" s="25"/>
      <c r="B292" s="126">
        <v>44589.0</v>
      </c>
      <c r="C292" s="127">
        <f t="shared" si="1"/>
        <v>44562</v>
      </c>
      <c r="D292" s="128">
        <f t="shared" si="2"/>
        <v>44589</v>
      </c>
      <c r="E292" s="129">
        <f t="shared" si="3"/>
        <v>5</v>
      </c>
      <c r="F292" s="130" t="s">
        <v>24</v>
      </c>
      <c r="G292" s="131" t="s">
        <v>36</v>
      </c>
      <c r="H292" s="130" t="s">
        <v>124</v>
      </c>
      <c r="I292" s="132">
        <v>43630.0</v>
      </c>
      <c r="J292" s="133" t="s">
        <v>125</v>
      </c>
      <c r="K292" s="134" t="s">
        <v>303</v>
      </c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0" customHeight="1">
      <c r="A293" s="25"/>
      <c r="B293" s="126">
        <v>44674.0</v>
      </c>
      <c r="C293" s="127">
        <f t="shared" si="1"/>
        <v>44652</v>
      </c>
      <c r="D293" s="128">
        <f t="shared" si="2"/>
        <v>44674</v>
      </c>
      <c r="E293" s="129">
        <f t="shared" si="3"/>
        <v>17</v>
      </c>
      <c r="F293" s="130" t="s">
        <v>128</v>
      </c>
      <c r="G293" s="131" t="s">
        <v>172</v>
      </c>
      <c r="H293" s="130" t="s">
        <v>124</v>
      </c>
      <c r="I293" s="132">
        <v>43500.0</v>
      </c>
      <c r="J293" s="133" t="s">
        <v>125</v>
      </c>
      <c r="K293" s="134" t="s">
        <v>304</v>
      </c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0" customHeight="1">
      <c r="A294" s="25"/>
      <c r="B294" s="126">
        <v>44623.0</v>
      </c>
      <c r="C294" s="127">
        <f t="shared" si="1"/>
        <v>44621</v>
      </c>
      <c r="D294" s="128">
        <f t="shared" si="2"/>
        <v>44623</v>
      </c>
      <c r="E294" s="129">
        <f t="shared" si="3"/>
        <v>10</v>
      </c>
      <c r="F294" s="130" t="s">
        <v>26</v>
      </c>
      <c r="G294" s="131" t="s">
        <v>70</v>
      </c>
      <c r="H294" s="130" t="s">
        <v>124</v>
      </c>
      <c r="I294" s="132">
        <f>48070-4807</f>
        <v>43263</v>
      </c>
      <c r="J294" s="133" t="s">
        <v>125</v>
      </c>
      <c r="K294" s="134" t="s">
        <v>305</v>
      </c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0" customHeight="1">
      <c r="A295" s="25"/>
      <c r="B295" s="126">
        <v>44686.0</v>
      </c>
      <c r="C295" s="127">
        <f t="shared" si="1"/>
        <v>44682</v>
      </c>
      <c r="D295" s="128">
        <f t="shared" si="2"/>
        <v>44686</v>
      </c>
      <c r="E295" s="129">
        <f t="shared" si="3"/>
        <v>19</v>
      </c>
      <c r="F295" s="130" t="s">
        <v>24</v>
      </c>
      <c r="G295" s="131" t="s">
        <v>34</v>
      </c>
      <c r="H295" s="130" t="s">
        <v>124</v>
      </c>
      <c r="I295" s="132">
        <v>43000.0</v>
      </c>
      <c r="J295" s="133" t="s">
        <v>122</v>
      </c>
      <c r="K295" s="134" t="s">
        <v>306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0" customHeight="1">
      <c r="A296" s="25"/>
      <c r="B296" s="126">
        <v>44578.0</v>
      </c>
      <c r="C296" s="127">
        <f t="shared" si="1"/>
        <v>44562</v>
      </c>
      <c r="D296" s="128">
        <f t="shared" si="2"/>
        <v>44578</v>
      </c>
      <c r="E296" s="129">
        <f t="shared" si="3"/>
        <v>4</v>
      </c>
      <c r="F296" s="130" t="s">
        <v>26</v>
      </c>
      <c r="G296" s="131" t="s">
        <v>76</v>
      </c>
      <c r="H296" s="130" t="s">
        <v>124</v>
      </c>
      <c r="I296" s="132">
        <f>42747</f>
        <v>42747</v>
      </c>
      <c r="J296" s="133" t="s">
        <v>122</v>
      </c>
      <c r="K296" s="134" t="s">
        <v>307</v>
      </c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0" customHeight="1">
      <c r="A297" s="25"/>
      <c r="B297" s="126">
        <v>44807.0</v>
      </c>
      <c r="C297" s="127">
        <f t="shared" si="1"/>
        <v>44805</v>
      </c>
      <c r="D297" s="128">
        <f t="shared" si="2"/>
        <v>44807</v>
      </c>
      <c r="E297" s="129">
        <f t="shared" si="3"/>
        <v>36</v>
      </c>
      <c r="F297" s="130" t="s">
        <v>26</v>
      </c>
      <c r="G297" s="131" t="s">
        <v>76</v>
      </c>
      <c r="H297" s="130" t="s">
        <v>124</v>
      </c>
      <c r="I297" s="132">
        <f>54620-5462-3937+393-3423+342</f>
        <v>42533</v>
      </c>
      <c r="J297" s="133" t="s">
        <v>125</v>
      </c>
      <c r="K297" s="134" t="s">
        <v>247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0" customHeight="1">
      <c r="A298" s="25"/>
      <c r="B298" s="126">
        <v>44720.0</v>
      </c>
      <c r="C298" s="127">
        <f t="shared" si="1"/>
        <v>44713</v>
      </c>
      <c r="D298" s="128">
        <f t="shared" si="2"/>
        <v>44720</v>
      </c>
      <c r="E298" s="129">
        <f t="shared" si="3"/>
        <v>24</v>
      </c>
      <c r="F298" s="130" t="s">
        <v>26</v>
      </c>
      <c r="G298" s="131" t="s">
        <v>76</v>
      </c>
      <c r="H298" s="130" t="s">
        <v>124</v>
      </c>
      <c r="I298" s="132">
        <v>42346.0</v>
      </c>
      <c r="J298" s="133" t="s">
        <v>125</v>
      </c>
      <c r="K298" s="134" t="s">
        <v>308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0" customHeight="1">
      <c r="A299" s="25"/>
      <c r="B299" s="126">
        <v>44923.0</v>
      </c>
      <c r="C299" s="127">
        <f t="shared" si="1"/>
        <v>44896</v>
      </c>
      <c r="D299" s="128">
        <f t="shared" si="2"/>
        <v>44923</v>
      </c>
      <c r="E299" s="129">
        <f t="shared" si="3"/>
        <v>53</v>
      </c>
      <c r="F299" s="130" t="s">
        <v>24</v>
      </c>
      <c r="G299" s="131" t="s">
        <v>52</v>
      </c>
      <c r="H299" s="130" t="s">
        <v>124</v>
      </c>
      <c r="I299" s="132">
        <v>42220.0</v>
      </c>
      <c r="J299" s="133" t="s">
        <v>122</v>
      </c>
      <c r="K299" s="134" t="s">
        <v>309</v>
      </c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0" customHeight="1">
      <c r="A300" s="25"/>
      <c r="B300" s="126">
        <v>44670.0</v>
      </c>
      <c r="C300" s="127">
        <f t="shared" si="1"/>
        <v>44652</v>
      </c>
      <c r="D300" s="128">
        <f t="shared" si="2"/>
        <v>44670</v>
      </c>
      <c r="E300" s="129">
        <f t="shared" si="3"/>
        <v>17</v>
      </c>
      <c r="F300" s="130" t="s">
        <v>26</v>
      </c>
      <c r="G300" s="131" t="s">
        <v>73</v>
      </c>
      <c r="H300" s="130" t="s">
        <v>124</v>
      </c>
      <c r="I300" s="132">
        <f>74400-32200</f>
        <v>42200</v>
      </c>
      <c r="J300" s="133" t="s">
        <v>122</v>
      </c>
      <c r="K300" s="134" t="s">
        <v>310</v>
      </c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0" customHeight="1">
      <c r="A301" s="25"/>
      <c r="B301" s="126">
        <v>44890.0</v>
      </c>
      <c r="C301" s="127">
        <f t="shared" si="1"/>
        <v>44866</v>
      </c>
      <c r="D301" s="128">
        <f t="shared" si="2"/>
        <v>44890</v>
      </c>
      <c r="E301" s="129">
        <f t="shared" si="3"/>
        <v>48</v>
      </c>
      <c r="F301" s="130" t="s">
        <v>26</v>
      </c>
      <c r="G301" s="131" t="s">
        <v>76</v>
      </c>
      <c r="H301" s="130" t="s">
        <v>124</v>
      </c>
      <c r="I301" s="132">
        <v>42200.0</v>
      </c>
      <c r="J301" s="133" t="s">
        <v>125</v>
      </c>
      <c r="K301" s="134" t="s">
        <v>167</v>
      </c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0" customHeight="1">
      <c r="A302" s="25"/>
      <c r="B302" s="126">
        <v>44572.0</v>
      </c>
      <c r="C302" s="127">
        <f t="shared" si="1"/>
        <v>44562</v>
      </c>
      <c r="D302" s="128">
        <f t="shared" si="2"/>
        <v>44572</v>
      </c>
      <c r="E302" s="129">
        <f t="shared" si="3"/>
        <v>3</v>
      </c>
      <c r="F302" s="130" t="s">
        <v>24</v>
      </c>
      <c r="G302" s="131" t="s">
        <v>44</v>
      </c>
      <c r="H302" s="130" t="s">
        <v>124</v>
      </c>
      <c r="I302" s="132">
        <f>47190-5000+7370-7370</f>
        <v>42190</v>
      </c>
      <c r="J302" s="133" t="s">
        <v>122</v>
      </c>
      <c r="K302" s="134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0" customHeight="1">
      <c r="A303" s="25"/>
      <c r="B303" s="126">
        <v>44603.0</v>
      </c>
      <c r="C303" s="127">
        <f t="shared" si="1"/>
        <v>44593</v>
      </c>
      <c r="D303" s="128">
        <f t="shared" si="2"/>
        <v>44603</v>
      </c>
      <c r="E303" s="129">
        <f t="shared" si="3"/>
        <v>7</v>
      </c>
      <c r="F303" s="130" t="s">
        <v>24</v>
      </c>
      <c r="G303" s="131" t="s">
        <v>44</v>
      </c>
      <c r="H303" s="130" t="s">
        <v>124</v>
      </c>
      <c r="I303" s="132">
        <f>47190+7370-0-5000-7370</f>
        <v>42190</v>
      </c>
      <c r="J303" s="133" t="s">
        <v>122</v>
      </c>
      <c r="K303" s="134" t="s">
        <v>311</v>
      </c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0" customHeight="1">
      <c r="A304" s="25"/>
      <c r="B304" s="126">
        <v>44631.0</v>
      </c>
      <c r="C304" s="127">
        <f t="shared" si="1"/>
        <v>44621</v>
      </c>
      <c r="D304" s="128">
        <f t="shared" si="2"/>
        <v>44631</v>
      </c>
      <c r="E304" s="129">
        <f t="shared" si="3"/>
        <v>11</v>
      </c>
      <c r="F304" s="130" t="s">
        <v>24</v>
      </c>
      <c r="G304" s="131" t="s">
        <v>44</v>
      </c>
      <c r="H304" s="130" t="s">
        <v>124</v>
      </c>
      <c r="I304" s="132">
        <f>47190-5000</f>
        <v>42190</v>
      </c>
      <c r="J304" s="133" t="s">
        <v>122</v>
      </c>
      <c r="K304" s="134" t="s">
        <v>312</v>
      </c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0" customHeight="1">
      <c r="A305" s="25"/>
      <c r="B305" s="126">
        <v>44662.0</v>
      </c>
      <c r="C305" s="127">
        <f t="shared" si="1"/>
        <v>44652</v>
      </c>
      <c r="D305" s="128">
        <f t="shared" si="2"/>
        <v>44662</v>
      </c>
      <c r="E305" s="129">
        <f t="shared" si="3"/>
        <v>16</v>
      </c>
      <c r="F305" s="130" t="s">
        <v>24</v>
      </c>
      <c r="G305" s="131" t="s">
        <v>44</v>
      </c>
      <c r="H305" s="130" t="s">
        <v>124</v>
      </c>
      <c r="I305" s="132">
        <f t="shared" ref="I305:I307" si="7">47190-5000+7370-7370</f>
        <v>42190</v>
      </c>
      <c r="J305" s="133" t="s">
        <v>122</v>
      </c>
      <c r="K305" s="134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0" customHeight="1">
      <c r="A306" s="25"/>
      <c r="B306" s="126">
        <v>44692.0</v>
      </c>
      <c r="C306" s="127">
        <f t="shared" si="1"/>
        <v>44682</v>
      </c>
      <c r="D306" s="128">
        <f t="shared" si="2"/>
        <v>44692</v>
      </c>
      <c r="E306" s="129">
        <f t="shared" si="3"/>
        <v>20</v>
      </c>
      <c r="F306" s="130" t="s">
        <v>24</v>
      </c>
      <c r="G306" s="131" t="s">
        <v>44</v>
      </c>
      <c r="H306" s="130" t="s">
        <v>124</v>
      </c>
      <c r="I306" s="132">
        <f t="shared" si="7"/>
        <v>42190</v>
      </c>
      <c r="J306" s="133" t="s">
        <v>122</v>
      </c>
      <c r="K306" s="134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0" customHeight="1">
      <c r="A307" s="25"/>
      <c r="B307" s="126">
        <v>44725.0</v>
      </c>
      <c r="C307" s="127">
        <f t="shared" si="1"/>
        <v>44713</v>
      </c>
      <c r="D307" s="128">
        <f t="shared" si="2"/>
        <v>44725</v>
      </c>
      <c r="E307" s="129">
        <f t="shared" si="3"/>
        <v>25</v>
      </c>
      <c r="F307" s="130" t="s">
        <v>24</v>
      </c>
      <c r="G307" s="131" t="s">
        <v>44</v>
      </c>
      <c r="H307" s="130" t="s">
        <v>124</v>
      </c>
      <c r="I307" s="132">
        <f t="shared" si="7"/>
        <v>42190</v>
      </c>
      <c r="J307" s="133" t="s">
        <v>122</v>
      </c>
      <c r="K307" s="134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0" customHeight="1">
      <c r="A308" s="25"/>
      <c r="B308" s="126">
        <v>44753.0</v>
      </c>
      <c r="C308" s="127">
        <f t="shared" si="1"/>
        <v>44743</v>
      </c>
      <c r="D308" s="128">
        <f t="shared" si="2"/>
        <v>44753</v>
      </c>
      <c r="E308" s="129">
        <f t="shared" si="3"/>
        <v>29</v>
      </c>
      <c r="F308" s="130" t="s">
        <v>24</v>
      </c>
      <c r="G308" s="131" t="s">
        <v>44</v>
      </c>
      <c r="H308" s="130" t="s">
        <v>124</v>
      </c>
      <c r="I308" s="132">
        <f>47190-5000</f>
        <v>42190</v>
      </c>
      <c r="J308" s="133" t="s">
        <v>122</v>
      </c>
      <c r="K308" s="134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0" customHeight="1">
      <c r="A309" s="25"/>
      <c r="B309" s="126">
        <v>44784.0</v>
      </c>
      <c r="C309" s="127">
        <f t="shared" si="1"/>
        <v>44774</v>
      </c>
      <c r="D309" s="128">
        <f t="shared" si="2"/>
        <v>44784</v>
      </c>
      <c r="E309" s="129">
        <f t="shared" si="3"/>
        <v>33</v>
      </c>
      <c r="F309" s="130" t="s">
        <v>24</v>
      </c>
      <c r="G309" s="131" t="s">
        <v>44</v>
      </c>
      <c r="H309" s="130" t="s">
        <v>124</v>
      </c>
      <c r="I309" s="132">
        <f>47190-5000+13970-13970</f>
        <v>42190</v>
      </c>
      <c r="J309" s="133" t="s">
        <v>122</v>
      </c>
      <c r="K309" s="134" t="s">
        <v>313</v>
      </c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0" customHeight="1">
      <c r="A310" s="25"/>
      <c r="B310" s="126">
        <v>44617.0</v>
      </c>
      <c r="C310" s="127">
        <f t="shared" si="1"/>
        <v>44593</v>
      </c>
      <c r="D310" s="128">
        <f t="shared" si="2"/>
        <v>44617</v>
      </c>
      <c r="E310" s="129">
        <f t="shared" si="3"/>
        <v>9</v>
      </c>
      <c r="F310" s="130" t="s">
        <v>128</v>
      </c>
      <c r="G310" s="131" t="s">
        <v>172</v>
      </c>
      <c r="H310" s="130" t="s">
        <v>124</v>
      </c>
      <c r="I310" s="132">
        <v>42000.0</v>
      </c>
      <c r="J310" s="133" t="s">
        <v>125</v>
      </c>
      <c r="K310" s="134" t="s">
        <v>314</v>
      </c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0" customHeight="1">
      <c r="A311" s="25"/>
      <c r="B311" s="126">
        <v>44898.0</v>
      </c>
      <c r="C311" s="127">
        <f t="shared" si="1"/>
        <v>44896</v>
      </c>
      <c r="D311" s="128">
        <f t="shared" si="2"/>
        <v>44898</v>
      </c>
      <c r="E311" s="129">
        <f t="shared" si="3"/>
        <v>49</v>
      </c>
      <c r="F311" s="130" t="s">
        <v>26</v>
      </c>
      <c r="G311" s="131" t="s">
        <v>82</v>
      </c>
      <c r="H311" s="130" t="s">
        <v>124</v>
      </c>
      <c r="I311" s="132">
        <v>41904.0</v>
      </c>
      <c r="J311" s="133" t="s">
        <v>125</v>
      </c>
      <c r="K311" s="134" t="s">
        <v>315</v>
      </c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0" customHeight="1">
      <c r="A312" s="25"/>
      <c r="B312" s="126">
        <v>44883.0</v>
      </c>
      <c r="C312" s="127">
        <f t="shared" si="1"/>
        <v>44866</v>
      </c>
      <c r="D312" s="128">
        <f t="shared" si="2"/>
        <v>44883</v>
      </c>
      <c r="E312" s="129">
        <f t="shared" si="3"/>
        <v>47</v>
      </c>
      <c r="F312" s="130" t="s">
        <v>26</v>
      </c>
      <c r="G312" s="131" t="s">
        <v>76</v>
      </c>
      <c r="H312" s="130" t="s">
        <v>124</v>
      </c>
      <c r="I312" s="132">
        <v>41500.0</v>
      </c>
      <c r="J312" s="133" t="s">
        <v>125</v>
      </c>
      <c r="K312" s="134" t="s">
        <v>316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0" customHeight="1">
      <c r="A313" s="25"/>
      <c r="B313" s="126">
        <v>44809.0</v>
      </c>
      <c r="C313" s="127">
        <f t="shared" si="1"/>
        <v>44805</v>
      </c>
      <c r="D313" s="128">
        <f t="shared" si="2"/>
        <v>44809</v>
      </c>
      <c r="E313" s="129">
        <f t="shared" si="3"/>
        <v>37</v>
      </c>
      <c r="F313" s="130" t="s">
        <v>26</v>
      </c>
      <c r="G313" s="131" t="s">
        <v>82</v>
      </c>
      <c r="H313" s="130" t="s">
        <v>124</v>
      </c>
      <c r="I313" s="132">
        <v>41472.0</v>
      </c>
      <c r="J313" s="133" t="s">
        <v>122</v>
      </c>
      <c r="K313" s="134" t="s">
        <v>317</v>
      </c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0" customHeight="1">
      <c r="A314" s="25"/>
      <c r="B314" s="126">
        <v>44571.0</v>
      </c>
      <c r="C314" s="127">
        <f t="shared" si="1"/>
        <v>44562</v>
      </c>
      <c r="D314" s="128">
        <f t="shared" si="2"/>
        <v>44571</v>
      </c>
      <c r="E314" s="129">
        <f t="shared" si="3"/>
        <v>3</v>
      </c>
      <c r="F314" s="130" t="s">
        <v>26</v>
      </c>
      <c r="G314" s="131" t="s">
        <v>84</v>
      </c>
      <c r="H314" s="130" t="s">
        <v>124</v>
      </c>
      <c r="I314" s="132">
        <v>40900.0</v>
      </c>
      <c r="J314" s="133" t="s">
        <v>125</v>
      </c>
      <c r="K314" s="134" t="s">
        <v>318</v>
      </c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0" customHeight="1">
      <c r="A315" s="25"/>
      <c r="B315" s="126">
        <v>44668.0</v>
      </c>
      <c r="C315" s="127">
        <f t="shared" si="1"/>
        <v>44652</v>
      </c>
      <c r="D315" s="128">
        <f t="shared" si="2"/>
        <v>44668</v>
      </c>
      <c r="E315" s="129">
        <f t="shared" si="3"/>
        <v>17</v>
      </c>
      <c r="F315" s="130" t="s">
        <v>26</v>
      </c>
      <c r="G315" s="131" t="s">
        <v>79</v>
      </c>
      <c r="H315" s="130" t="s">
        <v>124</v>
      </c>
      <c r="I315" s="132">
        <v>40800.0</v>
      </c>
      <c r="J315" s="133" t="s">
        <v>122</v>
      </c>
      <c r="K315" s="134" t="s">
        <v>319</v>
      </c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0" customHeight="1">
      <c r="A316" s="25"/>
      <c r="B316" s="126">
        <v>44621.0</v>
      </c>
      <c r="C316" s="127">
        <f t="shared" si="1"/>
        <v>44621</v>
      </c>
      <c r="D316" s="128">
        <f t="shared" si="2"/>
        <v>44621</v>
      </c>
      <c r="E316" s="129">
        <f t="shared" si="3"/>
        <v>10</v>
      </c>
      <c r="F316" s="130" t="s">
        <v>26</v>
      </c>
      <c r="G316" s="131" t="s">
        <v>79</v>
      </c>
      <c r="H316" s="130" t="s">
        <v>124</v>
      </c>
      <c r="I316" s="132">
        <f t="shared" ref="I316:I319" si="8">45000*0.9</f>
        <v>40500</v>
      </c>
      <c r="J316" s="133" t="s">
        <v>125</v>
      </c>
      <c r="K316" s="134" t="s">
        <v>320</v>
      </c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0" customHeight="1">
      <c r="A317" s="25"/>
      <c r="B317" s="126">
        <v>44812.0</v>
      </c>
      <c r="C317" s="127">
        <f t="shared" si="1"/>
        <v>44805</v>
      </c>
      <c r="D317" s="128">
        <f t="shared" si="2"/>
        <v>44812</v>
      </c>
      <c r="E317" s="129">
        <f t="shared" si="3"/>
        <v>37</v>
      </c>
      <c r="F317" s="130" t="s">
        <v>26</v>
      </c>
      <c r="G317" s="131" t="s">
        <v>72</v>
      </c>
      <c r="H317" s="130" t="s">
        <v>121</v>
      </c>
      <c r="I317" s="132">
        <f t="shared" si="8"/>
        <v>40500</v>
      </c>
      <c r="J317" s="133" t="s">
        <v>125</v>
      </c>
      <c r="K317" s="134" t="s">
        <v>277</v>
      </c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0" customHeight="1">
      <c r="A318" s="25"/>
      <c r="B318" s="126">
        <v>44864.0</v>
      </c>
      <c r="C318" s="127">
        <f t="shared" si="1"/>
        <v>44835</v>
      </c>
      <c r="D318" s="128">
        <f t="shared" si="2"/>
        <v>44864</v>
      </c>
      <c r="E318" s="129">
        <f t="shared" si="3"/>
        <v>45</v>
      </c>
      <c r="F318" s="130" t="s">
        <v>26</v>
      </c>
      <c r="G318" s="131" t="s">
        <v>72</v>
      </c>
      <c r="H318" s="130" t="s">
        <v>121</v>
      </c>
      <c r="I318" s="132">
        <f t="shared" si="8"/>
        <v>40500</v>
      </c>
      <c r="J318" s="133" t="s">
        <v>125</v>
      </c>
      <c r="K318" s="134" t="s">
        <v>277</v>
      </c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0" customHeight="1">
      <c r="A319" s="25"/>
      <c r="B319" s="126">
        <v>44886.0</v>
      </c>
      <c r="C319" s="127">
        <f t="shared" si="1"/>
        <v>44866</v>
      </c>
      <c r="D319" s="128">
        <f t="shared" si="2"/>
        <v>44886</v>
      </c>
      <c r="E319" s="129">
        <f t="shared" si="3"/>
        <v>48</v>
      </c>
      <c r="F319" s="130" t="s">
        <v>26</v>
      </c>
      <c r="G319" s="131" t="s">
        <v>72</v>
      </c>
      <c r="H319" s="130" t="s">
        <v>121</v>
      </c>
      <c r="I319" s="132">
        <f t="shared" si="8"/>
        <v>40500</v>
      </c>
      <c r="J319" s="133" t="s">
        <v>125</v>
      </c>
      <c r="K319" s="134" t="s">
        <v>277</v>
      </c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0" customHeight="1">
      <c r="A320" s="25"/>
      <c r="B320" s="126">
        <v>44907.0</v>
      </c>
      <c r="C320" s="127">
        <f t="shared" si="1"/>
        <v>44896</v>
      </c>
      <c r="D320" s="128">
        <f t="shared" si="2"/>
        <v>44907</v>
      </c>
      <c r="E320" s="129">
        <f t="shared" si="3"/>
        <v>51</v>
      </c>
      <c r="F320" s="130" t="s">
        <v>26</v>
      </c>
      <c r="G320" s="131" t="s">
        <v>76</v>
      </c>
      <c r="H320" s="130" t="s">
        <v>124</v>
      </c>
      <c r="I320" s="132">
        <v>40480.0</v>
      </c>
      <c r="J320" s="133" t="s">
        <v>125</v>
      </c>
      <c r="K320" s="134" t="s">
        <v>167</v>
      </c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0" customHeight="1">
      <c r="A321" s="25"/>
      <c r="B321" s="126">
        <v>44597.0</v>
      </c>
      <c r="C321" s="127">
        <f t="shared" si="1"/>
        <v>44593</v>
      </c>
      <c r="D321" s="128">
        <f t="shared" si="2"/>
        <v>44597</v>
      </c>
      <c r="E321" s="129">
        <f t="shared" si="3"/>
        <v>6</v>
      </c>
      <c r="F321" s="130" t="s">
        <v>24</v>
      </c>
      <c r="G321" s="131" t="s">
        <v>46</v>
      </c>
      <c r="H321" s="130" t="s">
        <v>124</v>
      </c>
      <c r="I321" s="132">
        <v>40000.0</v>
      </c>
      <c r="J321" s="133" t="s">
        <v>125</v>
      </c>
      <c r="K321" s="134" t="s">
        <v>196</v>
      </c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0" customHeight="1">
      <c r="A322" s="25"/>
      <c r="B322" s="126">
        <v>44625.0</v>
      </c>
      <c r="C322" s="127">
        <f t="shared" si="1"/>
        <v>44621</v>
      </c>
      <c r="D322" s="128">
        <f t="shared" si="2"/>
        <v>44625</v>
      </c>
      <c r="E322" s="129">
        <f t="shared" si="3"/>
        <v>10</v>
      </c>
      <c r="F322" s="130" t="s">
        <v>24</v>
      </c>
      <c r="G322" s="131" t="s">
        <v>46</v>
      </c>
      <c r="H322" s="130" t="s">
        <v>124</v>
      </c>
      <c r="I322" s="132">
        <v>40000.0</v>
      </c>
      <c r="J322" s="133" t="s">
        <v>125</v>
      </c>
      <c r="K322" s="134" t="s">
        <v>196</v>
      </c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0" customHeight="1">
      <c r="A323" s="25"/>
      <c r="B323" s="126">
        <v>44720.0</v>
      </c>
      <c r="C323" s="127">
        <f t="shared" si="1"/>
        <v>44713</v>
      </c>
      <c r="D323" s="128">
        <f t="shared" si="2"/>
        <v>44720</v>
      </c>
      <c r="E323" s="129">
        <f t="shared" si="3"/>
        <v>24</v>
      </c>
      <c r="F323" s="130" t="s">
        <v>26</v>
      </c>
      <c r="G323" s="131" t="s">
        <v>79</v>
      </c>
      <c r="H323" s="130" t="s">
        <v>124</v>
      </c>
      <c r="I323" s="132">
        <v>40000.0</v>
      </c>
      <c r="J323" s="133" t="s">
        <v>122</v>
      </c>
      <c r="K323" s="134" t="s">
        <v>321</v>
      </c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0" customHeight="1">
      <c r="A324" s="25"/>
      <c r="B324" s="126">
        <v>44813.0</v>
      </c>
      <c r="C324" s="127">
        <f t="shared" si="1"/>
        <v>44805</v>
      </c>
      <c r="D324" s="128">
        <f t="shared" si="2"/>
        <v>44813</v>
      </c>
      <c r="E324" s="129">
        <f t="shared" si="3"/>
        <v>37</v>
      </c>
      <c r="F324" s="130" t="s">
        <v>24</v>
      </c>
      <c r="G324" s="131" t="s">
        <v>59</v>
      </c>
      <c r="H324" s="130" t="s">
        <v>121</v>
      </c>
      <c r="I324" s="132">
        <v>40000.0</v>
      </c>
      <c r="J324" s="133" t="s">
        <v>125</v>
      </c>
      <c r="K324" s="134" t="s">
        <v>322</v>
      </c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0" customHeight="1">
      <c r="A325" s="25"/>
      <c r="B325" s="126">
        <v>44839.0</v>
      </c>
      <c r="C325" s="127">
        <f t="shared" si="1"/>
        <v>44835</v>
      </c>
      <c r="D325" s="128">
        <f t="shared" si="2"/>
        <v>44839</v>
      </c>
      <c r="E325" s="129">
        <f t="shared" si="3"/>
        <v>41</v>
      </c>
      <c r="F325" s="130" t="s">
        <v>26</v>
      </c>
      <c r="G325" s="131" t="s">
        <v>70</v>
      </c>
      <c r="H325" s="130" t="s">
        <v>124</v>
      </c>
      <c r="I325" s="132">
        <v>40000.0</v>
      </c>
      <c r="J325" s="133" t="s">
        <v>125</v>
      </c>
      <c r="K325" s="134" t="s">
        <v>323</v>
      </c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0" customHeight="1">
      <c r="A326" s="25"/>
      <c r="B326" s="126">
        <v>44882.0</v>
      </c>
      <c r="C326" s="127">
        <f t="shared" si="1"/>
        <v>44866</v>
      </c>
      <c r="D326" s="128">
        <f t="shared" si="2"/>
        <v>44882</v>
      </c>
      <c r="E326" s="129">
        <f t="shared" si="3"/>
        <v>47</v>
      </c>
      <c r="F326" s="130" t="s">
        <v>24</v>
      </c>
      <c r="G326" s="131" t="s">
        <v>49</v>
      </c>
      <c r="H326" s="130" t="s">
        <v>124</v>
      </c>
      <c r="I326" s="132">
        <v>40000.0</v>
      </c>
      <c r="J326" s="133" t="s">
        <v>125</v>
      </c>
      <c r="K326" s="134" t="s">
        <v>324</v>
      </c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0" customHeight="1">
      <c r="A327" s="25"/>
      <c r="B327" s="126">
        <v>44923.0</v>
      </c>
      <c r="C327" s="127">
        <f t="shared" si="1"/>
        <v>44896</v>
      </c>
      <c r="D327" s="128">
        <f t="shared" si="2"/>
        <v>44923</v>
      </c>
      <c r="E327" s="129">
        <f t="shared" si="3"/>
        <v>53</v>
      </c>
      <c r="F327" s="130" t="s">
        <v>26</v>
      </c>
      <c r="G327" s="131" t="s">
        <v>73</v>
      </c>
      <c r="H327" s="130" t="s">
        <v>124</v>
      </c>
      <c r="I327" s="132">
        <v>40000.0</v>
      </c>
      <c r="J327" s="133" t="s">
        <v>125</v>
      </c>
      <c r="K327" s="134" t="s">
        <v>325</v>
      </c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0" customHeight="1">
      <c r="A328" s="25"/>
      <c r="B328" s="126">
        <v>44678.0</v>
      </c>
      <c r="C328" s="127">
        <f t="shared" si="1"/>
        <v>44652</v>
      </c>
      <c r="D328" s="128">
        <f t="shared" si="2"/>
        <v>44678</v>
      </c>
      <c r="E328" s="129">
        <f t="shared" si="3"/>
        <v>18</v>
      </c>
      <c r="F328" s="130" t="s">
        <v>26</v>
      </c>
      <c r="G328" s="131" t="s">
        <v>76</v>
      </c>
      <c r="H328" s="130" t="s">
        <v>124</v>
      </c>
      <c r="I328" s="132">
        <v>39689.0</v>
      </c>
      <c r="J328" s="133" t="s">
        <v>125</v>
      </c>
      <c r="K328" s="134" t="s">
        <v>326</v>
      </c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0" customHeight="1">
      <c r="A329" s="25"/>
      <c r="B329" s="126">
        <v>44600.0</v>
      </c>
      <c r="C329" s="127">
        <f t="shared" si="1"/>
        <v>44593</v>
      </c>
      <c r="D329" s="128">
        <f t="shared" si="2"/>
        <v>44600</v>
      </c>
      <c r="E329" s="129">
        <f t="shared" si="3"/>
        <v>7</v>
      </c>
      <c r="F329" s="130" t="s">
        <v>26</v>
      </c>
      <c r="G329" s="131" t="s">
        <v>79</v>
      </c>
      <c r="H329" s="130" t="s">
        <v>124</v>
      </c>
      <c r="I329" s="132">
        <v>39600.0</v>
      </c>
      <c r="J329" s="133" t="s">
        <v>122</v>
      </c>
      <c r="K329" s="134" t="s">
        <v>327</v>
      </c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0" customHeight="1">
      <c r="A330" s="25"/>
      <c r="B330" s="126">
        <v>44845.0</v>
      </c>
      <c r="C330" s="127">
        <f t="shared" si="1"/>
        <v>44835</v>
      </c>
      <c r="D330" s="128">
        <f t="shared" si="2"/>
        <v>44845</v>
      </c>
      <c r="E330" s="129">
        <f t="shared" si="3"/>
        <v>42</v>
      </c>
      <c r="F330" s="130" t="s">
        <v>24</v>
      </c>
      <c r="G330" s="131" t="s">
        <v>34</v>
      </c>
      <c r="H330" s="130" t="s">
        <v>124</v>
      </c>
      <c r="I330" s="132">
        <v>39502.0</v>
      </c>
      <c r="J330" s="133" t="s">
        <v>122</v>
      </c>
      <c r="K330" s="134" t="s">
        <v>328</v>
      </c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0" customHeight="1">
      <c r="A331" s="25"/>
      <c r="B331" s="126">
        <v>44766.0</v>
      </c>
      <c r="C331" s="127">
        <f t="shared" si="1"/>
        <v>44743</v>
      </c>
      <c r="D331" s="128">
        <f t="shared" si="2"/>
        <v>44766</v>
      </c>
      <c r="E331" s="129">
        <f t="shared" si="3"/>
        <v>31</v>
      </c>
      <c r="F331" s="130" t="s">
        <v>26</v>
      </c>
      <c r="G331" s="131" t="s">
        <v>72</v>
      </c>
      <c r="H331" s="130" t="s">
        <v>124</v>
      </c>
      <c r="I331" s="132">
        <v>39360.0</v>
      </c>
      <c r="J331" s="133" t="s">
        <v>125</v>
      </c>
      <c r="K331" s="134" t="s">
        <v>329</v>
      </c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0" customHeight="1">
      <c r="A332" s="25"/>
      <c r="B332" s="126">
        <v>44858.0</v>
      </c>
      <c r="C332" s="127">
        <f t="shared" si="1"/>
        <v>44835</v>
      </c>
      <c r="D332" s="128">
        <f t="shared" si="2"/>
        <v>44858</v>
      </c>
      <c r="E332" s="129">
        <f t="shared" si="3"/>
        <v>44</v>
      </c>
      <c r="F332" s="130" t="s">
        <v>26</v>
      </c>
      <c r="G332" s="131" t="s">
        <v>76</v>
      </c>
      <c r="H332" s="130" t="s">
        <v>124</v>
      </c>
      <c r="I332" s="132">
        <v>39092.0</v>
      </c>
      <c r="J332" s="133" t="s">
        <v>125</v>
      </c>
      <c r="K332" s="134" t="s">
        <v>330</v>
      </c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0" customHeight="1">
      <c r="A333" s="25"/>
      <c r="B333" s="126">
        <v>44673.0</v>
      </c>
      <c r="C333" s="127">
        <f t="shared" si="1"/>
        <v>44652</v>
      </c>
      <c r="D333" s="128">
        <f t="shared" si="2"/>
        <v>44673</v>
      </c>
      <c r="E333" s="129">
        <f t="shared" si="3"/>
        <v>17</v>
      </c>
      <c r="F333" s="130" t="s">
        <v>128</v>
      </c>
      <c r="G333" s="131" t="s">
        <v>172</v>
      </c>
      <c r="H333" s="130" t="s">
        <v>124</v>
      </c>
      <c r="I333" s="132">
        <v>39000.0</v>
      </c>
      <c r="J333" s="133" t="s">
        <v>125</v>
      </c>
      <c r="K333" s="134" t="s">
        <v>331</v>
      </c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0" customHeight="1">
      <c r="A334" s="25"/>
      <c r="B334" s="126">
        <v>44591.0</v>
      </c>
      <c r="C334" s="127">
        <f t="shared" si="1"/>
        <v>44562</v>
      </c>
      <c r="D334" s="128">
        <f t="shared" si="2"/>
        <v>44591</v>
      </c>
      <c r="E334" s="129">
        <f t="shared" si="3"/>
        <v>6</v>
      </c>
      <c r="F334" s="130" t="s">
        <v>24</v>
      </c>
      <c r="G334" s="131" t="s">
        <v>34</v>
      </c>
      <c r="H334" s="130" t="s">
        <v>124</v>
      </c>
      <c r="I334" s="132">
        <v>38900.0</v>
      </c>
      <c r="J334" s="133" t="s">
        <v>125</v>
      </c>
      <c r="K334" s="134" t="s">
        <v>332</v>
      </c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0" customHeight="1">
      <c r="A335" s="25"/>
      <c r="B335" s="126">
        <v>44835.0</v>
      </c>
      <c r="C335" s="127">
        <f t="shared" si="1"/>
        <v>44835</v>
      </c>
      <c r="D335" s="128">
        <f t="shared" si="2"/>
        <v>44835</v>
      </c>
      <c r="E335" s="129">
        <f t="shared" si="3"/>
        <v>40</v>
      </c>
      <c r="F335" s="130" t="s">
        <v>26</v>
      </c>
      <c r="G335" s="131" t="s">
        <v>79</v>
      </c>
      <c r="H335" s="130" t="s">
        <v>121</v>
      </c>
      <c r="I335" s="132">
        <f>43000*0.9</f>
        <v>38700</v>
      </c>
      <c r="J335" s="133" t="s">
        <v>125</v>
      </c>
      <c r="K335" s="134" t="s">
        <v>333</v>
      </c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0" customHeight="1">
      <c r="A336" s="25"/>
      <c r="B336" s="126">
        <v>44734.0</v>
      </c>
      <c r="C336" s="127">
        <f t="shared" si="1"/>
        <v>44713</v>
      </c>
      <c r="D336" s="128">
        <f t="shared" si="2"/>
        <v>44734</v>
      </c>
      <c r="E336" s="129">
        <f t="shared" si="3"/>
        <v>26</v>
      </c>
      <c r="F336" s="130" t="s">
        <v>26</v>
      </c>
      <c r="G336" s="131" t="s">
        <v>70</v>
      </c>
      <c r="H336" s="130" t="s">
        <v>124</v>
      </c>
      <c r="I336" s="132">
        <v>38502.0</v>
      </c>
      <c r="J336" s="133" t="s">
        <v>125</v>
      </c>
      <c r="K336" s="134" t="s">
        <v>334</v>
      </c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0" customHeight="1">
      <c r="A337" s="25"/>
      <c r="B337" s="126">
        <v>44562.0</v>
      </c>
      <c r="C337" s="127">
        <f t="shared" si="1"/>
        <v>44562</v>
      </c>
      <c r="D337" s="128">
        <f t="shared" si="2"/>
        <v>44562</v>
      </c>
      <c r="E337" s="129">
        <f t="shared" si="3"/>
        <v>1</v>
      </c>
      <c r="F337" s="130" t="s">
        <v>26</v>
      </c>
      <c r="G337" s="131" t="s">
        <v>70</v>
      </c>
      <c r="H337" s="130" t="s">
        <v>124</v>
      </c>
      <c r="I337" s="132">
        <v>38500.0</v>
      </c>
      <c r="J337" s="133" t="s">
        <v>125</v>
      </c>
      <c r="K337" s="134" t="s">
        <v>335</v>
      </c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0" customHeight="1">
      <c r="A338" s="25"/>
      <c r="B338" s="126">
        <v>44625.0</v>
      </c>
      <c r="C338" s="127">
        <f t="shared" si="1"/>
        <v>44621</v>
      </c>
      <c r="D338" s="128">
        <f t="shared" si="2"/>
        <v>44625</v>
      </c>
      <c r="E338" s="129">
        <f t="shared" si="3"/>
        <v>10</v>
      </c>
      <c r="F338" s="130" t="s">
        <v>26</v>
      </c>
      <c r="G338" s="131" t="s">
        <v>70</v>
      </c>
      <c r="H338" s="130" t="s">
        <v>124</v>
      </c>
      <c r="I338" s="132">
        <v>38500.0</v>
      </c>
      <c r="J338" s="133" t="s">
        <v>122</v>
      </c>
      <c r="K338" s="134" t="s">
        <v>336</v>
      </c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0" customHeight="1">
      <c r="A339" s="25"/>
      <c r="B339" s="126">
        <v>44897.0</v>
      </c>
      <c r="C339" s="127">
        <f t="shared" si="1"/>
        <v>44896</v>
      </c>
      <c r="D339" s="128">
        <f t="shared" si="2"/>
        <v>44897</v>
      </c>
      <c r="E339" s="129">
        <f t="shared" si="3"/>
        <v>49</v>
      </c>
      <c r="F339" s="130" t="s">
        <v>24</v>
      </c>
      <c r="G339" s="131" t="s">
        <v>54</v>
      </c>
      <c r="H339" s="130" t="s">
        <v>124</v>
      </c>
      <c r="I339" s="132">
        <v>38500.0</v>
      </c>
      <c r="J339" s="133" t="s">
        <v>122</v>
      </c>
      <c r="K339" s="134" t="s">
        <v>337</v>
      </c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0" customHeight="1">
      <c r="A340" s="25"/>
      <c r="B340" s="126">
        <v>44592.0</v>
      </c>
      <c r="C340" s="127">
        <f t="shared" si="1"/>
        <v>44562</v>
      </c>
      <c r="D340" s="128">
        <f t="shared" si="2"/>
        <v>44592</v>
      </c>
      <c r="E340" s="129">
        <f t="shared" si="3"/>
        <v>6</v>
      </c>
      <c r="F340" s="130" t="s">
        <v>24</v>
      </c>
      <c r="G340" s="131" t="s">
        <v>34</v>
      </c>
      <c r="H340" s="130" t="s">
        <v>124</v>
      </c>
      <c r="I340" s="132">
        <v>38000.0</v>
      </c>
      <c r="J340" s="133" t="s">
        <v>125</v>
      </c>
      <c r="K340" s="134" t="s">
        <v>338</v>
      </c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0" customHeight="1">
      <c r="A341" s="25"/>
      <c r="B341" s="126">
        <v>44617.0</v>
      </c>
      <c r="C341" s="127">
        <f t="shared" si="1"/>
        <v>44593</v>
      </c>
      <c r="D341" s="128">
        <f t="shared" si="2"/>
        <v>44617</v>
      </c>
      <c r="E341" s="129">
        <f t="shared" si="3"/>
        <v>9</v>
      </c>
      <c r="F341" s="130" t="s">
        <v>128</v>
      </c>
      <c r="G341" s="131" t="s">
        <v>172</v>
      </c>
      <c r="H341" s="130" t="s">
        <v>124</v>
      </c>
      <c r="I341" s="132">
        <v>38000.0</v>
      </c>
      <c r="J341" s="133" t="s">
        <v>125</v>
      </c>
      <c r="K341" s="134" t="s">
        <v>339</v>
      </c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0" customHeight="1">
      <c r="A342" s="25"/>
      <c r="B342" s="126">
        <v>44673.0</v>
      </c>
      <c r="C342" s="127">
        <f t="shared" si="1"/>
        <v>44652</v>
      </c>
      <c r="D342" s="128">
        <f t="shared" si="2"/>
        <v>44673</v>
      </c>
      <c r="E342" s="129">
        <f t="shared" si="3"/>
        <v>17</v>
      </c>
      <c r="F342" s="130" t="s">
        <v>128</v>
      </c>
      <c r="G342" s="131" t="s">
        <v>172</v>
      </c>
      <c r="H342" s="130" t="s">
        <v>124</v>
      </c>
      <c r="I342" s="132">
        <v>38000.0</v>
      </c>
      <c r="J342" s="133" t="s">
        <v>122</v>
      </c>
      <c r="K342" s="134" t="s">
        <v>340</v>
      </c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0" customHeight="1">
      <c r="A343" s="25"/>
      <c r="B343" s="126">
        <v>44790.0</v>
      </c>
      <c r="C343" s="127">
        <f t="shared" si="1"/>
        <v>44774</v>
      </c>
      <c r="D343" s="128">
        <f t="shared" si="2"/>
        <v>44790</v>
      </c>
      <c r="E343" s="129">
        <f t="shared" si="3"/>
        <v>34</v>
      </c>
      <c r="F343" s="130" t="s">
        <v>26</v>
      </c>
      <c r="G343" s="131" t="s">
        <v>76</v>
      </c>
      <c r="H343" s="130" t="s">
        <v>124</v>
      </c>
      <c r="I343" s="132">
        <v>38000.0</v>
      </c>
      <c r="J343" s="133" t="s">
        <v>125</v>
      </c>
      <c r="K343" s="134" t="s">
        <v>341</v>
      </c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0" customHeight="1">
      <c r="A344" s="25"/>
      <c r="B344" s="126">
        <v>44829.0</v>
      </c>
      <c r="C344" s="127">
        <f t="shared" si="1"/>
        <v>44805</v>
      </c>
      <c r="D344" s="128">
        <f t="shared" si="2"/>
        <v>44829</v>
      </c>
      <c r="E344" s="129">
        <f t="shared" si="3"/>
        <v>40</v>
      </c>
      <c r="F344" s="130" t="s">
        <v>26</v>
      </c>
      <c r="G344" s="131" t="s">
        <v>79</v>
      </c>
      <c r="H344" s="130" t="s">
        <v>124</v>
      </c>
      <c r="I344" s="132">
        <v>38000.0</v>
      </c>
      <c r="J344" s="133" t="s">
        <v>122</v>
      </c>
      <c r="K344" s="134" t="s">
        <v>342</v>
      </c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0" customHeight="1">
      <c r="A345" s="25"/>
      <c r="B345" s="126">
        <v>44573.0</v>
      </c>
      <c r="C345" s="127">
        <f t="shared" si="1"/>
        <v>44562</v>
      </c>
      <c r="D345" s="128">
        <f t="shared" si="2"/>
        <v>44573</v>
      </c>
      <c r="E345" s="129">
        <f t="shared" si="3"/>
        <v>3</v>
      </c>
      <c r="F345" s="130" t="s">
        <v>26</v>
      </c>
      <c r="G345" s="131" t="s">
        <v>70</v>
      </c>
      <c r="H345" s="130" t="s">
        <v>124</v>
      </c>
      <c r="I345" s="132">
        <v>37910.0</v>
      </c>
      <c r="J345" s="133" t="s">
        <v>122</v>
      </c>
      <c r="K345" s="134" t="s">
        <v>343</v>
      </c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0" customHeight="1">
      <c r="A346" s="25"/>
      <c r="B346" s="126">
        <v>44666.0</v>
      </c>
      <c r="C346" s="127">
        <f t="shared" si="1"/>
        <v>44652</v>
      </c>
      <c r="D346" s="128">
        <f t="shared" si="2"/>
        <v>44666</v>
      </c>
      <c r="E346" s="129">
        <f t="shared" si="3"/>
        <v>16</v>
      </c>
      <c r="F346" s="130" t="s">
        <v>24</v>
      </c>
      <c r="G346" s="131" t="s">
        <v>54</v>
      </c>
      <c r="H346" s="130" t="s">
        <v>124</v>
      </c>
      <c r="I346" s="132">
        <v>37850.0</v>
      </c>
      <c r="J346" s="133" t="s">
        <v>125</v>
      </c>
      <c r="K346" s="134" t="s">
        <v>344</v>
      </c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0" customHeight="1">
      <c r="A347" s="25"/>
      <c r="B347" s="126">
        <v>44852.0</v>
      </c>
      <c r="C347" s="127">
        <f t="shared" si="1"/>
        <v>44835</v>
      </c>
      <c r="D347" s="128">
        <f t="shared" si="2"/>
        <v>44852</v>
      </c>
      <c r="E347" s="129">
        <f t="shared" si="3"/>
        <v>43</v>
      </c>
      <c r="F347" s="130" t="s">
        <v>24</v>
      </c>
      <c r="G347" s="131" t="s">
        <v>29</v>
      </c>
      <c r="H347" s="130" t="s">
        <v>124</v>
      </c>
      <c r="I347" s="132">
        <f>47200-9440</f>
        <v>37760</v>
      </c>
      <c r="J347" s="133" t="s">
        <v>122</v>
      </c>
      <c r="K347" s="134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0" customHeight="1">
      <c r="A348" s="25"/>
      <c r="B348" s="126">
        <v>44696.0</v>
      </c>
      <c r="C348" s="127">
        <f t="shared" si="1"/>
        <v>44682</v>
      </c>
      <c r="D348" s="128">
        <f t="shared" si="2"/>
        <v>44696</v>
      </c>
      <c r="E348" s="129">
        <f t="shared" si="3"/>
        <v>21</v>
      </c>
      <c r="F348" s="130" t="s">
        <v>26</v>
      </c>
      <c r="G348" s="131" t="s">
        <v>76</v>
      </c>
      <c r="H348" s="130" t="s">
        <v>124</v>
      </c>
      <c r="I348" s="132">
        <v>37700.0</v>
      </c>
      <c r="J348" s="133" t="s">
        <v>125</v>
      </c>
      <c r="K348" s="134" t="s">
        <v>345</v>
      </c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0" customHeight="1">
      <c r="A349" s="25"/>
      <c r="B349" s="126">
        <v>44921.0</v>
      </c>
      <c r="C349" s="127">
        <f t="shared" si="1"/>
        <v>44896</v>
      </c>
      <c r="D349" s="128">
        <f t="shared" si="2"/>
        <v>44921</v>
      </c>
      <c r="E349" s="129">
        <f t="shared" si="3"/>
        <v>53</v>
      </c>
      <c r="F349" s="130" t="s">
        <v>128</v>
      </c>
      <c r="G349" s="131" t="s">
        <v>172</v>
      </c>
      <c r="H349" s="130" t="s">
        <v>124</v>
      </c>
      <c r="I349" s="132">
        <v>37000.0</v>
      </c>
      <c r="J349" s="133" t="s">
        <v>125</v>
      </c>
      <c r="K349" s="134" t="s">
        <v>346</v>
      </c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0" customHeight="1">
      <c r="A350" s="25"/>
      <c r="B350" s="126">
        <v>44696.0</v>
      </c>
      <c r="C350" s="127">
        <f t="shared" si="1"/>
        <v>44682</v>
      </c>
      <c r="D350" s="128">
        <f t="shared" si="2"/>
        <v>44696</v>
      </c>
      <c r="E350" s="129">
        <f t="shared" si="3"/>
        <v>21</v>
      </c>
      <c r="F350" s="130" t="s">
        <v>26</v>
      </c>
      <c r="G350" s="131" t="s">
        <v>79</v>
      </c>
      <c r="H350" s="130" t="s">
        <v>121</v>
      </c>
      <c r="I350" s="132">
        <f t="shared" ref="I350:I351" si="9">41000*0.9</f>
        <v>36900</v>
      </c>
      <c r="J350" s="133" t="s">
        <v>125</v>
      </c>
      <c r="K350" s="134" t="s">
        <v>347</v>
      </c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0" customHeight="1">
      <c r="A351" s="25"/>
      <c r="B351" s="126">
        <v>44794.0</v>
      </c>
      <c r="C351" s="127">
        <f t="shared" si="1"/>
        <v>44774</v>
      </c>
      <c r="D351" s="128">
        <f t="shared" si="2"/>
        <v>44794</v>
      </c>
      <c r="E351" s="129">
        <f t="shared" si="3"/>
        <v>35</v>
      </c>
      <c r="F351" s="130" t="s">
        <v>26</v>
      </c>
      <c r="G351" s="131" t="s">
        <v>79</v>
      </c>
      <c r="H351" s="130" t="s">
        <v>121</v>
      </c>
      <c r="I351" s="132">
        <f t="shared" si="9"/>
        <v>36900</v>
      </c>
      <c r="J351" s="133" t="s">
        <v>125</v>
      </c>
      <c r="K351" s="134" t="s">
        <v>348</v>
      </c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0" customHeight="1">
      <c r="A352" s="25"/>
      <c r="B352" s="126">
        <v>44876.0</v>
      </c>
      <c r="C352" s="127">
        <f t="shared" si="1"/>
        <v>44866</v>
      </c>
      <c r="D352" s="128">
        <f t="shared" si="2"/>
        <v>44876</v>
      </c>
      <c r="E352" s="129">
        <f t="shared" si="3"/>
        <v>46</v>
      </c>
      <c r="F352" s="130" t="s">
        <v>26</v>
      </c>
      <c r="G352" s="131" t="s">
        <v>70</v>
      </c>
      <c r="H352" s="130" t="s">
        <v>124</v>
      </c>
      <c r="I352" s="132">
        <v>36900.0</v>
      </c>
      <c r="J352" s="133" t="s">
        <v>122</v>
      </c>
      <c r="K352" s="134" t="s">
        <v>349</v>
      </c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0" customHeight="1">
      <c r="A353" s="25"/>
      <c r="B353" s="126">
        <v>44628.0</v>
      </c>
      <c r="C353" s="127">
        <f t="shared" si="1"/>
        <v>44621</v>
      </c>
      <c r="D353" s="128">
        <f t="shared" si="2"/>
        <v>44628</v>
      </c>
      <c r="E353" s="129">
        <f t="shared" si="3"/>
        <v>11</v>
      </c>
      <c r="F353" s="130" t="s">
        <v>26</v>
      </c>
      <c r="G353" s="131" t="s">
        <v>76</v>
      </c>
      <c r="H353" s="130" t="s">
        <v>124</v>
      </c>
      <c r="I353" s="132">
        <v>36660.0</v>
      </c>
      <c r="J353" s="133" t="s">
        <v>125</v>
      </c>
      <c r="K353" s="134" t="s">
        <v>167</v>
      </c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0" customHeight="1">
      <c r="A354" s="25"/>
      <c r="B354" s="126">
        <v>44669.0</v>
      </c>
      <c r="C354" s="127">
        <f t="shared" si="1"/>
        <v>44652</v>
      </c>
      <c r="D354" s="128">
        <f t="shared" si="2"/>
        <v>44669</v>
      </c>
      <c r="E354" s="129">
        <f t="shared" si="3"/>
        <v>17</v>
      </c>
      <c r="F354" s="130" t="s">
        <v>24</v>
      </c>
      <c r="G354" s="131" t="s">
        <v>29</v>
      </c>
      <c r="H354" s="130" t="s">
        <v>124</v>
      </c>
      <c r="I354" s="132">
        <f>45800-9160</f>
        <v>36640</v>
      </c>
      <c r="J354" s="133" t="s">
        <v>122</v>
      </c>
      <c r="K354" s="134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0" customHeight="1">
      <c r="A355" s="25"/>
      <c r="B355" s="126">
        <v>44654.0</v>
      </c>
      <c r="C355" s="127">
        <f t="shared" si="1"/>
        <v>44652</v>
      </c>
      <c r="D355" s="128">
        <f t="shared" si="2"/>
        <v>44654</v>
      </c>
      <c r="E355" s="129">
        <f t="shared" si="3"/>
        <v>15</v>
      </c>
      <c r="F355" s="130" t="s">
        <v>26</v>
      </c>
      <c r="G355" s="131" t="s">
        <v>82</v>
      </c>
      <c r="H355" s="130" t="s">
        <v>124</v>
      </c>
      <c r="I355" s="132">
        <v>36540.0</v>
      </c>
      <c r="J355" s="133" t="s">
        <v>122</v>
      </c>
      <c r="K355" s="134" t="s">
        <v>350</v>
      </c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0" customHeight="1">
      <c r="A356" s="25"/>
      <c r="B356" s="126">
        <v>44780.0</v>
      </c>
      <c r="C356" s="127">
        <f t="shared" si="1"/>
        <v>44774</v>
      </c>
      <c r="D356" s="128">
        <f t="shared" si="2"/>
        <v>44780</v>
      </c>
      <c r="E356" s="129">
        <f t="shared" si="3"/>
        <v>33</v>
      </c>
      <c r="F356" s="130" t="s">
        <v>26</v>
      </c>
      <c r="G356" s="131" t="s">
        <v>70</v>
      </c>
      <c r="H356" s="130" t="s">
        <v>124</v>
      </c>
      <c r="I356" s="132">
        <f>40370-4037</f>
        <v>36333</v>
      </c>
      <c r="J356" s="133" t="s">
        <v>125</v>
      </c>
      <c r="K356" s="134" t="s">
        <v>351</v>
      </c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0" customHeight="1">
      <c r="A357" s="25"/>
      <c r="B357" s="126">
        <v>44870.0</v>
      </c>
      <c r="C357" s="127">
        <f t="shared" si="1"/>
        <v>44866</v>
      </c>
      <c r="D357" s="128">
        <f t="shared" si="2"/>
        <v>44870</v>
      </c>
      <c r="E357" s="129">
        <f t="shared" si="3"/>
        <v>45</v>
      </c>
      <c r="F357" s="130" t="s">
        <v>24</v>
      </c>
      <c r="G357" s="131" t="s">
        <v>49</v>
      </c>
      <c r="H357" s="130" t="s">
        <v>124</v>
      </c>
      <c r="I357" s="132">
        <v>36322.0</v>
      </c>
      <c r="J357" s="133" t="s">
        <v>125</v>
      </c>
      <c r="K357" s="134" t="s">
        <v>352</v>
      </c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0" customHeight="1">
      <c r="A358" s="25"/>
      <c r="B358" s="126">
        <v>44615.0</v>
      </c>
      <c r="C358" s="127">
        <f t="shared" si="1"/>
        <v>44593</v>
      </c>
      <c r="D358" s="128">
        <f t="shared" si="2"/>
        <v>44615</v>
      </c>
      <c r="E358" s="129">
        <f t="shared" si="3"/>
        <v>9</v>
      </c>
      <c r="F358" s="130" t="s">
        <v>26</v>
      </c>
      <c r="G358" s="131" t="s">
        <v>79</v>
      </c>
      <c r="H358" s="130" t="s">
        <v>124</v>
      </c>
      <c r="I358" s="132">
        <v>36000.0</v>
      </c>
      <c r="J358" s="133" t="s">
        <v>125</v>
      </c>
      <c r="K358" s="134" t="s">
        <v>353</v>
      </c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0" customHeight="1">
      <c r="A359" s="25"/>
      <c r="B359" s="126">
        <v>44913.0</v>
      </c>
      <c r="C359" s="127">
        <f t="shared" si="1"/>
        <v>44896</v>
      </c>
      <c r="D359" s="128">
        <f t="shared" si="2"/>
        <v>44913</v>
      </c>
      <c r="E359" s="129">
        <f t="shared" si="3"/>
        <v>52</v>
      </c>
      <c r="F359" s="130" t="s">
        <v>24</v>
      </c>
      <c r="G359" s="131" t="s">
        <v>49</v>
      </c>
      <c r="H359" s="130" t="s">
        <v>121</v>
      </c>
      <c r="I359" s="132">
        <v>36000.0</v>
      </c>
      <c r="J359" s="133" t="s">
        <v>125</v>
      </c>
      <c r="K359" s="134" t="s">
        <v>354</v>
      </c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0" customHeight="1">
      <c r="A360" s="25"/>
      <c r="B360" s="126">
        <v>44918.0</v>
      </c>
      <c r="C360" s="127">
        <f t="shared" si="1"/>
        <v>44896</v>
      </c>
      <c r="D360" s="128">
        <f t="shared" si="2"/>
        <v>44918</v>
      </c>
      <c r="E360" s="129">
        <f t="shared" si="3"/>
        <v>52</v>
      </c>
      <c r="F360" s="130" t="s">
        <v>24</v>
      </c>
      <c r="G360" s="131" t="s">
        <v>49</v>
      </c>
      <c r="H360" s="130" t="s">
        <v>121</v>
      </c>
      <c r="I360" s="132">
        <v>36000.0</v>
      </c>
      <c r="J360" s="133" t="s">
        <v>125</v>
      </c>
      <c r="K360" s="134" t="s">
        <v>355</v>
      </c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0" customHeight="1">
      <c r="A361" s="25"/>
      <c r="B361" s="126">
        <v>44700.0</v>
      </c>
      <c r="C361" s="127">
        <f t="shared" si="1"/>
        <v>44682</v>
      </c>
      <c r="D361" s="128">
        <f t="shared" si="2"/>
        <v>44700</v>
      </c>
      <c r="E361" s="129">
        <f t="shared" si="3"/>
        <v>21</v>
      </c>
      <c r="F361" s="130" t="s">
        <v>26</v>
      </c>
      <c r="G361" s="131" t="s">
        <v>79</v>
      </c>
      <c r="H361" s="130" t="s">
        <v>124</v>
      </c>
      <c r="I361" s="132">
        <v>35800.0</v>
      </c>
      <c r="J361" s="133" t="s">
        <v>125</v>
      </c>
      <c r="K361" s="134" t="s">
        <v>356</v>
      </c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0" customHeight="1">
      <c r="A362" s="25"/>
      <c r="B362" s="126">
        <v>44707.0</v>
      </c>
      <c r="C362" s="127">
        <f t="shared" si="1"/>
        <v>44682</v>
      </c>
      <c r="D362" s="128">
        <f t="shared" si="2"/>
        <v>44707</v>
      </c>
      <c r="E362" s="129">
        <f t="shared" si="3"/>
        <v>22</v>
      </c>
      <c r="F362" s="130" t="s">
        <v>24</v>
      </c>
      <c r="G362" s="131" t="s">
        <v>44</v>
      </c>
      <c r="H362" s="130" t="s">
        <v>124</v>
      </c>
      <c r="I362" s="132">
        <f>40640-5000</f>
        <v>35640</v>
      </c>
      <c r="J362" s="133" t="s">
        <v>125</v>
      </c>
      <c r="K362" s="134" t="s">
        <v>313</v>
      </c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0" customHeight="1">
      <c r="A363" s="25"/>
      <c r="B363" s="126">
        <v>44747.0</v>
      </c>
      <c r="C363" s="127">
        <f t="shared" si="1"/>
        <v>44743</v>
      </c>
      <c r="D363" s="128">
        <f t="shared" si="2"/>
        <v>44747</v>
      </c>
      <c r="E363" s="129">
        <f t="shared" si="3"/>
        <v>28</v>
      </c>
      <c r="F363" s="130" t="s">
        <v>26</v>
      </c>
      <c r="G363" s="131" t="s">
        <v>76</v>
      </c>
      <c r="H363" s="130" t="s">
        <v>124</v>
      </c>
      <c r="I363" s="132">
        <v>35525.0</v>
      </c>
      <c r="J363" s="133" t="s">
        <v>125</v>
      </c>
      <c r="K363" s="134" t="s">
        <v>326</v>
      </c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0" customHeight="1">
      <c r="A364" s="25"/>
      <c r="B364" s="126">
        <v>44727.0</v>
      </c>
      <c r="C364" s="127">
        <f t="shared" si="1"/>
        <v>44713</v>
      </c>
      <c r="D364" s="128">
        <f t="shared" si="2"/>
        <v>44727</v>
      </c>
      <c r="E364" s="129">
        <f t="shared" si="3"/>
        <v>25</v>
      </c>
      <c r="F364" s="130" t="s">
        <v>26</v>
      </c>
      <c r="G364" s="131" t="s">
        <v>79</v>
      </c>
      <c r="H364" s="130" t="s">
        <v>124</v>
      </c>
      <c r="I364" s="132">
        <v>35500.0</v>
      </c>
      <c r="J364" s="133" t="s">
        <v>122</v>
      </c>
      <c r="K364" s="134" t="s">
        <v>357</v>
      </c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0" customHeight="1">
      <c r="A365" s="25"/>
      <c r="B365" s="126">
        <v>44805.0</v>
      </c>
      <c r="C365" s="127">
        <f t="shared" si="1"/>
        <v>44805</v>
      </c>
      <c r="D365" s="128">
        <f t="shared" si="2"/>
        <v>44805</v>
      </c>
      <c r="E365" s="129">
        <f t="shared" si="3"/>
        <v>36</v>
      </c>
      <c r="F365" s="130" t="s">
        <v>26</v>
      </c>
      <c r="G365" s="131" t="s">
        <v>70</v>
      </c>
      <c r="H365" s="130" t="s">
        <v>124</v>
      </c>
      <c r="I365" s="132">
        <v>35410.0</v>
      </c>
      <c r="J365" s="133" t="s">
        <v>125</v>
      </c>
      <c r="K365" s="134" t="s">
        <v>282</v>
      </c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0" customHeight="1">
      <c r="A366" s="25"/>
      <c r="B366" s="126">
        <v>44666.0</v>
      </c>
      <c r="C366" s="127">
        <f t="shared" si="1"/>
        <v>44652</v>
      </c>
      <c r="D366" s="128">
        <f t="shared" si="2"/>
        <v>44666</v>
      </c>
      <c r="E366" s="129">
        <f t="shared" si="3"/>
        <v>16</v>
      </c>
      <c r="F366" s="130" t="s">
        <v>26</v>
      </c>
      <c r="G366" s="131" t="s">
        <v>76</v>
      </c>
      <c r="H366" s="130" t="s">
        <v>124</v>
      </c>
      <c r="I366" s="132">
        <v>35210.0</v>
      </c>
      <c r="J366" s="133" t="s">
        <v>125</v>
      </c>
      <c r="K366" s="134" t="s">
        <v>167</v>
      </c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0" customHeight="1">
      <c r="A367" s="25"/>
      <c r="B367" s="126">
        <v>44870.0</v>
      </c>
      <c r="C367" s="127">
        <f t="shared" si="1"/>
        <v>44866</v>
      </c>
      <c r="D367" s="128">
        <f t="shared" si="2"/>
        <v>44870</v>
      </c>
      <c r="E367" s="129">
        <f t="shared" si="3"/>
        <v>45</v>
      </c>
      <c r="F367" s="130" t="s">
        <v>24</v>
      </c>
      <c r="G367" s="131" t="s">
        <v>49</v>
      </c>
      <c r="H367" s="130" t="s">
        <v>124</v>
      </c>
      <c r="I367" s="132">
        <v>35100.0</v>
      </c>
      <c r="J367" s="133" t="s">
        <v>125</v>
      </c>
      <c r="K367" s="136" t="s">
        <v>358</v>
      </c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0" customHeight="1">
      <c r="A368" s="25"/>
      <c r="B368" s="126">
        <v>44623.0</v>
      </c>
      <c r="C368" s="127">
        <f t="shared" si="1"/>
        <v>44621</v>
      </c>
      <c r="D368" s="128">
        <f t="shared" si="2"/>
        <v>44623</v>
      </c>
      <c r="E368" s="129">
        <f t="shared" si="3"/>
        <v>10</v>
      </c>
      <c r="F368" s="130" t="s">
        <v>26</v>
      </c>
      <c r="G368" s="131" t="s">
        <v>79</v>
      </c>
      <c r="H368" s="130" t="s">
        <v>124</v>
      </c>
      <c r="I368" s="132">
        <v>35000.0</v>
      </c>
      <c r="J368" s="133" t="s">
        <v>125</v>
      </c>
      <c r="K368" s="134" t="s">
        <v>359</v>
      </c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0" customHeight="1">
      <c r="A369" s="25"/>
      <c r="B369" s="126">
        <v>44696.0</v>
      </c>
      <c r="C369" s="127">
        <f t="shared" si="1"/>
        <v>44682</v>
      </c>
      <c r="D369" s="128">
        <f t="shared" si="2"/>
        <v>44696</v>
      </c>
      <c r="E369" s="129">
        <f t="shared" si="3"/>
        <v>21</v>
      </c>
      <c r="F369" s="130" t="s">
        <v>24</v>
      </c>
      <c r="G369" s="131" t="s">
        <v>54</v>
      </c>
      <c r="H369" s="130"/>
      <c r="I369" s="132">
        <v>34900.0</v>
      </c>
      <c r="J369" s="133" t="s">
        <v>125</v>
      </c>
      <c r="K369" s="134" t="s">
        <v>360</v>
      </c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0" customHeight="1">
      <c r="A370" s="25"/>
      <c r="B370" s="126">
        <v>44807.0</v>
      </c>
      <c r="C370" s="127">
        <f t="shared" si="1"/>
        <v>44805</v>
      </c>
      <c r="D370" s="128">
        <f t="shared" si="2"/>
        <v>44807</v>
      </c>
      <c r="E370" s="129">
        <f t="shared" si="3"/>
        <v>36</v>
      </c>
      <c r="F370" s="130" t="s">
        <v>26</v>
      </c>
      <c r="G370" s="131" t="s">
        <v>76</v>
      </c>
      <c r="H370" s="130" t="s">
        <v>124</v>
      </c>
      <c r="I370" s="132">
        <v>34840.0</v>
      </c>
      <c r="J370" s="133" t="s">
        <v>125</v>
      </c>
      <c r="K370" s="134" t="s">
        <v>361</v>
      </c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0" customHeight="1">
      <c r="A371" s="25"/>
      <c r="B371" s="126">
        <v>44913.0</v>
      </c>
      <c r="C371" s="127">
        <f t="shared" si="1"/>
        <v>44896</v>
      </c>
      <c r="D371" s="128">
        <f t="shared" si="2"/>
        <v>44913</v>
      </c>
      <c r="E371" s="129">
        <f t="shared" si="3"/>
        <v>52</v>
      </c>
      <c r="F371" s="130" t="s">
        <v>24</v>
      </c>
      <c r="G371" s="131" t="s">
        <v>29</v>
      </c>
      <c r="H371" s="130" t="s">
        <v>124</v>
      </c>
      <c r="I371" s="132">
        <f>43550-8710</f>
        <v>34840</v>
      </c>
      <c r="J371" s="133" t="s">
        <v>122</v>
      </c>
      <c r="K371" s="134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0" customHeight="1">
      <c r="A372" s="25"/>
      <c r="B372" s="126">
        <v>44608.0</v>
      </c>
      <c r="C372" s="127">
        <f t="shared" si="1"/>
        <v>44593</v>
      </c>
      <c r="D372" s="128">
        <f t="shared" si="2"/>
        <v>44608</v>
      </c>
      <c r="E372" s="129">
        <f t="shared" si="3"/>
        <v>8</v>
      </c>
      <c r="F372" s="130" t="s">
        <v>26</v>
      </c>
      <c r="G372" s="131" t="s">
        <v>76</v>
      </c>
      <c r="H372" s="130" t="s">
        <v>124</v>
      </c>
      <c r="I372" s="132">
        <v>34819.0</v>
      </c>
      <c r="J372" s="133" t="s">
        <v>125</v>
      </c>
      <c r="K372" s="134" t="s">
        <v>326</v>
      </c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0" customHeight="1">
      <c r="A373" s="25"/>
      <c r="B373" s="126">
        <v>44566.0</v>
      </c>
      <c r="C373" s="127">
        <f t="shared" si="1"/>
        <v>44562</v>
      </c>
      <c r="D373" s="128">
        <f t="shared" si="2"/>
        <v>44566</v>
      </c>
      <c r="E373" s="129">
        <f t="shared" si="3"/>
        <v>2</v>
      </c>
      <c r="F373" s="130" t="s">
        <v>24</v>
      </c>
      <c r="G373" s="131" t="s">
        <v>41</v>
      </c>
      <c r="H373" s="130" t="s">
        <v>121</v>
      </c>
      <c r="I373" s="132">
        <v>34780.0</v>
      </c>
      <c r="J373" s="133" t="s">
        <v>122</v>
      </c>
      <c r="K373" s="134" t="s">
        <v>362</v>
      </c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0" customHeight="1">
      <c r="A374" s="25"/>
      <c r="B374" s="126">
        <v>44599.0</v>
      </c>
      <c r="C374" s="127">
        <f t="shared" si="1"/>
        <v>44593</v>
      </c>
      <c r="D374" s="128">
        <f t="shared" si="2"/>
        <v>44599</v>
      </c>
      <c r="E374" s="129">
        <f t="shared" si="3"/>
        <v>7</v>
      </c>
      <c r="F374" s="130" t="s">
        <v>24</v>
      </c>
      <c r="G374" s="131" t="s">
        <v>41</v>
      </c>
      <c r="H374" s="130" t="s">
        <v>124</v>
      </c>
      <c r="I374" s="132">
        <v>34780.0</v>
      </c>
      <c r="J374" s="133" t="s">
        <v>122</v>
      </c>
      <c r="K374" s="134" t="s">
        <v>362</v>
      </c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0" customHeight="1">
      <c r="A375" s="25"/>
      <c r="B375" s="126">
        <v>44627.0</v>
      </c>
      <c r="C375" s="127">
        <f t="shared" si="1"/>
        <v>44621</v>
      </c>
      <c r="D375" s="128">
        <f t="shared" si="2"/>
        <v>44627</v>
      </c>
      <c r="E375" s="129">
        <f t="shared" si="3"/>
        <v>11</v>
      </c>
      <c r="F375" s="130" t="s">
        <v>24</v>
      </c>
      <c r="G375" s="131" t="s">
        <v>41</v>
      </c>
      <c r="H375" s="130" t="s">
        <v>121</v>
      </c>
      <c r="I375" s="132">
        <v>34780.0</v>
      </c>
      <c r="J375" s="133" t="s">
        <v>122</v>
      </c>
      <c r="K375" s="134" t="s">
        <v>362</v>
      </c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0" customHeight="1">
      <c r="A376" s="25"/>
      <c r="B376" s="126">
        <v>44656.0</v>
      </c>
      <c r="C376" s="127">
        <f t="shared" si="1"/>
        <v>44652</v>
      </c>
      <c r="D376" s="128">
        <f t="shared" si="2"/>
        <v>44656</v>
      </c>
      <c r="E376" s="129">
        <f t="shared" si="3"/>
        <v>15</v>
      </c>
      <c r="F376" s="130" t="s">
        <v>24</v>
      </c>
      <c r="G376" s="131" t="s">
        <v>41</v>
      </c>
      <c r="H376" s="130" t="s">
        <v>121</v>
      </c>
      <c r="I376" s="132">
        <v>34780.0</v>
      </c>
      <c r="J376" s="133" t="s">
        <v>122</v>
      </c>
      <c r="K376" s="134" t="s">
        <v>362</v>
      </c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0" customHeight="1">
      <c r="A377" s="25"/>
      <c r="B377" s="126">
        <v>44685.0</v>
      </c>
      <c r="C377" s="127">
        <f t="shared" si="1"/>
        <v>44682</v>
      </c>
      <c r="D377" s="128">
        <f t="shared" si="2"/>
        <v>44685</v>
      </c>
      <c r="E377" s="129">
        <f t="shared" si="3"/>
        <v>19</v>
      </c>
      <c r="F377" s="130" t="s">
        <v>26</v>
      </c>
      <c r="G377" s="131" t="s">
        <v>76</v>
      </c>
      <c r="H377" s="130" t="s">
        <v>124</v>
      </c>
      <c r="I377" s="132">
        <v>34780.0</v>
      </c>
      <c r="J377" s="133" t="s">
        <v>125</v>
      </c>
      <c r="K377" s="134" t="s">
        <v>167</v>
      </c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0" customHeight="1">
      <c r="A378" s="25"/>
      <c r="B378" s="126">
        <v>44687.0</v>
      </c>
      <c r="C378" s="127">
        <f t="shared" si="1"/>
        <v>44682</v>
      </c>
      <c r="D378" s="128">
        <f t="shared" si="2"/>
        <v>44687</v>
      </c>
      <c r="E378" s="129">
        <f t="shared" si="3"/>
        <v>19</v>
      </c>
      <c r="F378" s="130" t="s">
        <v>24</v>
      </c>
      <c r="G378" s="131" t="s">
        <v>41</v>
      </c>
      <c r="H378" s="130" t="s">
        <v>121</v>
      </c>
      <c r="I378" s="132">
        <f>34780</f>
        <v>34780</v>
      </c>
      <c r="J378" s="133" t="s">
        <v>122</v>
      </c>
      <c r="K378" s="134" t="s">
        <v>362</v>
      </c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0" customHeight="1">
      <c r="A379" s="25"/>
      <c r="B379" s="126">
        <v>44719.0</v>
      </c>
      <c r="C379" s="127">
        <f t="shared" si="1"/>
        <v>44713</v>
      </c>
      <c r="D379" s="128">
        <f t="shared" si="2"/>
        <v>44719</v>
      </c>
      <c r="E379" s="129">
        <f t="shared" si="3"/>
        <v>24</v>
      </c>
      <c r="F379" s="130" t="s">
        <v>24</v>
      </c>
      <c r="G379" s="131" t="s">
        <v>41</v>
      </c>
      <c r="H379" s="130" t="s">
        <v>121</v>
      </c>
      <c r="I379" s="132">
        <v>34780.0</v>
      </c>
      <c r="J379" s="133" t="s">
        <v>122</v>
      </c>
      <c r="K379" s="134" t="s">
        <v>362</v>
      </c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0" customHeight="1">
      <c r="A380" s="25"/>
      <c r="B380" s="126">
        <v>44747.0</v>
      </c>
      <c r="C380" s="127">
        <f t="shared" si="1"/>
        <v>44743</v>
      </c>
      <c r="D380" s="128">
        <f t="shared" si="2"/>
        <v>44747</v>
      </c>
      <c r="E380" s="129">
        <f t="shared" si="3"/>
        <v>28</v>
      </c>
      <c r="F380" s="130" t="s">
        <v>24</v>
      </c>
      <c r="G380" s="131" t="s">
        <v>41</v>
      </c>
      <c r="H380" s="130" t="s">
        <v>121</v>
      </c>
      <c r="I380" s="132">
        <v>34780.0</v>
      </c>
      <c r="J380" s="133" t="s">
        <v>122</v>
      </c>
      <c r="K380" s="134" t="s">
        <v>362</v>
      </c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0" customHeight="1">
      <c r="A381" s="25"/>
      <c r="B381" s="126">
        <v>44778.0</v>
      </c>
      <c r="C381" s="127">
        <f t="shared" si="1"/>
        <v>44774</v>
      </c>
      <c r="D381" s="128">
        <f t="shared" si="2"/>
        <v>44778</v>
      </c>
      <c r="E381" s="129">
        <f t="shared" si="3"/>
        <v>32</v>
      </c>
      <c r="F381" s="130" t="s">
        <v>24</v>
      </c>
      <c r="G381" s="131" t="s">
        <v>41</v>
      </c>
      <c r="H381" s="130" t="s">
        <v>121</v>
      </c>
      <c r="I381" s="132">
        <v>34780.0</v>
      </c>
      <c r="J381" s="133" t="s">
        <v>122</v>
      </c>
      <c r="K381" s="134" t="s">
        <v>362</v>
      </c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0" customHeight="1">
      <c r="A382" s="25"/>
      <c r="B382" s="126">
        <v>44809.0</v>
      </c>
      <c r="C382" s="127">
        <f t="shared" si="1"/>
        <v>44805</v>
      </c>
      <c r="D382" s="128">
        <f t="shared" si="2"/>
        <v>44809</v>
      </c>
      <c r="E382" s="129">
        <f t="shared" si="3"/>
        <v>37</v>
      </c>
      <c r="F382" s="130" t="s">
        <v>24</v>
      </c>
      <c r="G382" s="131" t="s">
        <v>41</v>
      </c>
      <c r="H382" s="130" t="s">
        <v>121</v>
      </c>
      <c r="I382" s="132">
        <v>34780.0</v>
      </c>
      <c r="J382" s="133" t="s">
        <v>122</v>
      </c>
      <c r="K382" s="134" t="s">
        <v>362</v>
      </c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0" customHeight="1">
      <c r="A383" s="25"/>
      <c r="B383" s="126">
        <v>44839.0</v>
      </c>
      <c r="C383" s="127">
        <f t="shared" si="1"/>
        <v>44835</v>
      </c>
      <c r="D383" s="128">
        <f t="shared" si="2"/>
        <v>44839</v>
      </c>
      <c r="E383" s="129">
        <f t="shared" si="3"/>
        <v>41</v>
      </c>
      <c r="F383" s="130" t="s">
        <v>24</v>
      </c>
      <c r="G383" s="131" t="s">
        <v>41</v>
      </c>
      <c r="H383" s="130" t="s">
        <v>121</v>
      </c>
      <c r="I383" s="132">
        <v>34780.0</v>
      </c>
      <c r="J383" s="133" t="s">
        <v>122</v>
      </c>
      <c r="K383" s="134" t="s">
        <v>362</v>
      </c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0" customHeight="1">
      <c r="A384" s="25"/>
      <c r="B384" s="126">
        <v>44872.0</v>
      </c>
      <c r="C384" s="127">
        <f t="shared" si="1"/>
        <v>44866</v>
      </c>
      <c r="D384" s="128">
        <f t="shared" si="2"/>
        <v>44872</v>
      </c>
      <c r="E384" s="129">
        <f t="shared" si="3"/>
        <v>46</v>
      </c>
      <c r="F384" s="130" t="s">
        <v>24</v>
      </c>
      <c r="G384" s="131" t="s">
        <v>41</v>
      </c>
      <c r="H384" s="130" t="s">
        <v>121</v>
      </c>
      <c r="I384" s="132">
        <v>34780.0</v>
      </c>
      <c r="J384" s="133" t="s">
        <v>122</v>
      </c>
      <c r="K384" s="134" t="s">
        <v>362</v>
      </c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0" customHeight="1">
      <c r="A385" s="25"/>
      <c r="B385" s="126">
        <v>44900.0</v>
      </c>
      <c r="C385" s="127">
        <f t="shared" si="1"/>
        <v>44896</v>
      </c>
      <c r="D385" s="128">
        <f t="shared" si="2"/>
        <v>44900</v>
      </c>
      <c r="E385" s="129">
        <f t="shared" si="3"/>
        <v>50</v>
      </c>
      <c r="F385" s="130" t="s">
        <v>24</v>
      </c>
      <c r="G385" s="131" t="s">
        <v>41</v>
      </c>
      <c r="H385" s="130" t="s">
        <v>121</v>
      </c>
      <c r="I385" s="132">
        <v>34780.0</v>
      </c>
      <c r="J385" s="133" t="s">
        <v>122</v>
      </c>
      <c r="K385" s="134" t="s">
        <v>362</v>
      </c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0" customHeight="1">
      <c r="A386" s="25"/>
      <c r="B386" s="126">
        <v>44653.0</v>
      </c>
      <c r="C386" s="127">
        <f t="shared" si="1"/>
        <v>44652</v>
      </c>
      <c r="D386" s="128">
        <f t="shared" si="2"/>
        <v>44653</v>
      </c>
      <c r="E386" s="129">
        <f t="shared" si="3"/>
        <v>14</v>
      </c>
      <c r="F386" s="130" t="s">
        <v>26</v>
      </c>
      <c r="G386" s="131" t="s">
        <v>82</v>
      </c>
      <c r="H386" s="130" t="s">
        <v>124</v>
      </c>
      <c r="I386" s="132">
        <v>34340.0</v>
      </c>
      <c r="J386" s="133" t="s">
        <v>125</v>
      </c>
      <c r="K386" s="134" t="s">
        <v>363</v>
      </c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0" customHeight="1">
      <c r="A387" s="25"/>
      <c r="B387" s="126">
        <v>44651.0</v>
      </c>
      <c r="C387" s="127">
        <f t="shared" si="1"/>
        <v>44621</v>
      </c>
      <c r="D387" s="128">
        <f t="shared" si="2"/>
        <v>44651</v>
      </c>
      <c r="E387" s="129">
        <f t="shared" si="3"/>
        <v>14</v>
      </c>
      <c r="F387" s="130" t="s">
        <v>26</v>
      </c>
      <c r="G387" s="131" t="s">
        <v>76</v>
      </c>
      <c r="H387" s="130" t="s">
        <v>124</v>
      </c>
      <c r="I387" s="132">
        <v>34310.0</v>
      </c>
      <c r="J387" s="133" t="s">
        <v>125</v>
      </c>
      <c r="K387" s="134" t="s">
        <v>326</v>
      </c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0" customHeight="1">
      <c r="A388" s="25"/>
      <c r="B388" s="126">
        <v>44769.0</v>
      </c>
      <c r="C388" s="127">
        <f t="shared" si="1"/>
        <v>44743</v>
      </c>
      <c r="D388" s="128">
        <f t="shared" si="2"/>
        <v>44769</v>
      </c>
      <c r="E388" s="129">
        <f t="shared" si="3"/>
        <v>31</v>
      </c>
      <c r="F388" s="130" t="s">
        <v>128</v>
      </c>
      <c r="G388" s="131" t="s">
        <v>129</v>
      </c>
      <c r="H388" s="130" t="s">
        <v>124</v>
      </c>
      <c r="I388" s="132">
        <v>34276.0</v>
      </c>
      <c r="J388" s="133" t="s">
        <v>125</v>
      </c>
      <c r="K388" s="134" t="s">
        <v>364</v>
      </c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0" customHeight="1">
      <c r="A389" s="25"/>
      <c r="B389" s="126">
        <v>44730.0</v>
      </c>
      <c r="C389" s="127">
        <f t="shared" si="1"/>
        <v>44713</v>
      </c>
      <c r="D389" s="128">
        <f t="shared" si="2"/>
        <v>44730</v>
      </c>
      <c r="E389" s="129">
        <f t="shared" si="3"/>
        <v>25</v>
      </c>
      <c r="F389" s="130" t="s">
        <v>26</v>
      </c>
      <c r="G389" s="131" t="s">
        <v>76</v>
      </c>
      <c r="H389" s="130" t="s">
        <v>124</v>
      </c>
      <c r="I389" s="132">
        <v>34200.0</v>
      </c>
      <c r="J389" s="133" t="s">
        <v>122</v>
      </c>
      <c r="K389" s="134" t="s">
        <v>365</v>
      </c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0" customHeight="1">
      <c r="A390" s="25"/>
      <c r="B390" s="126">
        <v>44588.0</v>
      </c>
      <c r="C390" s="127">
        <f t="shared" si="1"/>
        <v>44562</v>
      </c>
      <c r="D390" s="128">
        <f t="shared" si="2"/>
        <v>44588</v>
      </c>
      <c r="E390" s="129">
        <f t="shared" si="3"/>
        <v>5</v>
      </c>
      <c r="F390" s="130" t="s">
        <v>26</v>
      </c>
      <c r="G390" s="131" t="s">
        <v>76</v>
      </c>
      <c r="H390" s="130" t="s">
        <v>124</v>
      </c>
      <c r="I390" s="132">
        <v>34140.0</v>
      </c>
      <c r="J390" s="133" t="s">
        <v>125</v>
      </c>
      <c r="K390" s="134" t="s">
        <v>326</v>
      </c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0" customHeight="1">
      <c r="A391" s="25"/>
      <c r="B391" s="126">
        <v>44796.0</v>
      </c>
      <c r="C391" s="127">
        <f t="shared" si="1"/>
        <v>44774</v>
      </c>
      <c r="D391" s="128">
        <f t="shared" si="2"/>
        <v>44796</v>
      </c>
      <c r="E391" s="129">
        <f t="shared" si="3"/>
        <v>35</v>
      </c>
      <c r="F391" s="130" t="s">
        <v>26</v>
      </c>
      <c r="G391" s="131" t="s">
        <v>73</v>
      </c>
      <c r="H391" s="130" t="s">
        <v>124</v>
      </c>
      <c r="I391" s="132">
        <v>34000.0</v>
      </c>
      <c r="J391" s="133" t="s">
        <v>122</v>
      </c>
      <c r="K391" s="134" t="s">
        <v>366</v>
      </c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0" customHeight="1">
      <c r="A392" s="25"/>
      <c r="B392" s="126">
        <v>44841.0</v>
      </c>
      <c r="C392" s="127">
        <f t="shared" si="1"/>
        <v>44835</v>
      </c>
      <c r="D392" s="128">
        <f t="shared" si="2"/>
        <v>44841</v>
      </c>
      <c r="E392" s="129">
        <f t="shared" si="3"/>
        <v>41</v>
      </c>
      <c r="F392" s="130" t="s">
        <v>26</v>
      </c>
      <c r="G392" s="131" t="s">
        <v>79</v>
      </c>
      <c r="H392" s="130" t="s">
        <v>124</v>
      </c>
      <c r="I392" s="132">
        <v>34000.0</v>
      </c>
      <c r="J392" s="133" t="s">
        <v>125</v>
      </c>
      <c r="K392" s="134" t="s">
        <v>367</v>
      </c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0" customHeight="1">
      <c r="A393" s="25"/>
      <c r="B393" s="126">
        <v>44664.0</v>
      </c>
      <c r="C393" s="127">
        <f t="shared" si="1"/>
        <v>44652</v>
      </c>
      <c r="D393" s="128">
        <f t="shared" si="2"/>
        <v>44664</v>
      </c>
      <c r="E393" s="129">
        <f t="shared" si="3"/>
        <v>16</v>
      </c>
      <c r="F393" s="130" t="s">
        <v>26</v>
      </c>
      <c r="G393" s="131" t="s">
        <v>82</v>
      </c>
      <c r="H393" s="130" t="s">
        <v>124</v>
      </c>
      <c r="I393" s="132">
        <v>33956.0</v>
      </c>
      <c r="J393" s="133" t="s">
        <v>125</v>
      </c>
      <c r="K393" s="134" t="s">
        <v>259</v>
      </c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0" customHeight="1">
      <c r="A394" s="25"/>
      <c r="B394" s="126">
        <v>44758.0</v>
      </c>
      <c r="C394" s="127">
        <f t="shared" si="1"/>
        <v>44743</v>
      </c>
      <c r="D394" s="128">
        <f t="shared" si="2"/>
        <v>44758</v>
      </c>
      <c r="E394" s="129">
        <f t="shared" si="3"/>
        <v>29</v>
      </c>
      <c r="F394" s="130" t="s">
        <v>24</v>
      </c>
      <c r="G394" s="131" t="s">
        <v>34</v>
      </c>
      <c r="H394" s="130" t="s">
        <v>124</v>
      </c>
      <c r="I394" s="132">
        <f>37520-3752</f>
        <v>33768</v>
      </c>
      <c r="J394" s="133" t="s">
        <v>125</v>
      </c>
      <c r="K394" s="134" t="s">
        <v>368</v>
      </c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0" customHeight="1">
      <c r="A395" s="25"/>
      <c r="B395" s="126">
        <v>44649.0</v>
      </c>
      <c r="C395" s="127">
        <f t="shared" si="1"/>
        <v>44621</v>
      </c>
      <c r="D395" s="128">
        <f t="shared" si="2"/>
        <v>44649</v>
      </c>
      <c r="E395" s="129">
        <f t="shared" si="3"/>
        <v>14</v>
      </c>
      <c r="F395" s="130" t="s">
        <v>26</v>
      </c>
      <c r="G395" s="131" t="s">
        <v>79</v>
      </c>
      <c r="H395" s="130" t="s">
        <v>121</v>
      </c>
      <c r="I395" s="132">
        <f>37500*0.9</f>
        <v>33750</v>
      </c>
      <c r="J395" s="133" t="s">
        <v>125</v>
      </c>
      <c r="K395" s="134" t="s">
        <v>369</v>
      </c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0" customHeight="1">
      <c r="A396" s="25"/>
      <c r="B396" s="126">
        <v>44579.0</v>
      </c>
      <c r="C396" s="127">
        <f t="shared" si="1"/>
        <v>44562</v>
      </c>
      <c r="D396" s="128">
        <f t="shared" si="2"/>
        <v>44579</v>
      </c>
      <c r="E396" s="129">
        <f t="shared" si="3"/>
        <v>4</v>
      </c>
      <c r="F396" s="130" t="s">
        <v>24</v>
      </c>
      <c r="G396" s="131" t="s">
        <v>29</v>
      </c>
      <c r="H396" s="130" t="s">
        <v>124</v>
      </c>
      <c r="I396" s="132">
        <f>40300-8060+1450-290</f>
        <v>33400</v>
      </c>
      <c r="J396" s="133" t="s">
        <v>122</v>
      </c>
      <c r="K396" s="134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0" customHeight="1">
      <c r="A397" s="25"/>
      <c r="B397" s="126">
        <v>44702.0</v>
      </c>
      <c r="C397" s="127">
        <f t="shared" si="1"/>
        <v>44682</v>
      </c>
      <c r="D397" s="128">
        <f t="shared" si="2"/>
        <v>44702</v>
      </c>
      <c r="E397" s="129">
        <f t="shared" si="3"/>
        <v>21</v>
      </c>
      <c r="F397" s="130" t="s">
        <v>26</v>
      </c>
      <c r="G397" s="131" t="s">
        <v>79</v>
      </c>
      <c r="H397" s="130" t="s">
        <v>121</v>
      </c>
      <c r="I397" s="132">
        <f>36900*0.9</f>
        <v>33210</v>
      </c>
      <c r="J397" s="133" t="s">
        <v>125</v>
      </c>
      <c r="K397" s="134" t="s">
        <v>370</v>
      </c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0" customHeight="1">
      <c r="A398" s="25"/>
      <c r="B398" s="126">
        <v>44723.0</v>
      </c>
      <c r="C398" s="127">
        <f t="shared" si="1"/>
        <v>44713</v>
      </c>
      <c r="D398" s="128">
        <f t="shared" si="2"/>
        <v>44723</v>
      </c>
      <c r="E398" s="129">
        <f t="shared" si="3"/>
        <v>24</v>
      </c>
      <c r="F398" s="130" t="s">
        <v>26</v>
      </c>
      <c r="G398" s="131" t="s">
        <v>82</v>
      </c>
      <c r="H398" s="130" t="s">
        <v>124</v>
      </c>
      <c r="I398" s="132">
        <v>33200.0</v>
      </c>
      <c r="J398" s="133" t="s">
        <v>122</v>
      </c>
      <c r="K398" s="134" t="s">
        <v>371</v>
      </c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0" customHeight="1">
      <c r="A399" s="25"/>
      <c r="B399" s="126">
        <v>44821.0</v>
      </c>
      <c r="C399" s="127">
        <f t="shared" si="1"/>
        <v>44805</v>
      </c>
      <c r="D399" s="128">
        <f t="shared" si="2"/>
        <v>44821</v>
      </c>
      <c r="E399" s="129">
        <f t="shared" si="3"/>
        <v>38</v>
      </c>
      <c r="F399" s="130" t="s">
        <v>26</v>
      </c>
      <c r="G399" s="131" t="s">
        <v>70</v>
      </c>
      <c r="H399" s="130" t="s">
        <v>124</v>
      </c>
      <c r="I399" s="132">
        <v>33080.0</v>
      </c>
      <c r="J399" s="133" t="s">
        <v>125</v>
      </c>
      <c r="K399" s="134" t="s">
        <v>372</v>
      </c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0" customHeight="1">
      <c r="A400" s="25"/>
      <c r="B400" s="126">
        <v>44734.0</v>
      </c>
      <c r="C400" s="127">
        <f t="shared" si="1"/>
        <v>44713</v>
      </c>
      <c r="D400" s="128">
        <f t="shared" si="2"/>
        <v>44734</v>
      </c>
      <c r="E400" s="129">
        <f t="shared" si="3"/>
        <v>26</v>
      </c>
      <c r="F400" s="130" t="s">
        <v>26</v>
      </c>
      <c r="G400" s="131" t="s">
        <v>76</v>
      </c>
      <c r="H400" s="130" t="s">
        <v>124</v>
      </c>
      <c r="I400" s="132">
        <v>33078.0</v>
      </c>
      <c r="J400" s="133" t="s">
        <v>125</v>
      </c>
      <c r="K400" s="134" t="s">
        <v>326</v>
      </c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0" customHeight="1">
      <c r="A401" s="25"/>
      <c r="B401" s="126">
        <v>44681.0</v>
      </c>
      <c r="C401" s="127">
        <f t="shared" si="1"/>
        <v>44652</v>
      </c>
      <c r="D401" s="128">
        <f t="shared" si="2"/>
        <v>44681</v>
      </c>
      <c r="E401" s="129">
        <f t="shared" si="3"/>
        <v>18</v>
      </c>
      <c r="F401" s="130" t="s">
        <v>26</v>
      </c>
      <c r="G401" s="131" t="s">
        <v>73</v>
      </c>
      <c r="H401" s="130" t="s">
        <v>124</v>
      </c>
      <c r="I401" s="132">
        <f>13000+20000</f>
        <v>33000</v>
      </c>
      <c r="J401" s="133" t="s">
        <v>125</v>
      </c>
      <c r="K401" s="134" t="s">
        <v>373</v>
      </c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0" customHeight="1">
      <c r="A402" s="25"/>
      <c r="B402" s="126">
        <v>44917.0</v>
      </c>
      <c r="C402" s="127">
        <f t="shared" si="1"/>
        <v>44896</v>
      </c>
      <c r="D402" s="128">
        <f t="shared" si="2"/>
        <v>44917</v>
      </c>
      <c r="E402" s="129">
        <f t="shared" si="3"/>
        <v>52</v>
      </c>
      <c r="F402" s="130" t="s">
        <v>26</v>
      </c>
      <c r="G402" s="131" t="s">
        <v>79</v>
      </c>
      <c r="H402" s="130" t="s">
        <v>124</v>
      </c>
      <c r="I402" s="132">
        <v>33000.0</v>
      </c>
      <c r="J402" s="133" t="s">
        <v>125</v>
      </c>
      <c r="K402" s="134" t="s">
        <v>374</v>
      </c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0" customHeight="1">
      <c r="A403" s="25"/>
      <c r="B403" s="126">
        <v>44599.0</v>
      </c>
      <c r="C403" s="127">
        <f t="shared" si="1"/>
        <v>44593</v>
      </c>
      <c r="D403" s="128">
        <f t="shared" si="2"/>
        <v>44599</v>
      </c>
      <c r="E403" s="129">
        <f t="shared" si="3"/>
        <v>7</v>
      </c>
      <c r="F403" s="130" t="s">
        <v>24</v>
      </c>
      <c r="G403" s="131" t="s">
        <v>34</v>
      </c>
      <c r="H403" s="130" t="s">
        <v>124</v>
      </c>
      <c r="I403" s="132">
        <v>32900.0</v>
      </c>
      <c r="J403" s="133" t="s">
        <v>122</v>
      </c>
      <c r="K403" s="134" t="s">
        <v>375</v>
      </c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0" customHeight="1">
      <c r="A404" s="25"/>
      <c r="B404" s="126">
        <v>44693.0</v>
      </c>
      <c r="C404" s="127">
        <f t="shared" si="1"/>
        <v>44682</v>
      </c>
      <c r="D404" s="128">
        <f t="shared" si="2"/>
        <v>44693</v>
      </c>
      <c r="E404" s="129">
        <f t="shared" si="3"/>
        <v>20</v>
      </c>
      <c r="F404" s="130" t="s">
        <v>26</v>
      </c>
      <c r="G404" s="131" t="s">
        <v>76</v>
      </c>
      <c r="H404" s="130" t="s">
        <v>124</v>
      </c>
      <c r="I404" s="132">
        <v>32875.0</v>
      </c>
      <c r="J404" s="133" t="s">
        <v>125</v>
      </c>
      <c r="K404" s="134" t="s">
        <v>326</v>
      </c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0" customHeight="1">
      <c r="A405" s="25"/>
      <c r="B405" s="126">
        <v>44912.0</v>
      </c>
      <c r="C405" s="127">
        <f t="shared" si="1"/>
        <v>44896</v>
      </c>
      <c r="D405" s="128">
        <f t="shared" si="2"/>
        <v>44912</v>
      </c>
      <c r="E405" s="129">
        <f t="shared" si="3"/>
        <v>51</v>
      </c>
      <c r="F405" s="130" t="s">
        <v>26</v>
      </c>
      <c r="G405" s="131" t="s">
        <v>79</v>
      </c>
      <c r="H405" s="130" t="s">
        <v>121</v>
      </c>
      <c r="I405" s="132">
        <f>36500*0.9</f>
        <v>32850</v>
      </c>
      <c r="J405" s="133" t="s">
        <v>125</v>
      </c>
      <c r="K405" s="134" t="s">
        <v>376</v>
      </c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0" customHeight="1">
      <c r="A406" s="25"/>
      <c r="B406" s="126">
        <v>44883.0</v>
      </c>
      <c r="C406" s="127">
        <f t="shared" si="1"/>
        <v>44866</v>
      </c>
      <c r="D406" s="128">
        <f t="shared" si="2"/>
        <v>44883</v>
      </c>
      <c r="E406" s="129">
        <f t="shared" si="3"/>
        <v>47</v>
      </c>
      <c r="F406" s="130" t="s">
        <v>24</v>
      </c>
      <c r="G406" s="131" t="s">
        <v>29</v>
      </c>
      <c r="H406" s="130" t="s">
        <v>124</v>
      </c>
      <c r="I406" s="132">
        <f>38400-7680+2650-530</f>
        <v>32840</v>
      </c>
      <c r="J406" s="133" t="s">
        <v>122</v>
      </c>
      <c r="K406" s="134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0" customHeight="1">
      <c r="A407" s="25"/>
      <c r="B407" s="126">
        <v>44605.0</v>
      </c>
      <c r="C407" s="127">
        <f t="shared" si="1"/>
        <v>44593</v>
      </c>
      <c r="D407" s="128">
        <f t="shared" si="2"/>
        <v>44605</v>
      </c>
      <c r="E407" s="129">
        <f t="shared" si="3"/>
        <v>8</v>
      </c>
      <c r="F407" s="130" t="s">
        <v>26</v>
      </c>
      <c r="G407" s="131" t="s">
        <v>79</v>
      </c>
      <c r="H407" s="130" t="s">
        <v>121</v>
      </c>
      <c r="I407" s="132">
        <f>36300*0.9</f>
        <v>32670</v>
      </c>
      <c r="J407" s="133" t="s">
        <v>125</v>
      </c>
      <c r="K407" s="134" t="s">
        <v>377</v>
      </c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0" customHeight="1">
      <c r="A408" s="25"/>
      <c r="B408" s="126">
        <v>44908.0</v>
      </c>
      <c r="C408" s="127">
        <f t="shared" si="1"/>
        <v>44896</v>
      </c>
      <c r="D408" s="128">
        <f t="shared" si="2"/>
        <v>44908</v>
      </c>
      <c r="E408" s="129">
        <f t="shared" si="3"/>
        <v>51</v>
      </c>
      <c r="F408" s="130" t="s">
        <v>26</v>
      </c>
      <c r="G408" s="131" t="s">
        <v>79</v>
      </c>
      <c r="H408" s="130" t="s">
        <v>121</v>
      </c>
      <c r="I408" s="132">
        <f>36000*0.9</f>
        <v>32400</v>
      </c>
      <c r="J408" s="133" t="s">
        <v>125</v>
      </c>
      <c r="K408" s="134" t="s">
        <v>378</v>
      </c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0" customHeight="1">
      <c r="A409" s="25"/>
      <c r="B409" s="126">
        <v>44729.0</v>
      </c>
      <c r="C409" s="127">
        <f t="shared" si="1"/>
        <v>44713</v>
      </c>
      <c r="D409" s="128">
        <f t="shared" si="2"/>
        <v>44729</v>
      </c>
      <c r="E409" s="129">
        <f t="shared" si="3"/>
        <v>25</v>
      </c>
      <c r="F409" s="130" t="s">
        <v>26</v>
      </c>
      <c r="G409" s="131" t="s">
        <v>76</v>
      </c>
      <c r="H409" s="130" t="s">
        <v>124</v>
      </c>
      <c r="I409" s="132">
        <v>32280.0</v>
      </c>
      <c r="J409" s="133" t="s">
        <v>125</v>
      </c>
      <c r="K409" s="134" t="s">
        <v>167</v>
      </c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0" customHeight="1">
      <c r="A410" s="25"/>
      <c r="B410" s="126">
        <v>44734.0</v>
      </c>
      <c r="C410" s="127">
        <f t="shared" si="1"/>
        <v>44713</v>
      </c>
      <c r="D410" s="128">
        <f t="shared" si="2"/>
        <v>44734</v>
      </c>
      <c r="E410" s="129">
        <f t="shared" si="3"/>
        <v>26</v>
      </c>
      <c r="F410" s="130" t="s">
        <v>26</v>
      </c>
      <c r="G410" s="131" t="s">
        <v>70</v>
      </c>
      <c r="H410" s="130" t="s">
        <v>124</v>
      </c>
      <c r="I410" s="132">
        <v>32200.0</v>
      </c>
      <c r="J410" s="133" t="s">
        <v>122</v>
      </c>
      <c r="K410" s="134" t="s">
        <v>379</v>
      </c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0" customHeight="1">
      <c r="A411" s="25"/>
      <c r="B411" s="126">
        <v>44564.0</v>
      </c>
      <c r="C411" s="127">
        <f t="shared" si="1"/>
        <v>44562</v>
      </c>
      <c r="D411" s="128">
        <f t="shared" si="2"/>
        <v>44564</v>
      </c>
      <c r="E411" s="129">
        <f t="shared" si="3"/>
        <v>2</v>
      </c>
      <c r="F411" s="130" t="s">
        <v>24</v>
      </c>
      <c r="G411" s="131" t="s">
        <v>54</v>
      </c>
      <c r="H411" s="130" t="s">
        <v>124</v>
      </c>
      <c r="I411" s="132">
        <v>32100.0</v>
      </c>
      <c r="J411" s="133" t="s">
        <v>122</v>
      </c>
      <c r="K411" s="134" t="s">
        <v>380</v>
      </c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0" customHeight="1">
      <c r="A412" s="25"/>
      <c r="B412" s="126">
        <v>44615.0</v>
      </c>
      <c r="C412" s="127">
        <f t="shared" si="1"/>
        <v>44593</v>
      </c>
      <c r="D412" s="128">
        <f t="shared" si="2"/>
        <v>44615</v>
      </c>
      <c r="E412" s="129">
        <f t="shared" si="3"/>
        <v>9</v>
      </c>
      <c r="F412" s="130" t="s">
        <v>24</v>
      </c>
      <c r="G412" s="131" t="s">
        <v>61</v>
      </c>
      <c r="H412" s="130" t="s">
        <v>124</v>
      </c>
      <c r="I412" s="132">
        <f>19100+13000</f>
        <v>32100</v>
      </c>
      <c r="J412" s="133" t="s">
        <v>122</v>
      </c>
      <c r="K412" s="134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0" customHeight="1">
      <c r="A413" s="25"/>
      <c r="B413" s="126">
        <v>44820.0</v>
      </c>
      <c r="C413" s="127">
        <f t="shared" si="1"/>
        <v>44805</v>
      </c>
      <c r="D413" s="128">
        <f t="shared" si="2"/>
        <v>44820</v>
      </c>
      <c r="E413" s="129">
        <f t="shared" si="3"/>
        <v>38</v>
      </c>
      <c r="F413" s="130" t="s">
        <v>26</v>
      </c>
      <c r="G413" s="131" t="s">
        <v>76</v>
      </c>
      <c r="H413" s="130" t="s">
        <v>124</v>
      </c>
      <c r="I413" s="132">
        <v>32080.0</v>
      </c>
      <c r="J413" s="133" t="s">
        <v>125</v>
      </c>
      <c r="K413" s="134" t="s">
        <v>167</v>
      </c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0" customHeight="1">
      <c r="A414" s="25"/>
      <c r="B414" s="126">
        <v>44583.0</v>
      </c>
      <c r="C414" s="127">
        <f t="shared" si="1"/>
        <v>44562</v>
      </c>
      <c r="D414" s="128">
        <f t="shared" si="2"/>
        <v>44583</v>
      </c>
      <c r="E414" s="129">
        <f t="shared" si="3"/>
        <v>4</v>
      </c>
      <c r="F414" s="130" t="s">
        <v>26</v>
      </c>
      <c r="G414" s="131" t="s">
        <v>79</v>
      </c>
      <c r="H414" s="130" t="s">
        <v>124</v>
      </c>
      <c r="I414" s="132">
        <v>32000.0</v>
      </c>
      <c r="J414" s="133" t="s">
        <v>122</v>
      </c>
      <c r="K414" s="134" t="s">
        <v>381</v>
      </c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0" customHeight="1">
      <c r="A415" s="25"/>
      <c r="B415" s="126">
        <v>44724.0</v>
      </c>
      <c r="C415" s="127">
        <f t="shared" si="1"/>
        <v>44713</v>
      </c>
      <c r="D415" s="128">
        <f t="shared" si="2"/>
        <v>44724</v>
      </c>
      <c r="E415" s="129">
        <f t="shared" si="3"/>
        <v>25</v>
      </c>
      <c r="F415" s="130" t="s">
        <v>26</v>
      </c>
      <c r="G415" s="131" t="s">
        <v>79</v>
      </c>
      <c r="H415" s="130" t="s">
        <v>124</v>
      </c>
      <c r="I415" s="132">
        <v>32000.0</v>
      </c>
      <c r="J415" s="133" t="s">
        <v>125</v>
      </c>
      <c r="K415" s="134" t="s">
        <v>382</v>
      </c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0" customHeight="1">
      <c r="A416" s="25"/>
      <c r="B416" s="126">
        <v>44800.0</v>
      </c>
      <c r="C416" s="127">
        <f t="shared" si="1"/>
        <v>44774</v>
      </c>
      <c r="D416" s="128">
        <f t="shared" si="2"/>
        <v>44800</v>
      </c>
      <c r="E416" s="129">
        <f t="shared" si="3"/>
        <v>35</v>
      </c>
      <c r="F416" s="130" t="s">
        <v>26</v>
      </c>
      <c r="G416" s="131" t="s">
        <v>73</v>
      </c>
      <c r="H416" s="130" t="s">
        <v>124</v>
      </c>
      <c r="I416" s="132">
        <v>32000.0</v>
      </c>
      <c r="J416" s="133" t="s">
        <v>122</v>
      </c>
      <c r="K416" s="134" t="s">
        <v>383</v>
      </c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0" customHeight="1">
      <c r="A417" s="25"/>
      <c r="B417" s="126">
        <v>44791.0</v>
      </c>
      <c r="C417" s="127">
        <f t="shared" si="1"/>
        <v>44774</v>
      </c>
      <c r="D417" s="128">
        <f t="shared" si="2"/>
        <v>44791</v>
      </c>
      <c r="E417" s="129">
        <f t="shared" si="3"/>
        <v>34</v>
      </c>
      <c r="F417" s="130" t="s">
        <v>24</v>
      </c>
      <c r="G417" s="131" t="s">
        <v>29</v>
      </c>
      <c r="H417" s="130" t="s">
        <v>124</v>
      </c>
      <c r="I417" s="132">
        <f>1800+38100-7620-360</f>
        <v>31920</v>
      </c>
      <c r="J417" s="133" t="s">
        <v>122</v>
      </c>
      <c r="K417" s="134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0" customHeight="1">
      <c r="A418" s="25"/>
      <c r="B418" s="126">
        <v>44875.0</v>
      </c>
      <c r="C418" s="127">
        <f t="shared" si="1"/>
        <v>44866</v>
      </c>
      <c r="D418" s="128">
        <f t="shared" si="2"/>
        <v>44875</v>
      </c>
      <c r="E418" s="129">
        <f t="shared" si="3"/>
        <v>46</v>
      </c>
      <c r="F418" s="130" t="s">
        <v>26</v>
      </c>
      <c r="G418" s="131" t="s">
        <v>76</v>
      </c>
      <c r="H418" s="130" t="s">
        <v>124</v>
      </c>
      <c r="I418" s="132">
        <v>31820.0</v>
      </c>
      <c r="J418" s="133" t="s">
        <v>122</v>
      </c>
      <c r="K418" s="134" t="s">
        <v>326</v>
      </c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0" customHeight="1">
      <c r="A419" s="25"/>
      <c r="B419" s="126">
        <v>44736.0</v>
      </c>
      <c r="C419" s="127">
        <f t="shared" si="1"/>
        <v>44713</v>
      </c>
      <c r="D419" s="128">
        <f t="shared" si="2"/>
        <v>44736</v>
      </c>
      <c r="E419" s="129">
        <f t="shared" si="3"/>
        <v>26</v>
      </c>
      <c r="F419" s="130" t="s">
        <v>26</v>
      </c>
      <c r="G419" s="131" t="s">
        <v>76</v>
      </c>
      <c r="H419" s="130" t="s">
        <v>124</v>
      </c>
      <c r="I419" s="132">
        <v>31621.0</v>
      </c>
      <c r="J419" s="133" t="s">
        <v>125</v>
      </c>
      <c r="K419" s="134" t="s">
        <v>291</v>
      </c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0" customHeight="1">
      <c r="A420" s="25"/>
      <c r="B420" s="126">
        <v>44790.0</v>
      </c>
      <c r="C420" s="127">
        <f t="shared" si="1"/>
        <v>44774</v>
      </c>
      <c r="D420" s="128">
        <f t="shared" si="2"/>
        <v>44790</v>
      </c>
      <c r="E420" s="129">
        <f t="shared" si="3"/>
        <v>34</v>
      </c>
      <c r="F420" s="130" t="s">
        <v>26</v>
      </c>
      <c r="G420" s="131" t="s">
        <v>76</v>
      </c>
      <c r="H420" s="130" t="s">
        <v>124</v>
      </c>
      <c r="I420" s="132">
        <v>31520.0</v>
      </c>
      <c r="J420" s="133" t="s">
        <v>125</v>
      </c>
      <c r="K420" s="134" t="s">
        <v>384</v>
      </c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0" customHeight="1">
      <c r="A421" s="25"/>
      <c r="B421" s="126">
        <v>44816.0</v>
      </c>
      <c r="C421" s="127">
        <f t="shared" si="1"/>
        <v>44805</v>
      </c>
      <c r="D421" s="128">
        <f t="shared" si="2"/>
        <v>44816</v>
      </c>
      <c r="E421" s="129">
        <f t="shared" si="3"/>
        <v>38</v>
      </c>
      <c r="F421" s="130" t="s">
        <v>26</v>
      </c>
      <c r="G421" s="131" t="s">
        <v>79</v>
      </c>
      <c r="H421" s="130" t="s">
        <v>121</v>
      </c>
      <c r="I421" s="132">
        <f>35000-3500</f>
        <v>31500</v>
      </c>
      <c r="J421" s="133" t="s">
        <v>125</v>
      </c>
      <c r="K421" s="134" t="s">
        <v>347</v>
      </c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0" customHeight="1">
      <c r="A422" s="25"/>
      <c r="B422" s="126">
        <v>44576.0</v>
      </c>
      <c r="C422" s="127">
        <f t="shared" si="1"/>
        <v>44562</v>
      </c>
      <c r="D422" s="128">
        <f t="shared" si="2"/>
        <v>44576</v>
      </c>
      <c r="E422" s="129">
        <f t="shared" si="3"/>
        <v>3</v>
      </c>
      <c r="F422" s="130" t="s">
        <v>24</v>
      </c>
      <c r="G422" s="131" t="s">
        <v>52</v>
      </c>
      <c r="H422" s="130" t="s">
        <v>124</v>
      </c>
      <c r="I422" s="132">
        <v>31390.0</v>
      </c>
      <c r="J422" s="133" t="s">
        <v>122</v>
      </c>
      <c r="K422" s="134" t="s">
        <v>385</v>
      </c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0" customHeight="1">
      <c r="A423" s="25"/>
      <c r="B423" s="126">
        <v>44834.0</v>
      </c>
      <c r="C423" s="127">
        <f t="shared" si="1"/>
        <v>44805</v>
      </c>
      <c r="D423" s="128">
        <f t="shared" si="2"/>
        <v>44834</v>
      </c>
      <c r="E423" s="129">
        <f t="shared" si="3"/>
        <v>40</v>
      </c>
      <c r="F423" s="130" t="s">
        <v>24</v>
      </c>
      <c r="G423" s="131" t="s">
        <v>29</v>
      </c>
      <c r="H423" s="130" t="s">
        <v>124</v>
      </c>
      <c r="I423" s="132">
        <f>12000-2400+27200-5440</f>
        <v>31360</v>
      </c>
      <c r="J423" s="133" t="s">
        <v>125</v>
      </c>
      <c r="K423" s="134" t="s">
        <v>29</v>
      </c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0" customHeight="1">
      <c r="A424" s="25"/>
      <c r="B424" s="126">
        <v>44660.0</v>
      </c>
      <c r="C424" s="127">
        <f t="shared" si="1"/>
        <v>44652</v>
      </c>
      <c r="D424" s="128">
        <f t="shared" si="2"/>
        <v>44660</v>
      </c>
      <c r="E424" s="129">
        <f t="shared" si="3"/>
        <v>15</v>
      </c>
      <c r="F424" s="130" t="s">
        <v>26</v>
      </c>
      <c r="G424" s="131" t="s">
        <v>79</v>
      </c>
      <c r="H424" s="130" t="s">
        <v>124</v>
      </c>
      <c r="I424" s="132">
        <f>31300*0.9+3500*0.9</f>
        <v>31320</v>
      </c>
      <c r="J424" s="133" t="s">
        <v>125</v>
      </c>
      <c r="K424" s="134" t="s">
        <v>386</v>
      </c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0" customHeight="1">
      <c r="A425" s="25"/>
      <c r="B425" s="126">
        <v>44702.0</v>
      </c>
      <c r="C425" s="127">
        <f t="shared" si="1"/>
        <v>44682</v>
      </c>
      <c r="D425" s="128">
        <f t="shared" si="2"/>
        <v>44702</v>
      </c>
      <c r="E425" s="129">
        <f t="shared" si="3"/>
        <v>21</v>
      </c>
      <c r="F425" s="130" t="s">
        <v>26</v>
      </c>
      <c r="G425" s="131" t="s">
        <v>76</v>
      </c>
      <c r="H425" s="130" t="s">
        <v>124</v>
      </c>
      <c r="I425" s="132">
        <v>31200.0</v>
      </c>
      <c r="J425" s="133" t="s">
        <v>122</v>
      </c>
      <c r="K425" s="134" t="s">
        <v>341</v>
      </c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0" customHeight="1">
      <c r="A426" s="25"/>
      <c r="B426" s="126">
        <v>44836.0</v>
      </c>
      <c r="C426" s="127">
        <f t="shared" si="1"/>
        <v>44835</v>
      </c>
      <c r="D426" s="128">
        <f t="shared" si="2"/>
        <v>44836</v>
      </c>
      <c r="E426" s="129">
        <f t="shared" si="3"/>
        <v>41</v>
      </c>
      <c r="F426" s="130" t="s">
        <v>24</v>
      </c>
      <c r="G426" s="131" t="s">
        <v>54</v>
      </c>
      <c r="H426" s="130" t="s">
        <v>124</v>
      </c>
      <c r="I426" s="132">
        <v>31172.0</v>
      </c>
      <c r="J426" s="133" t="s">
        <v>122</v>
      </c>
      <c r="K426" s="134" t="s">
        <v>387</v>
      </c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0" customHeight="1">
      <c r="A427" s="25"/>
      <c r="B427" s="126">
        <v>44626.0</v>
      </c>
      <c r="C427" s="127">
        <f t="shared" si="1"/>
        <v>44621</v>
      </c>
      <c r="D427" s="128">
        <f t="shared" si="2"/>
        <v>44626</v>
      </c>
      <c r="E427" s="129">
        <f t="shared" si="3"/>
        <v>11</v>
      </c>
      <c r="F427" s="130" t="s">
        <v>26</v>
      </c>
      <c r="G427" s="131" t="s">
        <v>70</v>
      </c>
      <c r="H427" s="130" t="s">
        <v>124</v>
      </c>
      <c r="I427" s="132">
        <f>34590-3459</f>
        <v>31131</v>
      </c>
      <c r="J427" s="133" t="s">
        <v>125</v>
      </c>
      <c r="K427" s="134" t="s">
        <v>388</v>
      </c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0" customHeight="1">
      <c r="A428" s="25"/>
      <c r="B428" s="126">
        <v>44870.0</v>
      </c>
      <c r="C428" s="127">
        <f t="shared" si="1"/>
        <v>44866</v>
      </c>
      <c r="D428" s="128">
        <f t="shared" si="2"/>
        <v>44870</v>
      </c>
      <c r="E428" s="129">
        <f t="shared" si="3"/>
        <v>45</v>
      </c>
      <c r="F428" s="130" t="s">
        <v>26</v>
      </c>
      <c r="G428" s="131" t="s">
        <v>70</v>
      </c>
      <c r="H428" s="130" t="s">
        <v>124</v>
      </c>
      <c r="I428" s="132">
        <v>31080.0</v>
      </c>
      <c r="J428" s="133" t="s">
        <v>122</v>
      </c>
      <c r="K428" s="134" t="s">
        <v>389</v>
      </c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0" customHeight="1">
      <c r="A429" s="25"/>
      <c r="B429" s="126">
        <v>44686.0</v>
      </c>
      <c r="C429" s="127">
        <f t="shared" si="1"/>
        <v>44682</v>
      </c>
      <c r="D429" s="128">
        <f t="shared" si="2"/>
        <v>44686</v>
      </c>
      <c r="E429" s="129">
        <f t="shared" si="3"/>
        <v>19</v>
      </c>
      <c r="F429" s="130" t="s">
        <v>24</v>
      </c>
      <c r="G429" s="131" t="s">
        <v>34</v>
      </c>
      <c r="H429" s="130" t="s">
        <v>124</v>
      </c>
      <c r="I429" s="132">
        <v>31000.0</v>
      </c>
      <c r="J429" s="133" t="s">
        <v>122</v>
      </c>
      <c r="K429" s="134" t="s">
        <v>390</v>
      </c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0" customHeight="1">
      <c r="A430" s="25"/>
      <c r="B430" s="126">
        <v>44765.0</v>
      </c>
      <c r="C430" s="127">
        <f t="shared" si="1"/>
        <v>44743</v>
      </c>
      <c r="D430" s="128">
        <f t="shared" si="2"/>
        <v>44765</v>
      </c>
      <c r="E430" s="129">
        <f t="shared" si="3"/>
        <v>30</v>
      </c>
      <c r="F430" s="130" t="s">
        <v>26</v>
      </c>
      <c r="G430" s="131" t="s">
        <v>79</v>
      </c>
      <c r="H430" s="130" t="s">
        <v>124</v>
      </c>
      <c r="I430" s="132">
        <v>31000.0</v>
      </c>
      <c r="J430" s="133" t="s">
        <v>122</v>
      </c>
      <c r="K430" s="134" t="s">
        <v>391</v>
      </c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0" customHeight="1">
      <c r="A431" s="25"/>
      <c r="B431" s="126">
        <v>44819.0</v>
      </c>
      <c r="C431" s="127">
        <f t="shared" si="1"/>
        <v>44805</v>
      </c>
      <c r="D431" s="128">
        <f t="shared" si="2"/>
        <v>44819</v>
      </c>
      <c r="E431" s="129">
        <f t="shared" si="3"/>
        <v>38</v>
      </c>
      <c r="F431" s="130" t="s">
        <v>26</v>
      </c>
      <c r="G431" s="131" t="s">
        <v>79</v>
      </c>
      <c r="H431" s="130" t="s">
        <v>124</v>
      </c>
      <c r="I431" s="132">
        <v>31000.0</v>
      </c>
      <c r="J431" s="133" t="s">
        <v>122</v>
      </c>
      <c r="K431" s="134" t="s">
        <v>392</v>
      </c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0" customHeight="1">
      <c r="A432" s="25"/>
      <c r="B432" s="126">
        <v>44766.0</v>
      </c>
      <c r="C432" s="127">
        <f t="shared" si="1"/>
        <v>44743</v>
      </c>
      <c r="D432" s="128">
        <f t="shared" si="2"/>
        <v>44766</v>
      </c>
      <c r="E432" s="129">
        <f t="shared" si="3"/>
        <v>31</v>
      </c>
      <c r="F432" s="130" t="s">
        <v>26</v>
      </c>
      <c r="G432" s="131" t="s">
        <v>70</v>
      </c>
      <c r="H432" s="130" t="s">
        <v>124</v>
      </c>
      <c r="I432" s="132">
        <v>30964.0</v>
      </c>
      <c r="J432" s="133" t="s">
        <v>125</v>
      </c>
      <c r="K432" s="134" t="s">
        <v>393</v>
      </c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0" customHeight="1">
      <c r="A433" s="25"/>
      <c r="B433" s="126">
        <v>44652.0</v>
      </c>
      <c r="C433" s="127">
        <f t="shared" si="1"/>
        <v>44652</v>
      </c>
      <c r="D433" s="128">
        <f t="shared" si="2"/>
        <v>44652</v>
      </c>
      <c r="E433" s="129">
        <f t="shared" si="3"/>
        <v>14</v>
      </c>
      <c r="F433" s="130" t="s">
        <v>26</v>
      </c>
      <c r="G433" s="131" t="s">
        <v>79</v>
      </c>
      <c r="H433" s="130" t="s">
        <v>121</v>
      </c>
      <c r="I433" s="132">
        <f>34000*0.9</f>
        <v>30600</v>
      </c>
      <c r="J433" s="133" t="s">
        <v>125</v>
      </c>
      <c r="K433" s="134" t="s">
        <v>394</v>
      </c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0" customHeight="1">
      <c r="A434" s="25"/>
      <c r="B434" s="126">
        <v>44668.0</v>
      </c>
      <c r="C434" s="127">
        <f t="shared" si="1"/>
        <v>44652</v>
      </c>
      <c r="D434" s="128">
        <f t="shared" si="2"/>
        <v>44668</v>
      </c>
      <c r="E434" s="129">
        <f t="shared" si="3"/>
        <v>17</v>
      </c>
      <c r="F434" s="130" t="s">
        <v>26</v>
      </c>
      <c r="G434" s="131" t="s">
        <v>79</v>
      </c>
      <c r="H434" s="130" t="s">
        <v>124</v>
      </c>
      <c r="I434" s="132">
        <f>25000+5500</f>
        <v>30500</v>
      </c>
      <c r="J434" s="133" t="s">
        <v>122</v>
      </c>
      <c r="K434" s="134" t="s">
        <v>395</v>
      </c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0" customHeight="1">
      <c r="A435" s="25"/>
      <c r="B435" s="126">
        <v>44803.0</v>
      </c>
      <c r="C435" s="127">
        <f t="shared" si="1"/>
        <v>44774</v>
      </c>
      <c r="D435" s="128">
        <f t="shared" si="2"/>
        <v>44803</v>
      </c>
      <c r="E435" s="129">
        <f t="shared" si="3"/>
        <v>36</v>
      </c>
      <c r="F435" s="130" t="s">
        <v>26</v>
      </c>
      <c r="G435" s="131" t="s">
        <v>70</v>
      </c>
      <c r="H435" s="130" t="s">
        <v>124</v>
      </c>
      <c r="I435" s="132">
        <v>30463.0</v>
      </c>
      <c r="J435" s="133" t="s">
        <v>125</v>
      </c>
      <c r="K435" s="134" t="s">
        <v>396</v>
      </c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0" customHeight="1">
      <c r="A436" s="25"/>
      <c r="B436" s="126">
        <v>44779.0</v>
      </c>
      <c r="C436" s="127">
        <f t="shared" si="1"/>
        <v>44774</v>
      </c>
      <c r="D436" s="128">
        <f t="shared" si="2"/>
        <v>44779</v>
      </c>
      <c r="E436" s="129">
        <f t="shared" si="3"/>
        <v>32</v>
      </c>
      <c r="F436" s="130" t="s">
        <v>24</v>
      </c>
      <c r="G436" s="131" t="s">
        <v>52</v>
      </c>
      <c r="H436" s="130" t="s">
        <v>124</v>
      </c>
      <c r="I436" s="132">
        <v>30300.0</v>
      </c>
      <c r="J436" s="133" t="s">
        <v>125</v>
      </c>
      <c r="K436" s="134" t="s">
        <v>397</v>
      </c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0" customHeight="1">
      <c r="A437" s="25"/>
      <c r="B437" s="126">
        <v>44807.0</v>
      </c>
      <c r="C437" s="127">
        <f t="shared" si="1"/>
        <v>44805</v>
      </c>
      <c r="D437" s="128">
        <f t="shared" si="2"/>
        <v>44807</v>
      </c>
      <c r="E437" s="129">
        <f t="shared" si="3"/>
        <v>36</v>
      </c>
      <c r="F437" s="130" t="s">
        <v>26</v>
      </c>
      <c r="G437" s="131" t="s">
        <v>79</v>
      </c>
      <c r="H437" s="130" t="s">
        <v>121</v>
      </c>
      <c r="I437" s="132">
        <f>33500*0.9</f>
        <v>30150</v>
      </c>
      <c r="J437" s="133" t="s">
        <v>125</v>
      </c>
      <c r="K437" s="134" t="s">
        <v>398</v>
      </c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0" customHeight="1">
      <c r="A438" s="25"/>
      <c r="B438" s="126">
        <v>44617.0</v>
      </c>
      <c r="C438" s="127">
        <f t="shared" si="1"/>
        <v>44593</v>
      </c>
      <c r="D438" s="128">
        <f t="shared" si="2"/>
        <v>44617</v>
      </c>
      <c r="E438" s="129">
        <f t="shared" si="3"/>
        <v>9</v>
      </c>
      <c r="F438" s="130" t="s">
        <v>128</v>
      </c>
      <c r="G438" s="131" t="s">
        <v>172</v>
      </c>
      <c r="H438" s="130" t="s">
        <v>124</v>
      </c>
      <c r="I438" s="132">
        <v>30000.0</v>
      </c>
      <c r="J438" s="133" t="s">
        <v>125</v>
      </c>
      <c r="K438" s="134" t="s">
        <v>399</v>
      </c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0" customHeight="1">
      <c r="A439" s="25"/>
      <c r="B439" s="126">
        <v>44718.0</v>
      </c>
      <c r="C439" s="127">
        <f t="shared" si="1"/>
        <v>44713</v>
      </c>
      <c r="D439" s="128">
        <f t="shared" si="2"/>
        <v>44718</v>
      </c>
      <c r="E439" s="129">
        <f t="shared" si="3"/>
        <v>24</v>
      </c>
      <c r="F439" s="130" t="s">
        <v>26</v>
      </c>
      <c r="G439" s="131" t="s">
        <v>79</v>
      </c>
      <c r="H439" s="130" t="s">
        <v>124</v>
      </c>
      <c r="I439" s="132">
        <v>30000.0</v>
      </c>
      <c r="J439" s="133" t="s">
        <v>122</v>
      </c>
      <c r="K439" s="134" t="s">
        <v>400</v>
      </c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0" customHeight="1">
      <c r="A440" s="25"/>
      <c r="B440" s="126">
        <v>44869.0</v>
      </c>
      <c r="C440" s="127">
        <f t="shared" si="1"/>
        <v>44866</v>
      </c>
      <c r="D440" s="128">
        <f t="shared" si="2"/>
        <v>44869</v>
      </c>
      <c r="E440" s="129">
        <f t="shared" si="3"/>
        <v>45</v>
      </c>
      <c r="F440" s="130" t="s">
        <v>26</v>
      </c>
      <c r="G440" s="131" t="s">
        <v>79</v>
      </c>
      <c r="H440" s="130" t="s">
        <v>124</v>
      </c>
      <c r="I440" s="132">
        <v>30000.0</v>
      </c>
      <c r="J440" s="133" t="s">
        <v>125</v>
      </c>
      <c r="K440" s="134" t="s">
        <v>401</v>
      </c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0" customHeight="1">
      <c r="A441" s="25"/>
      <c r="B441" s="126">
        <v>44874.0</v>
      </c>
      <c r="C441" s="127">
        <f t="shared" si="1"/>
        <v>44866</v>
      </c>
      <c r="D441" s="128">
        <f t="shared" si="2"/>
        <v>44874</v>
      </c>
      <c r="E441" s="129">
        <f t="shared" si="3"/>
        <v>46</v>
      </c>
      <c r="F441" s="130" t="s">
        <v>26</v>
      </c>
      <c r="G441" s="131" t="s">
        <v>79</v>
      </c>
      <c r="H441" s="130" t="s">
        <v>124</v>
      </c>
      <c r="I441" s="132">
        <v>30000.0</v>
      </c>
      <c r="J441" s="133" t="s">
        <v>125</v>
      </c>
      <c r="K441" s="134" t="s">
        <v>402</v>
      </c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0" customHeight="1">
      <c r="A442" s="25"/>
      <c r="B442" s="126">
        <v>44920.0</v>
      </c>
      <c r="C442" s="127">
        <f t="shared" si="1"/>
        <v>44896</v>
      </c>
      <c r="D442" s="128">
        <f t="shared" si="2"/>
        <v>44920</v>
      </c>
      <c r="E442" s="129">
        <f t="shared" si="3"/>
        <v>53</v>
      </c>
      <c r="F442" s="130" t="s">
        <v>26</v>
      </c>
      <c r="G442" s="131" t="s">
        <v>79</v>
      </c>
      <c r="H442" s="130" t="s">
        <v>124</v>
      </c>
      <c r="I442" s="132">
        <v>30000.0</v>
      </c>
      <c r="J442" s="133" t="s">
        <v>122</v>
      </c>
      <c r="K442" s="134" t="s">
        <v>403</v>
      </c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0" customHeight="1">
      <c r="A443" s="25"/>
      <c r="B443" s="126">
        <v>44762.0</v>
      </c>
      <c r="C443" s="127">
        <f t="shared" si="1"/>
        <v>44743</v>
      </c>
      <c r="D443" s="128">
        <f t="shared" si="2"/>
        <v>44762</v>
      </c>
      <c r="E443" s="129">
        <f t="shared" si="3"/>
        <v>30</v>
      </c>
      <c r="F443" s="130" t="s">
        <v>128</v>
      </c>
      <c r="G443" s="131" t="s">
        <v>129</v>
      </c>
      <c r="H443" s="130" t="s">
        <v>124</v>
      </c>
      <c r="I443" s="132">
        <v>29913.0</v>
      </c>
      <c r="J443" s="133" t="s">
        <v>125</v>
      </c>
      <c r="K443" s="134" t="s">
        <v>404</v>
      </c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0" customHeight="1">
      <c r="A444" s="25"/>
      <c r="B444" s="126">
        <v>44722.0</v>
      </c>
      <c r="C444" s="127">
        <f t="shared" si="1"/>
        <v>44713</v>
      </c>
      <c r="D444" s="128">
        <f t="shared" si="2"/>
        <v>44722</v>
      </c>
      <c r="E444" s="129">
        <f t="shared" si="3"/>
        <v>24</v>
      </c>
      <c r="F444" s="130" t="s">
        <v>26</v>
      </c>
      <c r="G444" s="131" t="s">
        <v>76</v>
      </c>
      <c r="H444" s="130" t="s">
        <v>124</v>
      </c>
      <c r="I444" s="132">
        <v>29760.0</v>
      </c>
      <c r="J444" s="133" t="s">
        <v>125</v>
      </c>
      <c r="K444" s="134" t="s">
        <v>167</v>
      </c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0" customHeight="1">
      <c r="A445" s="25"/>
      <c r="B445" s="126">
        <v>44901.0</v>
      </c>
      <c r="C445" s="127">
        <f t="shared" si="1"/>
        <v>44896</v>
      </c>
      <c r="D445" s="128">
        <f t="shared" si="2"/>
        <v>44901</v>
      </c>
      <c r="E445" s="129">
        <f t="shared" si="3"/>
        <v>50</v>
      </c>
      <c r="F445" s="130" t="s">
        <v>26</v>
      </c>
      <c r="G445" s="131" t="s">
        <v>79</v>
      </c>
      <c r="H445" s="130" t="s">
        <v>121</v>
      </c>
      <c r="I445" s="132">
        <f>33000*0.9</f>
        <v>29700</v>
      </c>
      <c r="J445" s="133" t="s">
        <v>125</v>
      </c>
      <c r="K445" s="134" t="s">
        <v>405</v>
      </c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0" customHeight="1">
      <c r="A446" s="25"/>
      <c r="B446" s="126">
        <v>44564.0</v>
      </c>
      <c r="C446" s="127">
        <f t="shared" si="1"/>
        <v>44562</v>
      </c>
      <c r="D446" s="128">
        <f t="shared" si="2"/>
        <v>44564</v>
      </c>
      <c r="E446" s="129">
        <f t="shared" si="3"/>
        <v>2</v>
      </c>
      <c r="F446" s="130" t="s">
        <v>24</v>
      </c>
      <c r="G446" s="131" t="s">
        <v>61</v>
      </c>
      <c r="H446" s="130" t="s">
        <v>124</v>
      </c>
      <c r="I446" s="132">
        <v>29500.0</v>
      </c>
      <c r="J446" s="133" t="s">
        <v>122</v>
      </c>
      <c r="K446" s="134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0" customHeight="1">
      <c r="A447" s="25"/>
      <c r="B447" s="126">
        <v>44902.0</v>
      </c>
      <c r="C447" s="127">
        <f t="shared" si="1"/>
        <v>44896</v>
      </c>
      <c r="D447" s="128">
        <f t="shared" si="2"/>
        <v>44902</v>
      </c>
      <c r="E447" s="129">
        <f t="shared" si="3"/>
        <v>50</v>
      </c>
      <c r="F447" s="130" t="s">
        <v>24</v>
      </c>
      <c r="G447" s="131" t="s">
        <v>49</v>
      </c>
      <c r="H447" s="130" t="s">
        <v>124</v>
      </c>
      <c r="I447" s="132">
        <f>32590-3259</f>
        <v>29331</v>
      </c>
      <c r="J447" s="133" t="s">
        <v>125</v>
      </c>
      <c r="K447" s="134" t="s">
        <v>406</v>
      </c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0" customHeight="1">
      <c r="A448" s="25"/>
      <c r="B448" s="126">
        <v>44822.0</v>
      </c>
      <c r="C448" s="127">
        <f t="shared" si="1"/>
        <v>44805</v>
      </c>
      <c r="D448" s="128">
        <f t="shared" si="2"/>
        <v>44822</v>
      </c>
      <c r="E448" s="129">
        <f t="shared" si="3"/>
        <v>39</v>
      </c>
      <c r="F448" s="130" t="s">
        <v>26</v>
      </c>
      <c r="G448" s="131" t="s">
        <v>79</v>
      </c>
      <c r="H448" s="130" t="s">
        <v>124</v>
      </c>
      <c r="I448" s="132">
        <v>29000.0</v>
      </c>
      <c r="J448" s="133" t="s">
        <v>122</v>
      </c>
      <c r="K448" s="134" t="s">
        <v>407</v>
      </c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0" customHeight="1">
      <c r="A449" s="25"/>
      <c r="B449" s="126">
        <v>44652.0</v>
      </c>
      <c r="C449" s="127">
        <f t="shared" si="1"/>
        <v>44652</v>
      </c>
      <c r="D449" s="128">
        <f t="shared" si="2"/>
        <v>44652</v>
      </c>
      <c r="E449" s="129">
        <f t="shared" si="3"/>
        <v>14</v>
      </c>
      <c r="F449" s="130" t="s">
        <v>24</v>
      </c>
      <c r="G449" s="131" t="s">
        <v>36</v>
      </c>
      <c r="H449" s="130" t="s">
        <v>124</v>
      </c>
      <c r="I449" s="132">
        <v>28900.0</v>
      </c>
      <c r="J449" s="133" t="s">
        <v>125</v>
      </c>
      <c r="K449" s="134" t="s">
        <v>282</v>
      </c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0" customHeight="1">
      <c r="A450" s="25"/>
      <c r="B450" s="126">
        <v>44777.0</v>
      </c>
      <c r="C450" s="127">
        <f t="shared" si="1"/>
        <v>44774</v>
      </c>
      <c r="D450" s="128">
        <f t="shared" si="2"/>
        <v>44777</v>
      </c>
      <c r="E450" s="129">
        <f t="shared" si="3"/>
        <v>32</v>
      </c>
      <c r="F450" s="130" t="s">
        <v>26</v>
      </c>
      <c r="G450" s="131" t="s">
        <v>70</v>
      </c>
      <c r="H450" s="130" t="s">
        <v>124</v>
      </c>
      <c r="I450" s="132">
        <v>28800.0</v>
      </c>
      <c r="J450" s="133" t="s">
        <v>125</v>
      </c>
      <c r="K450" s="134" t="s">
        <v>408</v>
      </c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0" customHeight="1">
      <c r="A451" s="25"/>
      <c r="B451" s="126">
        <v>44774.0</v>
      </c>
      <c r="C451" s="127">
        <f t="shared" si="1"/>
        <v>44774</v>
      </c>
      <c r="D451" s="128">
        <f t="shared" si="2"/>
        <v>44774</v>
      </c>
      <c r="E451" s="129">
        <f t="shared" si="3"/>
        <v>32</v>
      </c>
      <c r="F451" s="130" t="s">
        <v>26</v>
      </c>
      <c r="G451" s="131" t="s">
        <v>70</v>
      </c>
      <c r="H451" s="130" t="s">
        <v>124</v>
      </c>
      <c r="I451" s="132">
        <f>31970-3197</f>
        <v>28773</v>
      </c>
      <c r="J451" s="133" t="s">
        <v>125</v>
      </c>
      <c r="K451" s="134" t="s">
        <v>409</v>
      </c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0" customHeight="1">
      <c r="A452" s="25"/>
      <c r="B452" s="126">
        <v>44582.0</v>
      </c>
      <c r="C452" s="127">
        <f t="shared" si="1"/>
        <v>44562</v>
      </c>
      <c r="D452" s="128">
        <f t="shared" si="2"/>
        <v>44582</v>
      </c>
      <c r="E452" s="129">
        <f t="shared" si="3"/>
        <v>4</v>
      </c>
      <c r="F452" s="130" t="s">
        <v>26</v>
      </c>
      <c r="G452" s="131" t="s">
        <v>76</v>
      </c>
      <c r="H452" s="130" t="s">
        <v>124</v>
      </c>
      <c r="I452" s="132">
        <v>28740.0</v>
      </c>
      <c r="J452" s="133" t="s">
        <v>125</v>
      </c>
      <c r="K452" s="134" t="s">
        <v>167</v>
      </c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0" customHeight="1">
      <c r="A453" s="25"/>
      <c r="B453" s="126">
        <v>44839.0</v>
      </c>
      <c r="C453" s="127">
        <f t="shared" si="1"/>
        <v>44835</v>
      </c>
      <c r="D453" s="128">
        <f t="shared" si="2"/>
        <v>44839</v>
      </c>
      <c r="E453" s="129">
        <f t="shared" si="3"/>
        <v>41</v>
      </c>
      <c r="F453" s="130" t="s">
        <v>26</v>
      </c>
      <c r="G453" s="131" t="s">
        <v>79</v>
      </c>
      <c r="H453" s="130" t="s">
        <v>124</v>
      </c>
      <c r="I453" s="132">
        <v>28700.0</v>
      </c>
      <c r="J453" s="133" t="s">
        <v>125</v>
      </c>
      <c r="K453" s="134" t="s">
        <v>410</v>
      </c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0" customHeight="1">
      <c r="A454" s="25"/>
      <c r="B454" s="126">
        <v>44922.0</v>
      </c>
      <c r="C454" s="127">
        <f t="shared" si="1"/>
        <v>44896</v>
      </c>
      <c r="D454" s="128">
        <f t="shared" si="2"/>
        <v>44922</v>
      </c>
      <c r="E454" s="129">
        <f t="shared" si="3"/>
        <v>53</v>
      </c>
      <c r="F454" s="130" t="s">
        <v>26</v>
      </c>
      <c r="G454" s="131" t="s">
        <v>70</v>
      </c>
      <c r="H454" s="130" t="s">
        <v>124</v>
      </c>
      <c r="I454" s="132">
        <v>28600.0</v>
      </c>
      <c r="J454" s="133" t="s">
        <v>122</v>
      </c>
      <c r="K454" s="134" t="s">
        <v>411</v>
      </c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0" customHeight="1">
      <c r="A455" s="25"/>
      <c r="B455" s="126">
        <v>44870.0</v>
      </c>
      <c r="C455" s="127">
        <f t="shared" si="1"/>
        <v>44866</v>
      </c>
      <c r="D455" s="128">
        <f t="shared" si="2"/>
        <v>44870</v>
      </c>
      <c r="E455" s="129">
        <f t="shared" si="3"/>
        <v>45</v>
      </c>
      <c r="F455" s="130" t="s">
        <v>26</v>
      </c>
      <c r="G455" s="131" t="s">
        <v>79</v>
      </c>
      <c r="H455" s="130" t="s">
        <v>124</v>
      </c>
      <c r="I455" s="132">
        <v>28400.0</v>
      </c>
      <c r="J455" s="133" t="s">
        <v>125</v>
      </c>
      <c r="K455" s="134" t="s">
        <v>412</v>
      </c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0" customHeight="1">
      <c r="A456" s="25"/>
      <c r="B456" s="126">
        <v>44591.0</v>
      </c>
      <c r="C456" s="127">
        <f t="shared" si="1"/>
        <v>44562</v>
      </c>
      <c r="D456" s="128">
        <f t="shared" si="2"/>
        <v>44591</v>
      </c>
      <c r="E456" s="129">
        <f t="shared" si="3"/>
        <v>6</v>
      </c>
      <c r="F456" s="130" t="s">
        <v>24</v>
      </c>
      <c r="G456" s="131" t="s">
        <v>34</v>
      </c>
      <c r="H456" s="130" t="s">
        <v>124</v>
      </c>
      <c r="I456" s="132">
        <v>28150.0</v>
      </c>
      <c r="J456" s="133" t="s">
        <v>122</v>
      </c>
      <c r="K456" s="134" t="s">
        <v>413</v>
      </c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0" customHeight="1">
      <c r="A457" s="25"/>
      <c r="B457" s="126">
        <v>44750.0</v>
      </c>
      <c r="C457" s="127">
        <f t="shared" si="1"/>
        <v>44743</v>
      </c>
      <c r="D457" s="128">
        <f t="shared" si="2"/>
        <v>44750</v>
      </c>
      <c r="E457" s="129">
        <f t="shared" si="3"/>
        <v>28</v>
      </c>
      <c r="F457" s="130" t="s">
        <v>128</v>
      </c>
      <c r="G457" s="131" t="s">
        <v>129</v>
      </c>
      <c r="H457" s="130" t="s">
        <v>124</v>
      </c>
      <c r="I457" s="132">
        <v>28114.0</v>
      </c>
      <c r="J457" s="133" t="s">
        <v>125</v>
      </c>
      <c r="K457" s="134" t="s">
        <v>414</v>
      </c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0" customHeight="1">
      <c r="A458" s="25"/>
      <c r="B458" s="126">
        <v>44673.0</v>
      </c>
      <c r="C458" s="127">
        <f t="shared" si="1"/>
        <v>44652</v>
      </c>
      <c r="D458" s="128">
        <f t="shared" si="2"/>
        <v>44673</v>
      </c>
      <c r="E458" s="129">
        <f t="shared" si="3"/>
        <v>17</v>
      </c>
      <c r="F458" s="130" t="s">
        <v>128</v>
      </c>
      <c r="G458" s="131" t="s">
        <v>172</v>
      </c>
      <c r="H458" s="130" t="s">
        <v>124</v>
      </c>
      <c r="I458" s="132">
        <v>28000.0</v>
      </c>
      <c r="J458" s="133" t="s">
        <v>125</v>
      </c>
      <c r="K458" s="134" t="s">
        <v>415</v>
      </c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0" customHeight="1">
      <c r="A459" s="25"/>
      <c r="B459" s="126">
        <v>44673.0</v>
      </c>
      <c r="C459" s="127">
        <f t="shared" si="1"/>
        <v>44652</v>
      </c>
      <c r="D459" s="128">
        <f t="shared" si="2"/>
        <v>44673</v>
      </c>
      <c r="E459" s="129">
        <f t="shared" si="3"/>
        <v>17</v>
      </c>
      <c r="F459" s="130" t="s">
        <v>128</v>
      </c>
      <c r="G459" s="131" t="s">
        <v>172</v>
      </c>
      <c r="H459" s="130" t="s">
        <v>124</v>
      </c>
      <c r="I459" s="132">
        <v>28000.0</v>
      </c>
      <c r="J459" s="133" t="s">
        <v>125</v>
      </c>
      <c r="K459" s="134" t="s">
        <v>416</v>
      </c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0" customHeight="1">
      <c r="A460" s="25"/>
      <c r="B460" s="126">
        <v>44842.0</v>
      </c>
      <c r="C460" s="127">
        <f t="shared" si="1"/>
        <v>44835</v>
      </c>
      <c r="D460" s="128">
        <f t="shared" si="2"/>
        <v>44842</v>
      </c>
      <c r="E460" s="129">
        <f t="shared" si="3"/>
        <v>41</v>
      </c>
      <c r="F460" s="130" t="s">
        <v>26</v>
      </c>
      <c r="G460" s="131" t="s">
        <v>76</v>
      </c>
      <c r="H460" s="130" t="s">
        <v>124</v>
      </c>
      <c r="I460" s="132">
        <v>27900.0</v>
      </c>
      <c r="J460" s="133" t="s">
        <v>125</v>
      </c>
      <c r="K460" s="134" t="s">
        <v>417</v>
      </c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0" customHeight="1">
      <c r="A461" s="25"/>
      <c r="B461" s="126">
        <v>44899.0</v>
      </c>
      <c r="C461" s="127">
        <f t="shared" si="1"/>
        <v>44896</v>
      </c>
      <c r="D461" s="128">
        <f t="shared" si="2"/>
        <v>44899</v>
      </c>
      <c r="E461" s="129">
        <f t="shared" si="3"/>
        <v>50</v>
      </c>
      <c r="F461" s="130" t="s">
        <v>26</v>
      </c>
      <c r="G461" s="131" t="s">
        <v>79</v>
      </c>
      <c r="H461" s="130" t="s">
        <v>124</v>
      </c>
      <c r="I461" s="132">
        <v>27500.0</v>
      </c>
      <c r="J461" s="133" t="s">
        <v>122</v>
      </c>
      <c r="K461" s="134" t="s">
        <v>418</v>
      </c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0" customHeight="1">
      <c r="A462" s="25"/>
      <c r="B462" s="126">
        <v>44575.0</v>
      </c>
      <c r="C462" s="127">
        <f t="shared" si="1"/>
        <v>44562</v>
      </c>
      <c r="D462" s="128">
        <f t="shared" si="2"/>
        <v>44575</v>
      </c>
      <c r="E462" s="129">
        <f t="shared" si="3"/>
        <v>3</v>
      </c>
      <c r="F462" s="130" t="s">
        <v>26</v>
      </c>
      <c r="G462" s="131" t="s">
        <v>79</v>
      </c>
      <c r="H462" s="130" t="s">
        <v>124</v>
      </c>
      <c r="I462" s="132">
        <f>32900-5500</f>
        <v>27400</v>
      </c>
      <c r="J462" s="133" t="s">
        <v>122</v>
      </c>
      <c r="K462" s="134" t="s">
        <v>419</v>
      </c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0" customHeight="1">
      <c r="A463" s="25"/>
      <c r="B463" s="126">
        <v>44760.0</v>
      </c>
      <c r="C463" s="127">
        <f t="shared" si="1"/>
        <v>44743</v>
      </c>
      <c r="D463" s="128">
        <f t="shared" si="2"/>
        <v>44760</v>
      </c>
      <c r="E463" s="129">
        <f t="shared" si="3"/>
        <v>30</v>
      </c>
      <c r="F463" s="130" t="s">
        <v>26</v>
      </c>
      <c r="G463" s="131" t="s">
        <v>82</v>
      </c>
      <c r="H463" s="130" t="s">
        <v>124</v>
      </c>
      <c r="I463" s="132">
        <v>27300.0</v>
      </c>
      <c r="J463" s="133" t="s">
        <v>122</v>
      </c>
      <c r="K463" s="134" t="s">
        <v>420</v>
      </c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0" customHeight="1">
      <c r="A464" s="25"/>
      <c r="B464" s="126">
        <v>44654.0</v>
      </c>
      <c r="C464" s="127">
        <f t="shared" si="1"/>
        <v>44652</v>
      </c>
      <c r="D464" s="128">
        <f t="shared" si="2"/>
        <v>44654</v>
      </c>
      <c r="E464" s="129">
        <f t="shared" si="3"/>
        <v>15</v>
      </c>
      <c r="F464" s="130" t="s">
        <v>24</v>
      </c>
      <c r="G464" s="131" t="s">
        <v>52</v>
      </c>
      <c r="H464" s="130" t="s">
        <v>124</v>
      </c>
      <c r="I464" s="132">
        <v>27090.0</v>
      </c>
      <c r="J464" s="133" t="s">
        <v>122</v>
      </c>
      <c r="K464" s="134" t="s">
        <v>421</v>
      </c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0" customHeight="1">
      <c r="A465" s="25"/>
      <c r="B465" s="126">
        <v>44577.0</v>
      </c>
      <c r="C465" s="127">
        <f t="shared" si="1"/>
        <v>44562</v>
      </c>
      <c r="D465" s="128">
        <f t="shared" si="2"/>
        <v>44577</v>
      </c>
      <c r="E465" s="129">
        <f t="shared" si="3"/>
        <v>4</v>
      </c>
      <c r="F465" s="130" t="s">
        <v>24</v>
      </c>
      <c r="G465" s="131" t="s">
        <v>52</v>
      </c>
      <c r="H465" s="130" t="s">
        <v>124</v>
      </c>
      <c r="I465" s="132">
        <v>27030.0</v>
      </c>
      <c r="J465" s="133" t="s">
        <v>122</v>
      </c>
      <c r="K465" s="134" t="s">
        <v>422</v>
      </c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0" customHeight="1">
      <c r="A466" s="25"/>
      <c r="B466" s="126">
        <v>44573.0</v>
      </c>
      <c r="C466" s="127">
        <f t="shared" si="1"/>
        <v>44562</v>
      </c>
      <c r="D466" s="128">
        <f t="shared" si="2"/>
        <v>44573</v>
      </c>
      <c r="E466" s="129">
        <f t="shared" si="3"/>
        <v>3</v>
      </c>
      <c r="F466" s="130" t="s">
        <v>26</v>
      </c>
      <c r="G466" s="131" t="s">
        <v>79</v>
      </c>
      <c r="H466" s="130" t="s">
        <v>124</v>
      </c>
      <c r="I466" s="132">
        <v>27000.0</v>
      </c>
      <c r="J466" s="133" t="s">
        <v>122</v>
      </c>
      <c r="K466" s="134" t="s">
        <v>423</v>
      </c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0" customHeight="1">
      <c r="A467" s="25"/>
      <c r="B467" s="126">
        <v>44667.0</v>
      </c>
      <c r="C467" s="127">
        <f t="shared" si="1"/>
        <v>44652</v>
      </c>
      <c r="D467" s="128">
        <f t="shared" si="2"/>
        <v>44667</v>
      </c>
      <c r="E467" s="129">
        <f t="shared" si="3"/>
        <v>16</v>
      </c>
      <c r="F467" s="130" t="s">
        <v>26</v>
      </c>
      <c r="G467" s="131" t="s">
        <v>79</v>
      </c>
      <c r="H467" s="130" t="s">
        <v>121</v>
      </c>
      <c r="I467" s="132">
        <f>30000*0.9</f>
        <v>27000</v>
      </c>
      <c r="J467" s="133" t="s">
        <v>125</v>
      </c>
      <c r="K467" s="134" t="s">
        <v>424</v>
      </c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0" customHeight="1">
      <c r="A468" s="25"/>
      <c r="B468" s="126">
        <v>44652.0</v>
      </c>
      <c r="C468" s="127">
        <f t="shared" si="1"/>
        <v>44652</v>
      </c>
      <c r="D468" s="128">
        <f t="shared" si="2"/>
        <v>44652</v>
      </c>
      <c r="E468" s="129">
        <f t="shared" si="3"/>
        <v>14</v>
      </c>
      <c r="F468" s="130" t="s">
        <v>26</v>
      </c>
      <c r="G468" s="131" t="s">
        <v>79</v>
      </c>
      <c r="H468" s="130" t="s">
        <v>124</v>
      </c>
      <c r="I468" s="132">
        <v>26700.0</v>
      </c>
      <c r="J468" s="133" t="s">
        <v>125</v>
      </c>
      <c r="K468" s="134" t="s">
        <v>425</v>
      </c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0" customHeight="1">
      <c r="A469" s="25"/>
      <c r="B469" s="126">
        <v>44862.0</v>
      </c>
      <c r="C469" s="127">
        <f t="shared" si="1"/>
        <v>44835</v>
      </c>
      <c r="D469" s="128">
        <f t="shared" si="2"/>
        <v>44862</v>
      </c>
      <c r="E469" s="129">
        <f t="shared" si="3"/>
        <v>44</v>
      </c>
      <c r="F469" s="130" t="s">
        <v>24</v>
      </c>
      <c r="G469" s="131" t="s">
        <v>36</v>
      </c>
      <c r="H469" s="130" t="s">
        <v>124</v>
      </c>
      <c r="I469" s="132">
        <v>26650.0</v>
      </c>
      <c r="J469" s="133" t="s">
        <v>125</v>
      </c>
      <c r="K469" s="134" t="s">
        <v>426</v>
      </c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0" customHeight="1">
      <c r="A470" s="25"/>
      <c r="B470" s="126">
        <v>44764.0</v>
      </c>
      <c r="C470" s="127">
        <f t="shared" si="1"/>
        <v>44743</v>
      </c>
      <c r="D470" s="128">
        <f t="shared" si="2"/>
        <v>44764</v>
      </c>
      <c r="E470" s="129">
        <f t="shared" si="3"/>
        <v>30</v>
      </c>
      <c r="F470" s="130" t="s">
        <v>24</v>
      </c>
      <c r="G470" s="131" t="s">
        <v>54</v>
      </c>
      <c r="H470" s="130" t="s">
        <v>124</v>
      </c>
      <c r="I470" s="132">
        <v>26600.0</v>
      </c>
      <c r="J470" s="133" t="s">
        <v>122</v>
      </c>
      <c r="K470" s="134" t="s">
        <v>427</v>
      </c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0" customHeight="1">
      <c r="A471" s="25"/>
      <c r="B471" s="126">
        <v>44749.0</v>
      </c>
      <c r="C471" s="127">
        <f t="shared" si="1"/>
        <v>44743</v>
      </c>
      <c r="D471" s="128">
        <f t="shared" si="2"/>
        <v>44749</v>
      </c>
      <c r="E471" s="129">
        <f t="shared" si="3"/>
        <v>28</v>
      </c>
      <c r="F471" s="130" t="s">
        <v>26</v>
      </c>
      <c r="G471" s="131" t="s">
        <v>76</v>
      </c>
      <c r="H471" s="130" t="s">
        <v>124</v>
      </c>
      <c r="I471" s="132">
        <v>26500.0</v>
      </c>
      <c r="J471" s="133" t="s">
        <v>125</v>
      </c>
      <c r="K471" s="134" t="s">
        <v>428</v>
      </c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0" customHeight="1">
      <c r="A472" s="25"/>
      <c r="B472" s="126">
        <v>44615.0</v>
      </c>
      <c r="C472" s="127">
        <f t="shared" si="1"/>
        <v>44593</v>
      </c>
      <c r="D472" s="128">
        <f t="shared" si="2"/>
        <v>44615</v>
      </c>
      <c r="E472" s="129">
        <f t="shared" si="3"/>
        <v>9</v>
      </c>
      <c r="F472" s="130" t="s">
        <v>26</v>
      </c>
      <c r="G472" s="131" t="s">
        <v>76</v>
      </c>
      <c r="H472" s="130" t="s">
        <v>124</v>
      </c>
      <c r="I472" s="132">
        <v>26243.0</v>
      </c>
      <c r="J472" s="133" t="s">
        <v>125</v>
      </c>
      <c r="K472" s="134" t="s">
        <v>291</v>
      </c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0" customHeight="1">
      <c r="A473" s="25"/>
      <c r="B473" s="126">
        <v>44796.0</v>
      </c>
      <c r="C473" s="127">
        <f t="shared" si="1"/>
        <v>44774</v>
      </c>
      <c r="D473" s="128">
        <f t="shared" si="2"/>
        <v>44796</v>
      </c>
      <c r="E473" s="129">
        <f t="shared" si="3"/>
        <v>35</v>
      </c>
      <c r="F473" s="130" t="s">
        <v>26</v>
      </c>
      <c r="G473" s="131" t="s">
        <v>76</v>
      </c>
      <c r="H473" s="130" t="s">
        <v>124</v>
      </c>
      <c r="I473" s="132">
        <v>26090.0</v>
      </c>
      <c r="J473" s="133" t="s">
        <v>125</v>
      </c>
      <c r="K473" s="134" t="s">
        <v>167</v>
      </c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0" customHeight="1">
      <c r="A474" s="25"/>
      <c r="B474" s="126">
        <v>44562.0</v>
      </c>
      <c r="C474" s="127">
        <f t="shared" si="1"/>
        <v>44562</v>
      </c>
      <c r="D474" s="128">
        <f t="shared" si="2"/>
        <v>44562</v>
      </c>
      <c r="E474" s="129">
        <f t="shared" si="3"/>
        <v>1</v>
      </c>
      <c r="F474" s="130" t="s">
        <v>26</v>
      </c>
      <c r="G474" s="131" t="s">
        <v>79</v>
      </c>
      <c r="H474" s="130" t="s">
        <v>124</v>
      </c>
      <c r="I474" s="132">
        <v>26000.0</v>
      </c>
      <c r="J474" s="133" t="s">
        <v>125</v>
      </c>
      <c r="K474" s="134" t="s">
        <v>429</v>
      </c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0" customHeight="1">
      <c r="A475" s="25"/>
      <c r="B475" s="126">
        <v>44604.0</v>
      </c>
      <c r="C475" s="127">
        <f t="shared" si="1"/>
        <v>44593</v>
      </c>
      <c r="D475" s="128">
        <f t="shared" si="2"/>
        <v>44604</v>
      </c>
      <c r="E475" s="129">
        <f t="shared" si="3"/>
        <v>7</v>
      </c>
      <c r="F475" s="130" t="s">
        <v>26</v>
      </c>
      <c r="G475" s="131" t="s">
        <v>73</v>
      </c>
      <c r="H475" s="130" t="s">
        <v>124</v>
      </c>
      <c r="I475" s="132">
        <v>26000.0</v>
      </c>
      <c r="J475" s="133" t="s">
        <v>122</v>
      </c>
      <c r="K475" s="134" t="s">
        <v>430</v>
      </c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0" customHeight="1">
      <c r="A476" s="25"/>
      <c r="B476" s="126">
        <v>44632.0</v>
      </c>
      <c r="C476" s="127">
        <f t="shared" si="1"/>
        <v>44621</v>
      </c>
      <c r="D476" s="128">
        <f t="shared" si="2"/>
        <v>44632</v>
      </c>
      <c r="E476" s="129">
        <f t="shared" si="3"/>
        <v>11</v>
      </c>
      <c r="F476" s="130" t="s">
        <v>26</v>
      </c>
      <c r="G476" s="131" t="s">
        <v>79</v>
      </c>
      <c r="H476" s="130" t="s">
        <v>124</v>
      </c>
      <c r="I476" s="132">
        <v>26000.0</v>
      </c>
      <c r="J476" s="133" t="s">
        <v>122</v>
      </c>
      <c r="K476" s="134" t="s">
        <v>431</v>
      </c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0" customHeight="1">
      <c r="A477" s="25"/>
      <c r="B477" s="126">
        <v>44640.0</v>
      </c>
      <c r="C477" s="127">
        <f t="shared" si="1"/>
        <v>44621</v>
      </c>
      <c r="D477" s="128">
        <f t="shared" si="2"/>
        <v>44640</v>
      </c>
      <c r="E477" s="129">
        <f t="shared" si="3"/>
        <v>13</v>
      </c>
      <c r="F477" s="130" t="s">
        <v>26</v>
      </c>
      <c r="G477" s="131" t="s">
        <v>79</v>
      </c>
      <c r="H477" s="130" t="s">
        <v>124</v>
      </c>
      <c r="I477" s="132">
        <v>26000.0</v>
      </c>
      <c r="J477" s="133" t="s">
        <v>122</v>
      </c>
      <c r="K477" s="134" t="s">
        <v>432</v>
      </c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0" customHeight="1">
      <c r="A478" s="25"/>
      <c r="B478" s="126">
        <v>44653.0</v>
      </c>
      <c r="C478" s="127">
        <f t="shared" si="1"/>
        <v>44652</v>
      </c>
      <c r="D478" s="128">
        <f t="shared" si="2"/>
        <v>44653</v>
      </c>
      <c r="E478" s="129">
        <f t="shared" si="3"/>
        <v>14</v>
      </c>
      <c r="F478" s="130" t="s">
        <v>26</v>
      </c>
      <c r="G478" s="131" t="s">
        <v>79</v>
      </c>
      <c r="H478" s="130" t="s">
        <v>124</v>
      </c>
      <c r="I478" s="132">
        <v>26000.0</v>
      </c>
      <c r="J478" s="133" t="s">
        <v>125</v>
      </c>
      <c r="K478" s="134" t="s">
        <v>433</v>
      </c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0" customHeight="1">
      <c r="A479" s="25"/>
      <c r="B479" s="126">
        <v>44821.0</v>
      </c>
      <c r="C479" s="127">
        <f t="shared" si="1"/>
        <v>44805</v>
      </c>
      <c r="D479" s="128">
        <f t="shared" si="2"/>
        <v>44821</v>
      </c>
      <c r="E479" s="129">
        <f t="shared" si="3"/>
        <v>38</v>
      </c>
      <c r="F479" s="130" t="s">
        <v>26</v>
      </c>
      <c r="G479" s="131" t="s">
        <v>79</v>
      </c>
      <c r="H479" s="130" t="s">
        <v>124</v>
      </c>
      <c r="I479" s="132">
        <v>26000.0</v>
      </c>
      <c r="J479" s="133" t="s">
        <v>122</v>
      </c>
      <c r="K479" s="134" t="s">
        <v>432</v>
      </c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0" customHeight="1">
      <c r="A480" s="25"/>
      <c r="B480" s="126">
        <v>44871.0</v>
      </c>
      <c r="C480" s="127">
        <f t="shared" si="1"/>
        <v>44866</v>
      </c>
      <c r="D480" s="128">
        <f t="shared" si="2"/>
        <v>44871</v>
      </c>
      <c r="E480" s="129">
        <f t="shared" si="3"/>
        <v>46</v>
      </c>
      <c r="F480" s="130" t="s">
        <v>26</v>
      </c>
      <c r="G480" s="131" t="s">
        <v>79</v>
      </c>
      <c r="H480" s="130" t="s">
        <v>124</v>
      </c>
      <c r="I480" s="132">
        <v>26000.0</v>
      </c>
      <c r="J480" s="133" t="s">
        <v>125</v>
      </c>
      <c r="K480" s="134" t="s">
        <v>434</v>
      </c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0" customHeight="1">
      <c r="A481" s="25"/>
      <c r="B481" s="126">
        <v>44891.0</v>
      </c>
      <c r="C481" s="127">
        <f t="shared" si="1"/>
        <v>44866</v>
      </c>
      <c r="D481" s="128">
        <f t="shared" si="2"/>
        <v>44891</v>
      </c>
      <c r="E481" s="129">
        <f t="shared" si="3"/>
        <v>48</v>
      </c>
      <c r="F481" s="130" t="s">
        <v>26</v>
      </c>
      <c r="G481" s="131" t="s">
        <v>79</v>
      </c>
      <c r="H481" s="130" t="s">
        <v>124</v>
      </c>
      <c r="I481" s="132">
        <v>26000.0</v>
      </c>
      <c r="J481" s="133" t="s">
        <v>122</v>
      </c>
      <c r="K481" s="134" t="s">
        <v>435</v>
      </c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0" customHeight="1">
      <c r="A482" s="25"/>
      <c r="B482" s="126">
        <v>44921.0</v>
      </c>
      <c r="C482" s="127">
        <f t="shared" si="1"/>
        <v>44896</v>
      </c>
      <c r="D482" s="128">
        <f t="shared" si="2"/>
        <v>44921</v>
      </c>
      <c r="E482" s="129">
        <f t="shared" si="3"/>
        <v>53</v>
      </c>
      <c r="F482" s="130" t="s">
        <v>128</v>
      </c>
      <c r="G482" s="131" t="s">
        <v>172</v>
      </c>
      <c r="H482" s="130" t="s">
        <v>124</v>
      </c>
      <c r="I482" s="132">
        <v>26000.0</v>
      </c>
      <c r="J482" s="133" t="s">
        <v>125</v>
      </c>
      <c r="K482" s="134" t="s">
        <v>436</v>
      </c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0" customHeight="1">
      <c r="A483" s="25"/>
      <c r="B483" s="126">
        <v>44856.0</v>
      </c>
      <c r="C483" s="127">
        <f t="shared" si="1"/>
        <v>44835</v>
      </c>
      <c r="D483" s="128">
        <f t="shared" si="2"/>
        <v>44856</v>
      </c>
      <c r="E483" s="129">
        <f t="shared" si="3"/>
        <v>43</v>
      </c>
      <c r="F483" s="130" t="s">
        <v>26</v>
      </c>
      <c r="G483" s="131" t="s">
        <v>76</v>
      </c>
      <c r="H483" s="130" t="s">
        <v>124</v>
      </c>
      <c r="I483" s="132">
        <f>28870-2887</f>
        <v>25983</v>
      </c>
      <c r="J483" s="133" t="s">
        <v>125</v>
      </c>
      <c r="K483" s="134" t="s">
        <v>437</v>
      </c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0" customHeight="1">
      <c r="A484" s="25"/>
      <c r="B484" s="126">
        <v>44629.0</v>
      </c>
      <c r="C484" s="127">
        <f t="shared" si="1"/>
        <v>44621</v>
      </c>
      <c r="D484" s="128">
        <f t="shared" si="2"/>
        <v>44629</v>
      </c>
      <c r="E484" s="129">
        <f t="shared" si="3"/>
        <v>11</v>
      </c>
      <c r="F484" s="130" t="s">
        <v>26</v>
      </c>
      <c r="G484" s="131" t="s">
        <v>79</v>
      </c>
      <c r="H484" s="130" t="s">
        <v>124</v>
      </c>
      <c r="I484" s="132">
        <v>25800.0</v>
      </c>
      <c r="J484" s="133" t="s">
        <v>125</v>
      </c>
      <c r="K484" s="134" t="s">
        <v>438</v>
      </c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0" customHeight="1">
      <c r="A485" s="25"/>
      <c r="B485" s="126">
        <v>44737.0</v>
      </c>
      <c r="C485" s="127">
        <f t="shared" si="1"/>
        <v>44713</v>
      </c>
      <c r="D485" s="128">
        <f t="shared" si="2"/>
        <v>44737</v>
      </c>
      <c r="E485" s="129">
        <f t="shared" si="3"/>
        <v>26</v>
      </c>
      <c r="F485" s="130" t="s">
        <v>26</v>
      </c>
      <c r="G485" s="131" t="s">
        <v>79</v>
      </c>
      <c r="H485" s="130" t="s">
        <v>124</v>
      </c>
      <c r="I485" s="132">
        <v>25800.0</v>
      </c>
      <c r="J485" s="133" t="s">
        <v>122</v>
      </c>
      <c r="K485" s="134" t="s">
        <v>439</v>
      </c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0" customHeight="1">
      <c r="A486" s="25"/>
      <c r="B486" s="126">
        <v>44822.0</v>
      </c>
      <c r="C486" s="127">
        <f t="shared" si="1"/>
        <v>44805</v>
      </c>
      <c r="D486" s="128">
        <f t="shared" si="2"/>
        <v>44822</v>
      </c>
      <c r="E486" s="129">
        <f t="shared" si="3"/>
        <v>39</v>
      </c>
      <c r="F486" s="130" t="s">
        <v>24</v>
      </c>
      <c r="G486" s="131" t="s">
        <v>29</v>
      </c>
      <c r="H486" s="130" t="s">
        <v>124</v>
      </c>
      <c r="I486" s="132">
        <f>32150-6430</f>
        <v>25720</v>
      </c>
      <c r="J486" s="133" t="s">
        <v>122</v>
      </c>
      <c r="K486" s="134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0" customHeight="1">
      <c r="A487" s="25"/>
      <c r="B487" s="126">
        <v>44564.0</v>
      </c>
      <c r="C487" s="127">
        <f t="shared" si="1"/>
        <v>44562</v>
      </c>
      <c r="D487" s="128">
        <f t="shared" si="2"/>
        <v>44564</v>
      </c>
      <c r="E487" s="129">
        <f t="shared" si="3"/>
        <v>2</v>
      </c>
      <c r="F487" s="130" t="s">
        <v>26</v>
      </c>
      <c r="G487" s="131" t="s">
        <v>76</v>
      </c>
      <c r="H487" s="130" t="s">
        <v>124</v>
      </c>
      <c r="I487" s="132">
        <v>25543.0</v>
      </c>
      <c r="J487" s="133" t="s">
        <v>125</v>
      </c>
      <c r="K487" s="134" t="s">
        <v>291</v>
      </c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0" customHeight="1">
      <c r="A488" s="25"/>
      <c r="B488" s="126">
        <v>44774.0</v>
      </c>
      <c r="C488" s="127">
        <f t="shared" si="1"/>
        <v>44774</v>
      </c>
      <c r="D488" s="128">
        <f t="shared" si="2"/>
        <v>44774</v>
      </c>
      <c r="E488" s="129">
        <f t="shared" si="3"/>
        <v>32</v>
      </c>
      <c r="F488" s="130" t="s">
        <v>26</v>
      </c>
      <c r="G488" s="131" t="s">
        <v>76</v>
      </c>
      <c r="H488" s="130" t="s">
        <v>124</v>
      </c>
      <c r="I488" s="132">
        <f>27103-1611</f>
        <v>25492</v>
      </c>
      <c r="J488" s="133" t="s">
        <v>125</v>
      </c>
      <c r="K488" s="134" t="s">
        <v>326</v>
      </c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0" customHeight="1">
      <c r="A489" s="25"/>
      <c r="B489" s="126">
        <v>44710.0</v>
      </c>
      <c r="C489" s="127">
        <f t="shared" si="1"/>
        <v>44682</v>
      </c>
      <c r="D489" s="128">
        <f t="shared" si="2"/>
        <v>44710</v>
      </c>
      <c r="E489" s="129">
        <f t="shared" si="3"/>
        <v>23</v>
      </c>
      <c r="F489" s="130" t="s">
        <v>26</v>
      </c>
      <c r="G489" s="131" t="s">
        <v>70</v>
      </c>
      <c r="H489" s="130" t="s">
        <v>124</v>
      </c>
      <c r="I489" s="132">
        <v>25380.0</v>
      </c>
      <c r="J489" s="133" t="s">
        <v>125</v>
      </c>
      <c r="K489" s="134" t="s">
        <v>247</v>
      </c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0" customHeight="1">
      <c r="A490" s="25"/>
      <c r="B490" s="126">
        <v>44872.0</v>
      </c>
      <c r="C490" s="127">
        <f t="shared" si="1"/>
        <v>44866</v>
      </c>
      <c r="D490" s="128">
        <f t="shared" si="2"/>
        <v>44872</v>
      </c>
      <c r="E490" s="129">
        <f t="shared" si="3"/>
        <v>46</v>
      </c>
      <c r="F490" s="130" t="s">
        <v>26</v>
      </c>
      <c r="G490" s="131" t="s">
        <v>76</v>
      </c>
      <c r="H490" s="130" t="s">
        <v>124</v>
      </c>
      <c r="I490" s="132">
        <v>25330.0</v>
      </c>
      <c r="J490" s="133" t="s">
        <v>125</v>
      </c>
      <c r="K490" s="134" t="s">
        <v>167</v>
      </c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0" customHeight="1">
      <c r="A491" s="25"/>
      <c r="B491" s="126">
        <v>44922.0</v>
      </c>
      <c r="C491" s="127">
        <f t="shared" si="1"/>
        <v>44896</v>
      </c>
      <c r="D491" s="128">
        <f t="shared" si="2"/>
        <v>44922</v>
      </c>
      <c r="E491" s="129">
        <f t="shared" si="3"/>
        <v>53</v>
      </c>
      <c r="F491" s="130" t="s">
        <v>128</v>
      </c>
      <c r="G491" s="131" t="s">
        <v>172</v>
      </c>
      <c r="H491" s="130" t="s">
        <v>121</v>
      </c>
      <c r="I491" s="132">
        <f>28000*0.9</f>
        <v>25200</v>
      </c>
      <c r="J491" s="133" t="s">
        <v>125</v>
      </c>
      <c r="K491" s="134" t="s">
        <v>440</v>
      </c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0" customHeight="1">
      <c r="A492" s="25"/>
      <c r="B492" s="126">
        <v>44589.0</v>
      </c>
      <c r="C492" s="127">
        <f t="shared" si="1"/>
        <v>44562</v>
      </c>
      <c r="D492" s="128">
        <f t="shared" si="2"/>
        <v>44589</v>
      </c>
      <c r="E492" s="129">
        <f t="shared" si="3"/>
        <v>5</v>
      </c>
      <c r="F492" s="130" t="s">
        <v>24</v>
      </c>
      <c r="G492" s="131" t="s">
        <v>61</v>
      </c>
      <c r="H492" s="130" t="s">
        <v>124</v>
      </c>
      <c r="I492" s="132">
        <v>25100.0</v>
      </c>
      <c r="J492" s="133" t="s">
        <v>122</v>
      </c>
      <c r="K492" s="134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0" customHeight="1">
      <c r="A493" s="25"/>
      <c r="B493" s="126">
        <v>44762.0</v>
      </c>
      <c r="C493" s="127">
        <f t="shared" si="1"/>
        <v>44743</v>
      </c>
      <c r="D493" s="128">
        <f t="shared" si="2"/>
        <v>44762</v>
      </c>
      <c r="E493" s="129">
        <f t="shared" si="3"/>
        <v>30</v>
      </c>
      <c r="F493" s="130" t="s">
        <v>26</v>
      </c>
      <c r="G493" s="131" t="s">
        <v>70</v>
      </c>
      <c r="H493" s="130" t="s">
        <v>124</v>
      </c>
      <c r="I493" s="132">
        <f>32520-7490</f>
        <v>25030</v>
      </c>
      <c r="J493" s="133" t="s">
        <v>125</v>
      </c>
      <c r="K493" s="134" t="s">
        <v>441</v>
      </c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0" customHeight="1">
      <c r="A494" s="25"/>
      <c r="B494" s="126">
        <v>44596.0</v>
      </c>
      <c r="C494" s="127">
        <f t="shared" si="1"/>
        <v>44593</v>
      </c>
      <c r="D494" s="128">
        <f t="shared" si="2"/>
        <v>44596</v>
      </c>
      <c r="E494" s="129">
        <f t="shared" si="3"/>
        <v>6</v>
      </c>
      <c r="F494" s="130" t="s">
        <v>24</v>
      </c>
      <c r="G494" s="131" t="s">
        <v>61</v>
      </c>
      <c r="H494" s="130" t="s">
        <v>124</v>
      </c>
      <c r="I494" s="132">
        <v>25000.0</v>
      </c>
      <c r="J494" s="133" t="s">
        <v>122</v>
      </c>
      <c r="K494" s="134" t="s">
        <v>442</v>
      </c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0" customHeight="1">
      <c r="A495" s="25"/>
      <c r="B495" s="126">
        <v>44623.0</v>
      </c>
      <c r="C495" s="127">
        <f t="shared" si="1"/>
        <v>44621</v>
      </c>
      <c r="D495" s="128">
        <f t="shared" si="2"/>
        <v>44623</v>
      </c>
      <c r="E495" s="129">
        <f t="shared" si="3"/>
        <v>10</v>
      </c>
      <c r="F495" s="130" t="s">
        <v>26</v>
      </c>
      <c r="G495" s="131" t="s">
        <v>76</v>
      </c>
      <c r="H495" s="130" t="s">
        <v>124</v>
      </c>
      <c r="I495" s="132">
        <f>30000-5000</f>
        <v>25000</v>
      </c>
      <c r="J495" s="133" t="s">
        <v>125</v>
      </c>
      <c r="K495" s="134" t="s">
        <v>291</v>
      </c>
      <c r="L495" s="137"/>
      <c r="M495" s="137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0" customHeight="1">
      <c r="A496" s="25"/>
      <c r="B496" s="126">
        <v>44870.0</v>
      </c>
      <c r="C496" s="127">
        <f t="shared" si="1"/>
        <v>44866</v>
      </c>
      <c r="D496" s="128">
        <f t="shared" si="2"/>
        <v>44870</v>
      </c>
      <c r="E496" s="129">
        <f t="shared" si="3"/>
        <v>45</v>
      </c>
      <c r="F496" s="130" t="s">
        <v>26</v>
      </c>
      <c r="G496" s="131" t="s">
        <v>79</v>
      </c>
      <c r="H496" s="130" t="s">
        <v>124</v>
      </c>
      <c r="I496" s="132">
        <v>25000.0</v>
      </c>
      <c r="J496" s="133" t="s">
        <v>125</v>
      </c>
      <c r="K496" s="134" t="s">
        <v>381</v>
      </c>
      <c r="L496" s="27"/>
      <c r="M496" s="137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0" customHeight="1">
      <c r="A497" s="25"/>
      <c r="B497" s="126">
        <v>44870.0</v>
      </c>
      <c r="C497" s="127">
        <f t="shared" si="1"/>
        <v>44866</v>
      </c>
      <c r="D497" s="128">
        <f t="shared" si="2"/>
        <v>44870</v>
      </c>
      <c r="E497" s="129">
        <f t="shared" si="3"/>
        <v>45</v>
      </c>
      <c r="F497" s="130" t="s">
        <v>26</v>
      </c>
      <c r="G497" s="131" t="s">
        <v>70</v>
      </c>
      <c r="H497" s="130" t="s">
        <v>124</v>
      </c>
      <c r="I497" s="132">
        <v>24930.0</v>
      </c>
      <c r="J497" s="133" t="s">
        <v>125</v>
      </c>
      <c r="K497" s="134" t="s">
        <v>443</v>
      </c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0" customHeight="1">
      <c r="A498" s="25"/>
      <c r="B498" s="126">
        <v>44793.0</v>
      </c>
      <c r="C498" s="127">
        <f t="shared" si="1"/>
        <v>44774</v>
      </c>
      <c r="D498" s="128">
        <f t="shared" si="2"/>
        <v>44793</v>
      </c>
      <c r="E498" s="129">
        <f t="shared" si="3"/>
        <v>34</v>
      </c>
      <c r="F498" s="130" t="s">
        <v>26</v>
      </c>
      <c r="G498" s="131" t="s">
        <v>79</v>
      </c>
      <c r="H498" s="130" t="s">
        <v>124</v>
      </c>
      <c r="I498" s="132">
        <v>24800.0</v>
      </c>
      <c r="J498" s="133" t="s">
        <v>122</v>
      </c>
      <c r="K498" s="134" t="s">
        <v>444</v>
      </c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0" customHeight="1">
      <c r="A499" s="25"/>
      <c r="B499" s="126">
        <v>44683.0</v>
      </c>
      <c r="C499" s="127">
        <f t="shared" si="1"/>
        <v>44682</v>
      </c>
      <c r="D499" s="128">
        <f t="shared" si="2"/>
        <v>44683</v>
      </c>
      <c r="E499" s="129">
        <f t="shared" si="3"/>
        <v>19</v>
      </c>
      <c r="F499" s="130" t="s">
        <v>26</v>
      </c>
      <c r="G499" s="131" t="s">
        <v>70</v>
      </c>
      <c r="H499" s="130" t="s">
        <v>124</v>
      </c>
      <c r="I499" s="132">
        <v>24570.0</v>
      </c>
      <c r="J499" s="133" t="s">
        <v>125</v>
      </c>
      <c r="K499" s="134" t="s">
        <v>445</v>
      </c>
      <c r="L499" s="137"/>
      <c r="M499" s="137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0" customHeight="1">
      <c r="A500" s="25"/>
      <c r="B500" s="126">
        <v>44731.0</v>
      </c>
      <c r="C500" s="127">
        <f t="shared" si="1"/>
        <v>44713</v>
      </c>
      <c r="D500" s="128">
        <f t="shared" si="2"/>
        <v>44731</v>
      </c>
      <c r="E500" s="129">
        <f t="shared" si="3"/>
        <v>26</v>
      </c>
      <c r="F500" s="130" t="s">
        <v>26</v>
      </c>
      <c r="G500" s="131" t="s">
        <v>79</v>
      </c>
      <c r="H500" s="130" t="s">
        <v>124</v>
      </c>
      <c r="I500" s="132">
        <v>24500.0</v>
      </c>
      <c r="J500" s="133" t="s">
        <v>122</v>
      </c>
      <c r="K500" s="134" t="s">
        <v>446</v>
      </c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0" customHeight="1">
      <c r="A501" s="25"/>
      <c r="B501" s="126">
        <v>44766.0</v>
      </c>
      <c r="C501" s="127">
        <f t="shared" si="1"/>
        <v>44743</v>
      </c>
      <c r="D501" s="128">
        <f t="shared" si="2"/>
        <v>44766</v>
      </c>
      <c r="E501" s="129">
        <f t="shared" si="3"/>
        <v>31</v>
      </c>
      <c r="F501" s="130" t="s">
        <v>26</v>
      </c>
      <c r="G501" s="131" t="s">
        <v>79</v>
      </c>
      <c r="H501" s="130" t="s">
        <v>124</v>
      </c>
      <c r="I501" s="132">
        <v>24500.0</v>
      </c>
      <c r="J501" s="133" t="s">
        <v>125</v>
      </c>
      <c r="K501" s="134" t="s">
        <v>377</v>
      </c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0" customHeight="1">
      <c r="A502" s="25"/>
      <c r="B502" s="126">
        <v>44688.0</v>
      </c>
      <c r="C502" s="127">
        <f t="shared" si="1"/>
        <v>44682</v>
      </c>
      <c r="D502" s="128">
        <f t="shared" si="2"/>
        <v>44688</v>
      </c>
      <c r="E502" s="129">
        <f t="shared" si="3"/>
        <v>19</v>
      </c>
      <c r="F502" s="130" t="s">
        <v>26</v>
      </c>
      <c r="G502" s="131" t="s">
        <v>79</v>
      </c>
      <c r="H502" s="130" t="s">
        <v>124</v>
      </c>
      <c r="I502" s="132">
        <v>24400.0</v>
      </c>
      <c r="J502" s="133" t="s">
        <v>122</v>
      </c>
      <c r="K502" s="134" t="s">
        <v>447</v>
      </c>
      <c r="L502" s="137"/>
      <c r="M502" s="137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0" customHeight="1">
      <c r="A503" s="25"/>
      <c r="B503" s="126">
        <v>44726.0</v>
      </c>
      <c r="C503" s="127">
        <f t="shared" si="1"/>
        <v>44713</v>
      </c>
      <c r="D503" s="128">
        <f t="shared" si="2"/>
        <v>44726</v>
      </c>
      <c r="E503" s="129">
        <f t="shared" si="3"/>
        <v>25</v>
      </c>
      <c r="F503" s="130" t="s">
        <v>26</v>
      </c>
      <c r="G503" s="131" t="s">
        <v>76</v>
      </c>
      <c r="H503" s="130" t="s">
        <v>124</v>
      </c>
      <c r="I503" s="132">
        <v>24340.0</v>
      </c>
      <c r="J503" s="133" t="s">
        <v>125</v>
      </c>
      <c r="K503" s="134" t="s">
        <v>167</v>
      </c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0" customHeight="1">
      <c r="A504" s="25"/>
      <c r="B504" s="126">
        <v>44892.0</v>
      </c>
      <c r="C504" s="127">
        <f t="shared" si="1"/>
        <v>44866</v>
      </c>
      <c r="D504" s="128">
        <f t="shared" si="2"/>
        <v>44892</v>
      </c>
      <c r="E504" s="129">
        <f t="shared" si="3"/>
        <v>49</v>
      </c>
      <c r="F504" s="130" t="s">
        <v>26</v>
      </c>
      <c r="G504" s="131" t="s">
        <v>82</v>
      </c>
      <c r="H504" s="130" t="s">
        <v>124</v>
      </c>
      <c r="I504" s="132">
        <v>24310.0</v>
      </c>
      <c r="J504" s="133" t="s">
        <v>125</v>
      </c>
      <c r="K504" s="134" t="s">
        <v>448</v>
      </c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0" customHeight="1">
      <c r="A505" s="25"/>
      <c r="B505" s="126">
        <v>44646.0</v>
      </c>
      <c r="C505" s="127">
        <f t="shared" si="1"/>
        <v>44621</v>
      </c>
      <c r="D505" s="128">
        <f t="shared" si="2"/>
        <v>44646</v>
      </c>
      <c r="E505" s="129">
        <f t="shared" si="3"/>
        <v>13</v>
      </c>
      <c r="F505" s="130" t="s">
        <v>26</v>
      </c>
      <c r="G505" s="131" t="s">
        <v>79</v>
      </c>
      <c r="H505" s="130" t="s">
        <v>121</v>
      </c>
      <c r="I505" s="132">
        <f>27000*0.9</f>
        <v>24300</v>
      </c>
      <c r="J505" s="133" t="s">
        <v>125</v>
      </c>
      <c r="K505" s="134" t="s">
        <v>449</v>
      </c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0" customHeight="1">
      <c r="A506" s="25"/>
      <c r="B506" s="126">
        <v>44834.0</v>
      </c>
      <c r="C506" s="127">
        <f t="shared" si="1"/>
        <v>44805</v>
      </c>
      <c r="D506" s="128">
        <f t="shared" si="2"/>
        <v>44834</v>
      </c>
      <c r="E506" s="129">
        <f t="shared" si="3"/>
        <v>40</v>
      </c>
      <c r="F506" s="130" t="s">
        <v>24</v>
      </c>
      <c r="G506" s="131" t="s">
        <v>46</v>
      </c>
      <c r="H506" s="130" t="s">
        <v>124</v>
      </c>
      <c r="I506" s="132">
        <f>13500+10800</f>
        <v>24300</v>
      </c>
      <c r="J506" s="133" t="s">
        <v>125</v>
      </c>
      <c r="K506" s="134" t="s">
        <v>248</v>
      </c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0" customHeight="1">
      <c r="A507" s="25"/>
      <c r="B507" s="126">
        <v>44682.0</v>
      </c>
      <c r="C507" s="127">
        <f t="shared" si="1"/>
        <v>44682</v>
      </c>
      <c r="D507" s="128">
        <f t="shared" si="2"/>
        <v>44682</v>
      </c>
      <c r="E507" s="129">
        <f t="shared" si="3"/>
        <v>19</v>
      </c>
      <c r="F507" s="130" t="s">
        <v>26</v>
      </c>
      <c r="G507" s="131" t="s">
        <v>70</v>
      </c>
      <c r="H507" s="130" t="s">
        <v>124</v>
      </c>
      <c r="I507" s="132">
        <f>26940-2694</f>
        <v>24246</v>
      </c>
      <c r="J507" s="133" t="s">
        <v>125</v>
      </c>
      <c r="K507" s="134" t="s">
        <v>450</v>
      </c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0" customHeight="1">
      <c r="A508" s="25"/>
      <c r="B508" s="126">
        <v>44564.0</v>
      </c>
      <c r="C508" s="127">
        <f t="shared" si="1"/>
        <v>44562</v>
      </c>
      <c r="D508" s="128">
        <f t="shared" si="2"/>
        <v>44564</v>
      </c>
      <c r="E508" s="129">
        <f t="shared" si="3"/>
        <v>2</v>
      </c>
      <c r="F508" s="130" t="s">
        <v>24</v>
      </c>
      <c r="G508" s="131" t="s">
        <v>36</v>
      </c>
      <c r="H508" s="130" t="s">
        <v>124</v>
      </c>
      <c r="I508" s="132">
        <v>24180.0</v>
      </c>
      <c r="J508" s="133" t="s">
        <v>125</v>
      </c>
      <c r="K508" s="134" t="s">
        <v>451</v>
      </c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0" customHeight="1">
      <c r="A509" s="25"/>
      <c r="B509" s="126">
        <v>44564.0</v>
      </c>
      <c r="C509" s="127">
        <f t="shared" si="1"/>
        <v>44562</v>
      </c>
      <c r="D509" s="128">
        <f t="shared" si="2"/>
        <v>44564</v>
      </c>
      <c r="E509" s="129">
        <f t="shared" si="3"/>
        <v>2</v>
      </c>
      <c r="F509" s="130" t="s">
        <v>26</v>
      </c>
      <c r="G509" s="131" t="s">
        <v>76</v>
      </c>
      <c r="H509" s="130" t="s">
        <v>124</v>
      </c>
      <c r="I509" s="132">
        <v>24160.0</v>
      </c>
      <c r="J509" s="133" t="s">
        <v>125</v>
      </c>
      <c r="K509" s="134" t="s">
        <v>452</v>
      </c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0" customHeight="1">
      <c r="A510" s="25"/>
      <c r="B510" s="126">
        <v>44679.0</v>
      </c>
      <c r="C510" s="127">
        <f t="shared" si="1"/>
        <v>44652</v>
      </c>
      <c r="D510" s="128">
        <f t="shared" si="2"/>
        <v>44679</v>
      </c>
      <c r="E510" s="129">
        <f t="shared" si="3"/>
        <v>18</v>
      </c>
      <c r="F510" s="130" t="s">
        <v>26</v>
      </c>
      <c r="G510" s="131" t="s">
        <v>76</v>
      </c>
      <c r="H510" s="130" t="s">
        <v>124</v>
      </c>
      <c r="I510" s="132">
        <v>24160.0</v>
      </c>
      <c r="J510" s="133" t="s">
        <v>125</v>
      </c>
      <c r="K510" s="134" t="s">
        <v>453</v>
      </c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0" customHeight="1">
      <c r="A511" s="25"/>
      <c r="B511" s="126">
        <v>44692.0</v>
      </c>
      <c r="C511" s="127">
        <f t="shared" si="1"/>
        <v>44682</v>
      </c>
      <c r="D511" s="128">
        <f t="shared" si="2"/>
        <v>44692</v>
      </c>
      <c r="E511" s="129">
        <f t="shared" si="3"/>
        <v>20</v>
      </c>
      <c r="F511" s="130" t="s">
        <v>26</v>
      </c>
      <c r="G511" s="131" t="s">
        <v>82</v>
      </c>
      <c r="H511" s="130" t="s">
        <v>124</v>
      </c>
      <c r="I511" s="132">
        <f>15024+9000</f>
        <v>24024</v>
      </c>
      <c r="J511" s="133" t="s">
        <v>125</v>
      </c>
      <c r="K511" s="134" t="s">
        <v>454</v>
      </c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0" customHeight="1">
      <c r="A512" s="25"/>
      <c r="B512" s="126">
        <v>44572.0</v>
      </c>
      <c r="C512" s="127">
        <f t="shared" si="1"/>
        <v>44562</v>
      </c>
      <c r="D512" s="128">
        <f t="shared" si="2"/>
        <v>44572</v>
      </c>
      <c r="E512" s="129">
        <f t="shared" si="3"/>
        <v>3</v>
      </c>
      <c r="F512" s="130" t="s">
        <v>24</v>
      </c>
      <c r="G512" s="131" t="s">
        <v>61</v>
      </c>
      <c r="H512" s="130" t="s">
        <v>124</v>
      </c>
      <c r="I512" s="132">
        <v>24000.0</v>
      </c>
      <c r="J512" s="133" t="s">
        <v>122</v>
      </c>
      <c r="K512" s="134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0" customHeight="1">
      <c r="A513" s="25"/>
      <c r="B513" s="126">
        <v>44600.0</v>
      </c>
      <c r="C513" s="127">
        <f t="shared" si="1"/>
        <v>44593</v>
      </c>
      <c r="D513" s="128">
        <f t="shared" si="2"/>
        <v>44600</v>
      </c>
      <c r="E513" s="129">
        <f t="shared" si="3"/>
        <v>7</v>
      </c>
      <c r="F513" s="130" t="s">
        <v>26</v>
      </c>
      <c r="G513" s="131" t="s">
        <v>79</v>
      </c>
      <c r="H513" s="130" t="s">
        <v>124</v>
      </c>
      <c r="I513" s="132">
        <v>24000.0</v>
      </c>
      <c r="J513" s="133" t="s">
        <v>122</v>
      </c>
      <c r="K513" s="134" t="s">
        <v>455</v>
      </c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0" customHeight="1">
      <c r="A514" s="25"/>
      <c r="B514" s="126">
        <v>44604.0</v>
      </c>
      <c r="C514" s="127">
        <f t="shared" si="1"/>
        <v>44593</v>
      </c>
      <c r="D514" s="128">
        <f t="shared" si="2"/>
        <v>44604</v>
      </c>
      <c r="E514" s="129">
        <f t="shared" si="3"/>
        <v>7</v>
      </c>
      <c r="F514" s="130" t="s">
        <v>26</v>
      </c>
      <c r="G514" s="131" t="s">
        <v>73</v>
      </c>
      <c r="H514" s="130" t="s">
        <v>124</v>
      </c>
      <c r="I514" s="132">
        <v>24000.0</v>
      </c>
      <c r="J514" s="133" t="s">
        <v>122</v>
      </c>
      <c r="K514" s="134" t="s">
        <v>430</v>
      </c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0" customHeight="1">
      <c r="A515" s="25"/>
      <c r="B515" s="126">
        <v>44612.0</v>
      </c>
      <c r="C515" s="127">
        <f t="shared" si="1"/>
        <v>44593</v>
      </c>
      <c r="D515" s="128">
        <f t="shared" si="2"/>
        <v>44612</v>
      </c>
      <c r="E515" s="129">
        <f t="shared" si="3"/>
        <v>9</v>
      </c>
      <c r="F515" s="130" t="s">
        <v>26</v>
      </c>
      <c r="G515" s="131" t="s">
        <v>79</v>
      </c>
      <c r="H515" s="130" t="s">
        <v>124</v>
      </c>
      <c r="I515" s="132">
        <v>24000.0</v>
      </c>
      <c r="J515" s="133" t="s">
        <v>122</v>
      </c>
      <c r="K515" s="134" t="s">
        <v>456</v>
      </c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0" customHeight="1">
      <c r="A516" s="25"/>
      <c r="B516" s="126">
        <v>44716.0</v>
      </c>
      <c r="C516" s="127">
        <f t="shared" si="1"/>
        <v>44713</v>
      </c>
      <c r="D516" s="128">
        <f t="shared" si="2"/>
        <v>44716</v>
      </c>
      <c r="E516" s="129">
        <f t="shared" si="3"/>
        <v>23</v>
      </c>
      <c r="F516" s="130" t="s">
        <v>26</v>
      </c>
      <c r="G516" s="131" t="s">
        <v>79</v>
      </c>
      <c r="H516" s="130" t="s">
        <v>124</v>
      </c>
      <c r="I516" s="132">
        <v>24000.0</v>
      </c>
      <c r="J516" s="133" t="s">
        <v>122</v>
      </c>
      <c r="K516" s="134" t="s">
        <v>457</v>
      </c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0" customHeight="1">
      <c r="A517" s="25"/>
      <c r="B517" s="126">
        <v>44716.0</v>
      </c>
      <c r="C517" s="127">
        <f t="shared" si="1"/>
        <v>44713</v>
      </c>
      <c r="D517" s="128">
        <f t="shared" si="2"/>
        <v>44716</v>
      </c>
      <c r="E517" s="129">
        <f t="shared" si="3"/>
        <v>23</v>
      </c>
      <c r="F517" s="130" t="s">
        <v>26</v>
      </c>
      <c r="G517" s="131" t="s">
        <v>73</v>
      </c>
      <c r="H517" s="130" t="s">
        <v>124</v>
      </c>
      <c r="I517" s="132">
        <f>72000-48000</f>
        <v>24000</v>
      </c>
      <c r="J517" s="133" t="s">
        <v>122</v>
      </c>
      <c r="K517" s="134" t="s">
        <v>458</v>
      </c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0" customHeight="1">
      <c r="A518" s="25"/>
      <c r="B518" s="126">
        <v>44765.0</v>
      </c>
      <c r="C518" s="127">
        <f t="shared" si="1"/>
        <v>44743</v>
      </c>
      <c r="D518" s="128">
        <f t="shared" si="2"/>
        <v>44765</v>
      </c>
      <c r="E518" s="129">
        <f t="shared" si="3"/>
        <v>30</v>
      </c>
      <c r="F518" s="130" t="s">
        <v>128</v>
      </c>
      <c r="G518" s="131" t="s">
        <v>129</v>
      </c>
      <c r="H518" s="130" t="s">
        <v>124</v>
      </c>
      <c r="I518" s="132">
        <v>24000.0</v>
      </c>
      <c r="J518" s="133" t="s">
        <v>125</v>
      </c>
      <c r="K518" s="134" t="s">
        <v>459</v>
      </c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0" customHeight="1">
      <c r="A519" s="25"/>
      <c r="B519" s="126">
        <v>44921.0</v>
      </c>
      <c r="C519" s="127">
        <f t="shared" si="1"/>
        <v>44896</v>
      </c>
      <c r="D519" s="128">
        <f t="shared" si="2"/>
        <v>44921</v>
      </c>
      <c r="E519" s="129">
        <f t="shared" si="3"/>
        <v>53</v>
      </c>
      <c r="F519" s="130" t="s">
        <v>128</v>
      </c>
      <c r="G519" s="131" t="s">
        <v>172</v>
      </c>
      <c r="H519" s="130" t="s">
        <v>124</v>
      </c>
      <c r="I519" s="132">
        <v>24000.0</v>
      </c>
      <c r="J519" s="133" t="s">
        <v>122</v>
      </c>
      <c r="K519" s="134" t="s">
        <v>460</v>
      </c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0" customHeight="1">
      <c r="A520" s="25"/>
      <c r="B520" s="126">
        <v>44921.0</v>
      </c>
      <c r="C520" s="127">
        <f t="shared" si="1"/>
        <v>44896</v>
      </c>
      <c r="D520" s="128">
        <f t="shared" si="2"/>
        <v>44921</v>
      </c>
      <c r="E520" s="129">
        <f t="shared" si="3"/>
        <v>53</v>
      </c>
      <c r="F520" s="130" t="s">
        <v>128</v>
      </c>
      <c r="G520" s="131" t="s">
        <v>172</v>
      </c>
      <c r="H520" s="130" t="s">
        <v>124</v>
      </c>
      <c r="I520" s="132">
        <v>24000.0</v>
      </c>
      <c r="J520" s="133" t="s">
        <v>125</v>
      </c>
      <c r="K520" s="134" t="s">
        <v>460</v>
      </c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0" customHeight="1">
      <c r="A521" s="25"/>
      <c r="B521" s="126">
        <v>44639.0</v>
      </c>
      <c r="C521" s="127">
        <f t="shared" si="1"/>
        <v>44621</v>
      </c>
      <c r="D521" s="128">
        <f t="shared" si="2"/>
        <v>44639</v>
      </c>
      <c r="E521" s="129">
        <f t="shared" si="3"/>
        <v>12</v>
      </c>
      <c r="F521" s="130" t="s">
        <v>26</v>
      </c>
      <c r="G521" s="131" t="s">
        <v>76</v>
      </c>
      <c r="H521" s="130" t="s">
        <v>124</v>
      </c>
      <c r="I521" s="132">
        <v>23990.0</v>
      </c>
      <c r="J521" s="133" t="s">
        <v>122</v>
      </c>
      <c r="K521" s="134" t="s">
        <v>247</v>
      </c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0" customHeight="1">
      <c r="A522" s="25"/>
      <c r="B522" s="126">
        <v>44633.0</v>
      </c>
      <c r="C522" s="127">
        <f t="shared" si="1"/>
        <v>44621</v>
      </c>
      <c r="D522" s="128">
        <f t="shared" si="2"/>
        <v>44633</v>
      </c>
      <c r="E522" s="129">
        <f t="shared" si="3"/>
        <v>12</v>
      </c>
      <c r="F522" s="130" t="s">
        <v>26</v>
      </c>
      <c r="G522" s="131" t="s">
        <v>76</v>
      </c>
      <c r="H522" s="130" t="s">
        <v>124</v>
      </c>
      <c r="I522" s="132">
        <v>23900.0</v>
      </c>
      <c r="J522" s="133" t="s">
        <v>122</v>
      </c>
      <c r="K522" s="134" t="s">
        <v>461</v>
      </c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0" customHeight="1">
      <c r="A523" s="25"/>
      <c r="B523" s="126">
        <v>44662.0</v>
      </c>
      <c r="C523" s="127">
        <f t="shared" si="1"/>
        <v>44652</v>
      </c>
      <c r="D523" s="128">
        <f t="shared" si="2"/>
        <v>44662</v>
      </c>
      <c r="E523" s="129">
        <f t="shared" si="3"/>
        <v>16</v>
      </c>
      <c r="F523" s="130" t="s">
        <v>26</v>
      </c>
      <c r="G523" s="131" t="s">
        <v>76</v>
      </c>
      <c r="H523" s="130" t="s">
        <v>124</v>
      </c>
      <c r="I523" s="132">
        <v>23830.0</v>
      </c>
      <c r="J523" s="133" t="s">
        <v>125</v>
      </c>
      <c r="K523" s="134" t="s">
        <v>167</v>
      </c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0" customHeight="1">
      <c r="A524" s="25"/>
      <c r="B524" s="126">
        <v>44603.0</v>
      </c>
      <c r="C524" s="127">
        <f t="shared" si="1"/>
        <v>44593</v>
      </c>
      <c r="D524" s="128">
        <f t="shared" si="2"/>
        <v>44603</v>
      </c>
      <c r="E524" s="129">
        <f t="shared" si="3"/>
        <v>7</v>
      </c>
      <c r="F524" s="130" t="s">
        <v>26</v>
      </c>
      <c r="G524" s="131" t="s">
        <v>76</v>
      </c>
      <c r="H524" s="130" t="s">
        <v>124</v>
      </c>
      <c r="I524" s="132">
        <v>23530.0</v>
      </c>
      <c r="J524" s="133" t="s">
        <v>125</v>
      </c>
      <c r="K524" s="134" t="s">
        <v>167</v>
      </c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0" customHeight="1">
      <c r="A525" s="25"/>
      <c r="B525" s="126">
        <v>44594.0</v>
      </c>
      <c r="C525" s="127">
        <f t="shared" si="1"/>
        <v>44593</v>
      </c>
      <c r="D525" s="128">
        <f t="shared" si="2"/>
        <v>44594</v>
      </c>
      <c r="E525" s="129">
        <f t="shared" si="3"/>
        <v>6</v>
      </c>
      <c r="F525" s="130" t="s">
        <v>24</v>
      </c>
      <c r="G525" s="131" t="s">
        <v>36</v>
      </c>
      <c r="H525" s="130" t="s">
        <v>124</v>
      </c>
      <c r="I525" s="132">
        <v>23490.0</v>
      </c>
      <c r="J525" s="133" t="s">
        <v>125</v>
      </c>
      <c r="K525" s="134" t="s">
        <v>462</v>
      </c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0" customHeight="1">
      <c r="A526" s="25"/>
      <c r="B526" s="126">
        <v>44884.0</v>
      </c>
      <c r="C526" s="127">
        <f t="shared" si="1"/>
        <v>44866</v>
      </c>
      <c r="D526" s="128">
        <f t="shared" si="2"/>
        <v>44884</v>
      </c>
      <c r="E526" s="129">
        <f t="shared" si="3"/>
        <v>47</v>
      </c>
      <c r="F526" s="130" t="s">
        <v>26</v>
      </c>
      <c r="G526" s="131" t="s">
        <v>79</v>
      </c>
      <c r="H526" s="130" t="s">
        <v>124</v>
      </c>
      <c r="I526" s="132">
        <v>23400.0</v>
      </c>
      <c r="J526" s="133" t="s">
        <v>122</v>
      </c>
      <c r="K526" s="134" t="s">
        <v>439</v>
      </c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0" customHeight="1">
      <c r="A527" s="25"/>
      <c r="B527" s="126">
        <v>44883.0</v>
      </c>
      <c r="C527" s="127">
        <f t="shared" si="1"/>
        <v>44866</v>
      </c>
      <c r="D527" s="128">
        <f t="shared" si="2"/>
        <v>44883</v>
      </c>
      <c r="E527" s="129">
        <f t="shared" si="3"/>
        <v>47</v>
      </c>
      <c r="F527" s="130" t="s">
        <v>26</v>
      </c>
      <c r="G527" s="131" t="s">
        <v>76</v>
      </c>
      <c r="H527" s="130" t="s">
        <v>124</v>
      </c>
      <c r="I527" s="132">
        <v>23360.0</v>
      </c>
      <c r="J527" s="133" t="s">
        <v>125</v>
      </c>
      <c r="K527" s="134" t="s">
        <v>167</v>
      </c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0" customHeight="1">
      <c r="A528" s="25"/>
      <c r="B528" s="126">
        <v>44742.0</v>
      </c>
      <c r="C528" s="127">
        <f t="shared" si="1"/>
        <v>44713</v>
      </c>
      <c r="D528" s="128">
        <f t="shared" si="2"/>
        <v>44742</v>
      </c>
      <c r="E528" s="129">
        <f t="shared" si="3"/>
        <v>27</v>
      </c>
      <c r="F528" s="130" t="s">
        <v>26</v>
      </c>
      <c r="G528" s="131" t="s">
        <v>76</v>
      </c>
      <c r="H528" s="130" t="s">
        <v>124</v>
      </c>
      <c r="I528" s="132">
        <v>23270.0</v>
      </c>
      <c r="J528" s="133" t="s">
        <v>125</v>
      </c>
      <c r="K528" s="134" t="s">
        <v>463</v>
      </c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0" customHeight="1">
      <c r="A529" s="25"/>
      <c r="B529" s="126">
        <v>44855.0</v>
      </c>
      <c r="C529" s="127">
        <f t="shared" si="1"/>
        <v>44835</v>
      </c>
      <c r="D529" s="128">
        <f t="shared" si="2"/>
        <v>44855</v>
      </c>
      <c r="E529" s="129">
        <f t="shared" si="3"/>
        <v>43</v>
      </c>
      <c r="F529" s="130" t="s">
        <v>26</v>
      </c>
      <c r="G529" s="131" t="s">
        <v>76</v>
      </c>
      <c r="H529" s="130" t="s">
        <v>124</v>
      </c>
      <c r="I529" s="132">
        <v>23260.0</v>
      </c>
      <c r="J529" s="133" t="s">
        <v>125</v>
      </c>
      <c r="K529" s="134" t="s">
        <v>167</v>
      </c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0" customHeight="1">
      <c r="A530" s="25"/>
      <c r="B530" s="126">
        <v>44711.0</v>
      </c>
      <c r="C530" s="127">
        <f t="shared" si="1"/>
        <v>44682</v>
      </c>
      <c r="D530" s="128">
        <f t="shared" si="2"/>
        <v>44711</v>
      </c>
      <c r="E530" s="129">
        <f t="shared" si="3"/>
        <v>23</v>
      </c>
      <c r="F530" s="130" t="s">
        <v>26</v>
      </c>
      <c r="G530" s="131" t="s">
        <v>70</v>
      </c>
      <c r="H530" s="130" t="s">
        <v>124</v>
      </c>
      <c r="I530" s="132">
        <v>23230.0</v>
      </c>
      <c r="J530" s="133" t="s">
        <v>125</v>
      </c>
      <c r="K530" s="134" t="s">
        <v>247</v>
      </c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0" customHeight="1">
      <c r="A531" s="25"/>
      <c r="B531" s="126">
        <v>44688.0</v>
      </c>
      <c r="C531" s="127">
        <f t="shared" si="1"/>
        <v>44682</v>
      </c>
      <c r="D531" s="128">
        <f t="shared" si="2"/>
        <v>44688</v>
      </c>
      <c r="E531" s="129">
        <f t="shared" si="3"/>
        <v>19</v>
      </c>
      <c r="F531" s="130" t="s">
        <v>26</v>
      </c>
      <c r="G531" s="131" t="s">
        <v>82</v>
      </c>
      <c r="H531" s="130" t="s">
        <v>124</v>
      </c>
      <c r="I531" s="132">
        <v>23220.0</v>
      </c>
      <c r="J531" s="133" t="s">
        <v>122</v>
      </c>
      <c r="K531" s="134" t="s">
        <v>464</v>
      </c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0" customHeight="1">
      <c r="A532" s="25"/>
      <c r="B532" s="126">
        <v>44759.0</v>
      </c>
      <c r="C532" s="127">
        <f t="shared" si="1"/>
        <v>44743</v>
      </c>
      <c r="D532" s="128">
        <f t="shared" si="2"/>
        <v>44759</v>
      </c>
      <c r="E532" s="129">
        <f t="shared" si="3"/>
        <v>30</v>
      </c>
      <c r="F532" s="130" t="s">
        <v>26</v>
      </c>
      <c r="G532" s="131" t="s">
        <v>70</v>
      </c>
      <c r="H532" s="130" t="s">
        <v>124</v>
      </c>
      <c r="I532" s="132">
        <f>25560-2556</f>
        <v>23004</v>
      </c>
      <c r="J532" s="133" t="s">
        <v>125</v>
      </c>
      <c r="K532" s="134" t="s">
        <v>465</v>
      </c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0" customHeight="1">
      <c r="A533" s="25"/>
      <c r="B533" s="126">
        <v>44576.0</v>
      </c>
      <c r="C533" s="127">
        <f t="shared" si="1"/>
        <v>44562</v>
      </c>
      <c r="D533" s="128">
        <f t="shared" si="2"/>
        <v>44576</v>
      </c>
      <c r="E533" s="129">
        <f t="shared" si="3"/>
        <v>3</v>
      </c>
      <c r="F533" s="130" t="s">
        <v>26</v>
      </c>
      <c r="G533" s="131" t="s">
        <v>76</v>
      </c>
      <c r="H533" s="130" t="s">
        <v>124</v>
      </c>
      <c r="I533" s="132">
        <v>23000.0</v>
      </c>
      <c r="J533" s="133" t="s">
        <v>122</v>
      </c>
      <c r="K533" s="134" t="s">
        <v>466</v>
      </c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0" customHeight="1">
      <c r="A534" s="25"/>
      <c r="B534" s="126">
        <v>44615.0</v>
      </c>
      <c r="C534" s="127">
        <f t="shared" si="1"/>
        <v>44593</v>
      </c>
      <c r="D534" s="128">
        <f t="shared" si="2"/>
        <v>44615</v>
      </c>
      <c r="E534" s="129">
        <f t="shared" si="3"/>
        <v>9</v>
      </c>
      <c r="F534" s="130" t="s">
        <v>26</v>
      </c>
      <c r="G534" s="131" t="s">
        <v>79</v>
      </c>
      <c r="H534" s="130" t="s">
        <v>124</v>
      </c>
      <c r="I534" s="132">
        <v>23000.0</v>
      </c>
      <c r="J534" s="133" t="s">
        <v>125</v>
      </c>
      <c r="K534" s="134" t="s">
        <v>428</v>
      </c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0" customHeight="1">
      <c r="A535" s="25"/>
      <c r="B535" s="126">
        <v>44654.0</v>
      </c>
      <c r="C535" s="127">
        <f t="shared" si="1"/>
        <v>44652</v>
      </c>
      <c r="D535" s="128">
        <f t="shared" si="2"/>
        <v>44654</v>
      </c>
      <c r="E535" s="129">
        <f t="shared" si="3"/>
        <v>15</v>
      </c>
      <c r="F535" s="130" t="s">
        <v>26</v>
      </c>
      <c r="G535" s="131" t="s">
        <v>79</v>
      </c>
      <c r="H535" s="130" t="s">
        <v>124</v>
      </c>
      <c r="I535" s="132">
        <v>23000.0</v>
      </c>
      <c r="J535" s="133" t="s">
        <v>122</v>
      </c>
      <c r="K535" s="134" t="s">
        <v>467</v>
      </c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0" customHeight="1">
      <c r="A536" s="25"/>
      <c r="B536" s="126">
        <v>44902.0</v>
      </c>
      <c r="C536" s="127">
        <f t="shared" si="1"/>
        <v>44896</v>
      </c>
      <c r="D536" s="128">
        <f t="shared" si="2"/>
        <v>44902</v>
      </c>
      <c r="E536" s="129">
        <f t="shared" si="3"/>
        <v>50</v>
      </c>
      <c r="F536" s="130" t="s">
        <v>26</v>
      </c>
      <c r="G536" s="131" t="s">
        <v>79</v>
      </c>
      <c r="H536" s="130" t="s">
        <v>124</v>
      </c>
      <c r="I536" s="132">
        <v>23000.0</v>
      </c>
      <c r="J536" s="133" t="s">
        <v>122</v>
      </c>
      <c r="K536" s="134" t="s">
        <v>468</v>
      </c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0" customHeight="1">
      <c r="A537" s="25"/>
      <c r="B537" s="126">
        <v>44676.0</v>
      </c>
      <c r="C537" s="127">
        <f t="shared" si="1"/>
        <v>44652</v>
      </c>
      <c r="D537" s="128">
        <f t="shared" si="2"/>
        <v>44676</v>
      </c>
      <c r="E537" s="129">
        <f t="shared" si="3"/>
        <v>18</v>
      </c>
      <c r="F537" s="130" t="s">
        <v>26</v>
      </c>
      <c r="G537" s="131" t="s">
        <v>70</v>
      </c>
      <c r="H537" s="130" t="s">
        <v>124</v>
      </c>
      <c r="I537" s="132">
        <f>25320-2382</f>
        <v>22938</v>
      </c>
      <c r="J537" s="133" t="s">
        <v>125</v>
      </c>
      <c r="K537" s="134" t="s">
        <v>469</v>
      </c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0" customHeight="1">
      <c r="A538" s="25"/>
      <c r="B538" s="126">
        <v>44730.0</v>
      </c>
      <c r="C538" s="127">
        <f t="shared" si="1"/>
        <v>44713</v>
      </c>
      <c r="D538" s="128">
        <f t="shared" si="2"/>
        <v>44730</v>
      </c>
      <c r="E538" s="129">
        <f t="shared" si="3"/>
        <v>25</v>
      </c>
      <c r="F538" s="130" t="s">
        <v>26</v>
      </c>
      <c r="G538" s="131" t="s">
        <v>70</v>
      </c>
      <c r="H538" s="130" t="s">
        <v>124</v>
      </c>
      <c r="I538" s="132">
        <v>22890.0</v>
      </c>
      <c r="J538" s="133" t="s">
        <v>125</v>
      </c>
      <c r="K538" s="134" t="s">
        <v>247</v>
      </c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0" customHeight="1">
      <c r="A539" s="25"/>
      <c r="B539" s="126">
        <v>44647.0</v>
      </c>
      <c r="C539" s="127">
        <f t="shared" si="1"/>
        <v>44621</v>
      </c>
      <c r="D539" s="128">
        <f t="shared" si="2"/>
        <v>44647</v>
      </c>
      <c r="E539" s="129">
        <f t="shared" si="3"/>
        <v>14</v>
      </c>
      <c r="F539" s="130" t="s">
        <v>26</v>
      </c>
      <c r="G539" s="131" t="s">
        <v>70</v>
      </c>
      <c r="H539" s="130" t="s">
        <v>124</v>
      </c>
      <c r="I539" s="132">
        <v>22790.0</v>
      </c>
      <c r="J539" s="133" t="s">
        <v>125</v>
      </c>
      <c r="K539" s="134" t="s">
        <v>470</v>
      </c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0" customHeight="1">
      <c r="A540" s="25"/>
      <c r="B540" s="126">
        <v>44651.0</v>
      </c>
      <c r="C540" s="127">
        <f t="shared" si="1"/>
        <v>44621</v>
      </c>
      <c r="D540" s="128">
        <f t="shared" si="2"/>
        <v>44651</v>
      </c>
      <c r="E540" s="129">
        <f t="shared" si="3"/>
        <v>14</v>
      </c>
      <c r="F540" s="130" t="s">
        <v>24</v>
      </c>
      <c r="G540" s="131" t="s">
        <v>46</v>
      </c>
      <c r="H540" s="130" t="s">
        <v>124</v>
      </c>
      <c r="I540" s="132">
        <f>6400+16300</f>
        <v>22700</v>
      </c>
      <c r="J540" s="133" t="s">
        <v>125</v>
      </c>
      <c r="K540" s="134" t="s">
        <v>248</v>
      </c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0" customHeight="1">
      <c r="A541" s="25"/>
      <c r="B541" s="126">
        <v>44895.0</v>
      </c>
      <c r="C541" s="127">
        <f t="shared" si="1"/>
        <v>44866</v>
      </c>
      <c r="D541" s="128">
        <f t="shared" si="2"/>
        <v>44895</v>
      </c>
      <c r="E541" s="129">
        <f t="shared" si="3"/>
        <v>49</v>
      </c>
      <c r="F541" s="130" t="s">
        <v>24</v>
      </c>
      <c r="G541" s="131" t="s">
        <v>29</v>
      </c>
      <c r="H541" s="130" t="s">
        <v>124</v>
      </c>
      <c r="I541" s="132">
        <f>18000-3600+10350-2070</f>
        <v>22680</v>
      </c>
      <c r="J541" s="133" t="s">
        <v>125</v>
      </c>
      <c r="K541" s="134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0" customHeight="1">
      <c r="A542" s="25"/>
      <c r="B542" s="126">
        <v>44916.0</v>
      </c>
      <c r="C542" s="127">
        <f t="shared" si="1"/>
        <v>44896</v>
      </c>
      <c r="D542" s="128">
        <f t="shared" si="2"/>
        <v>44916</v>
      </c>
      <c r="E542" s="129">
        <f t="shared" si="3"/>
        <v>52</v>
      </c>
      <c r="F542" s="130" t="s">
        <v>26</v>
      </c>
      <c r="G542" s="131" t="s">
        <v>76</v>
      </c>
      <c r="H542" s="130" t="s">
        <v>124</v>
      </c>
      <c r="I542" s="132">
        <f>23480-922</f>
        <v>22558</v>
      </c>
      <c r="J542" s="133" t="s">
        <v>125</v>
      </c>
      <c r="K542" s="134" t="s">
        <v>471</v>
      </c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0" customHeight="1">
      <c r="A543" s="25"/>
      <c r="B543" s="126">
        <v>44914.0</v>
      </c>
      <c r="C543" s="127">
        <f t="shared" si="1"/>
        <v>44896</v>
      </c>
      <c r="D543" s="128">
        <f t="shared" si="2"/>
        <v>44914</v>
      </c>
      <c r="E543" s="129">
        <f t="shared" si="3"/>
        <v>52</v>
      </c>
      <c r="F543" s="130" t="s">
        <v>26</v>
      </c>
      <c r="G543" s="131" t="s">
        <v>70</v>
      </c>
      <c r="H543" s="130" t="s">
        <v>124</v>
      </c>
      <c r="I543" s="132">
        <f>25020-2502</f>
        <v>22518</v>
      </c>
      <c r="J543" s="133" t="s">
        <v>125</v>
      </c>
      <c r="K543" s="134" t="s">
        <v>472</v>
      </c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0" customHeight="1">
      <c r="A544" s="25"/>
      <c r="B544" s="126">
        <v>44618.0</v>
      </c>
      <c r="C544" s="127">
        <f t="shared" si="1"/>
        <v>44593</v>
      </c>
      <c r="D544" s="128">
        <f t="shared" si="2"/>
        <v>44618</v>
      </c>
      <c r="E544" s="129">
        <f t="shared" si="3"/>
        <v>9</v>
      </c>
      <c r="F544" s="130" t="s">
        <v>128</v>
      </c>
      <c r="G544" s="131" t="s">
        <v>172</v>
      </c>
      <c r="H544" s="130" t="s">
        <v>124</v>
      </c>
      <c r="I544" s="132">
        <v>22500.0</v>
      </c>
      <c r="J544" s="133" t="s">
        <v>125</v>
      </c>
      <c r="K544" s="134" t="s">
        <v>473</v>
      </c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0" customHeight="1">
      <c r="A545" s="25"/>
      <c r="B545" s="126">
        <v>44655.0</v>
      </c>
      <c r="C545" s="127">
        <f t="shared" si="1"/>
        <v>44652</v>
      </c>
      <c r="D545" s="128">
        <f t="shared" si="2"/>
        <v>44655</v>
      </c>
      <c r="E545" s="129">
        <f t="shared" si="3"/>
        <v>15</v>
      </c>
      <c r="F545" s="130" t="s">
        <v>26</v>
      </c>
      <c r="G545" s="131" t="s">
        <v>79</v>
      </c>
      <c r="H545" s="130" t="s">
        <v>124</v>
      </c>
      <c r="I545" s="132">
        <v>22500.0</v>
      </c>
      <c r="J545" s="133" t="s">
        <v>125</v>
      </c>
      <c r="K545" s="134" t="s">
        <v>474</v>
      </c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0" customHeight="1">
      <c r="A546" s="25"/>
      <c r="B546" s="126">
        <v>44682.0</v>
      </c>
      <c r="C546" s="127">
        <f t="shared" si="1"/>
        <v>44682</v>
      </c>
      <c r="D546" s="128">
        <f t="shared" si="2"/>
        <v>44682</v>
      </c>
      <c r="E546" s="129">
        <f t="shared" si="3"/>
        <v>19</v>
      </c>
      <c r="F546" s="130" t="s">
        <v>26</v>
      </c>
      <c r="G546" s="131" t="s">
        <v>79</v>
      </c>
      <c r="H546" s="130" t="s">
        <v>124</v>
      </c>
      <c r="I546" s="132">
        <v>22500.0</v>
      </c>
      <c r="J546" s="133" t="s">
        <v>125</v>
      </c>
      <c r="K546" s="134" t="s">
        <v>474</v>
      </c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0" customHeight="1">
      <c r="A547" s="25"/>
      <c r="B547" s="126">
        <v>44704.0</v>
      </c>
      <c r="C547" s="127">
        <f t="shared" si="1"/>
        <v>44682</v>
      </c>
      <c r="D547" s="128">
        <f t="shared" si="2"/>
        <v>44704</v>
      </c>
      <c r="E547" s="129">
        <f t="shared" si="3"/>
        <v>22</v>
      </c>
      <c r="F547" s="130" t="s">
        <v>26</v>
      </c>
      <c r="G547" s="131" t="s">
        <v>79</v>
      </c>
      <c r="H547" s="130" t="s">
        <v>124</v>
      </c>
      <c r="I547" s="132">
        <v>22500.0</v>
      </c>
      <c r="J547" s="133" t="s">
        <v>125</v>
      </c>
      <c r="K547" s="134" t="s">
        <v>475</v>
      </c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0" customHeight="1">
      <c r="A548" s="25"/>
      <c r="B548" s="126">
        <v>44783.0</v>
      </c>
      <c r="C548" s="127">
        <f t="shared" si="1"/>
        <v>44774</v>
      </c>
      <c r="D548" s="128">
        <f t="shared" si="2"/>
        <v>44783</v>
      </c>
      <c r="E548" s="129">
        <f t="shared" si="3"/>
        <v>33</v>
      </c>
      <c r="F548" s="130" t="s">
        <v>26</v>
      </c>
      <c r="G548" s="131" t="s">
        <v>79</v>
      </c>
      <c r="H548" s="130" t="s">
        <v>124</v>
      </c>
      <c r="I548" s="132">
        <v>22500.0</v>
      </c>
      <c r="J548" s="133" t="s">
        <v>125</v>
      </c>
      <c r="K548" s="134" t="s">
        <v>476</v>
      </c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0" customHeight="1">
      <c r="A549" s="25"/>
      <c r="B549" s="126">
        <v>44926.0</v>
      </c>
      <c r="C549" s="127">
        <f t="shared" si="1"/>
        <v>44896</v>
      </c>
      <c r="D549" s="128">
        <f t="shared" si="2"/>
        <v>44926</v>
      </c>
      <c r="E549" s="129">
        <f t="shared" si="3"/>
        <v>53</v>
      </c>
      <c r="F549" s="130" t="s">
        <v>26</v>
      </c>
      <c r="G549" s="131" t="s">
        <v>79</v>
      </c>
      <c r="H549" s="130" t="s">
        <v>121</v>
      </c>
      <c r="I549" s="132">
        <f>25000*0.9</f>
        <v>22500</v>
      </c>
      <c r="J549" s="133" t="s">
        <v>125</v>
      </c>
      <c r="K549" s="134" t="s">
        <v>477</v>
      </c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0" customHeight="1">
      <c r="A550" s="25"/>
      <c r="B550" s="126">
        <v>44905.0</v>
      </c>
      <c r="C550" s="127">
        <f t="shared" si="1"/>
        <v>44896</v>
      </c>
      <c r="D550" s="128">
        <f t="shared" si="2"/>
        <v>44905</v>
      </c>
      <c r="E550" s="129">
        <f t="shared" si="3"/>
        <v>50</v>
      </c>
      <c r="F550" s="130" t="s">
        <v>26</v>
      </c>
      <c r="G550" s="131" t="s">
        <v>82</v>
      </c>
      <c r="H550" s="130" t="s">
        <v>124</v>
      </c>
      <c r="I550" s="132">
        <v>22390.0</v>
      </c>
      <c r="J550" s="133" t="s">
        <v>125</v>
      </c>
      <c r="K550" s="134" t="s">
        <v>478</v>
      </c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0" customHeight="1">
      <c r="A551" s="25"/>
      <c r="B551" s="126">
        <v>44602.0</v>
      </c>
      <c r="C551" s="127">
        <f t="shared" si="1"/>
        <v>44593</v>
      </c>
      <c r="D551" s="128">
        <f t="shared" si="2"/>
        <v>44602</v>
      </c>
      <c r="E551" s="129">
        <f t="shared" si="3"/>
        <v>7</v>
      </c>
      <c r="F551" s="130" t="s">
        <v>26</v>
      </c>
      <c r="G551" s="131" t="s">
        <v>76</v>
      </c>
      <c r="H551" s="130" t="s">
        <v>124</v>
      </c>
      <c r="I551" s="132">
        <v>22240.0</v>
      </c>
      <c r="J551" s="133" t="s">
        <v>122</v>
      </c>
      <c r="K551" s="134" t="s">
        <v>479</v>
      </c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0" customHeight="1">
      <c r="A552" s="25"/>
      <c r="B552" s="126">
        <v>44910.0</v>
      </c>
      <c r="C552" s="127">
        <f t="shared" si="1"/>
        <v>44896</v>
      </c>
      <c r="D552" s="128">
        <f t="shared" si="2"/>
        <v>44910</v>
      </c>
      <c r="E552" s="129">
        <f t="shared" si="3"/>
        <v>51</v>
      </c>
      <c r="F552" s="130" t="s">
        <v>26</v>
      </c>
      <c r="G552" s="131" t="s">
        <v>70</v>
      </c>
      <c r="H552" s="130" t="s">
        <v>124</v>
      </c>
      <c r="I552" s="132">
        <v>22140.0</v>
      </c>
      <c r="J552" s="133" t="s">
        <v>125</v>
      </c>
      <c r="K552" s="134" t="s">
        <v>480</v>
      </c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0" customHeight="1">
      <c r="A553" s="25"/>
      <c r="B553" s="126">
        <v>44742.0</v>
      </c>
      <c r="C553" s="127">
        <f t="shared" si="1"/>
        <v>44713</v>
      </c>
      <c r="D553" s="128">
        <f t="shared" si="2"/>
        <v>44742</v>
      </c>
      <c r="E553" s="129">
        <f t="shared" si="3"/>
        <v>27</v>
      </c>
      <c r="F553" s="130" t="s">
        <v>24</v>
      </c>
      <c r="G553" s="131" t="s">
        <v>29</v>
      </c>
      <c r="H553" s="130" t="s">
        <v>124</v>
      </c>
      <c r="I553" s="132">
        <f>12400-2480+15100-3020</f>
        <v>22000</v>
      </c>
      <c r="J553" s="133" t="s">
        <v>125</v>
      </c>
      <c r="K553" s="134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0" customHeight="1">
      <c r="A554" s="25"/>
      <c r="B554" s="126">
        <v>44837.0</v>
      </c>
      <c r="C554" s="127">
        <f t="shared" si="1"/>
        <v>44835</v>
      </c>
      <c r="D554" s="128">
        <f t="shared" si="2"/>
        <v>44837</v>
      </c>
      <c r="E554" s="129">
        <f t="shared" si="3"/>
        <v>41</v>
      </c>
      <c r="F554" s="130" t="s">
        <v>24</v>
      </c>
      <c r="G554" s="131" t="s">
        <v>34</v>
      </c>
      <c r="H554" s="130" t="s">
        <v>124</v>
      </c>
      <c r="I554" s="132">
        <v>22000.0</v>
      </c>
      <c r="J554" s="133" t="s">
        <v>122</v>
      </c>
      <c r="K554" s="134" t="s">
        <v>481</v>
      </c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0" customHeight="1">
      <c r="A555" s="25"/>
      <c r="B555" s="126">
        <v>44842.0</v>
      </c>
      <c r="C555" s="127">
        <f t="shared" si="1"/>
        <v>44835</v>
      </c>
      <c r="D555" s="128">
        <f t="shared" si="2"/>
        <v>44842</v>
      </c>
      <c r="E555" s="129">
        <f t="shared" si="3"/>
        <v>41</v>
      </c>
      <c r="F555" s="130" t="s">
        <v>26</v>
      </c>
      <c r="G555" s="131" t="s">
        <v>79</v>
      </c>
      <c r="H555" s="130" t="s">
        <v>124</v>
      </c>
      <c r="I555" s="132">
        <v>22000.0</v>
      </c>
      <c r="J555" s="133" t="s">
        <v>125</v>
      </c>
      <c r="K555" s="134" t="s">
        <v>482</v>
      </c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0" customHeight="1">
      <c r="A556" s="25"/>
      <c r="B556" s="126">
        <v>44922.0</v>
      </c>
      <c r="C556" s="127">
        <f t="shared" si="1"/>
        <v>44896</v>
      </c>
      <c r="D556" s="128">
        <f t="shared" si="2"/>
        <v>44922</v>
      </c>
      <c r="E556" s="129">
        <f t="shared" si="3"/>
        <v>53</v>
      </c>
      <c r="F556" s="130" t="s">
        <v>128</v>
      </c>
      <c r="G556" s="131" t="s">
        <v>172</v>
      </c>
      <c r="H556" s="130" t="s">
        <v>124</v>
      </c>
      <c r="I556" s="132">
        <v>22000.0</v>
      </c>
      <c r="J556" s="133" t="s">
        <v>122</v>
      </c>
      <c r="K556" s="134" t="s">
        <v>483</v>
      </c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0" customHeight="1">
      <c r="A557" s="25"/>
      <c r="B557" s="126">
        <v>44681.0</v>
      </c>
      <c r="C557" s="127">
        <f t="shared" si="1"/>
        <v>44652</v>
      </c>
      <c r="D557" s="128">
        <f t="shared" si="2"/>
        <v>44681</v>
      </c>
      <c r="E557" s="129">
        <f t="shared" si="3"/>
        <v>18</v>
      </c>
      <c r="F557" s="130" t="s">
        <v>24</v>
      </c>
      <c r="G557" s="131" t="s">
        <v>29</v>
      </c>
      <c r="H557" s="130" t="s">
        <v>124</v>
      </c>
      <c r="I557" s="132">
        <f>9150-1830+16200-1530</f>
        <v>21990</v>
      </c>
      <c r="J557" s="133" t="s">
        <v>125</v>
      </c>
      <c r="K557" s="134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0" customHeight="1">
      <c r="A558" s="25"/>
      <c r="B558" s="126">
        <v>44717.0</v>
      </c>
      <c r="C558" s="127">
        <f t="shared" si="1"/>
        <v>44713</v>
      </c>
      <c r="D558" s="128">
        <f t="shared" si="2"/>
        <v>44717</v>
      </c>
      <c r="E558" s="129">
        <f t="shared" si="3"/>
        <v>24</v>
      </c>
      <c r="F558" s="130" t="s">
        <v>26</v>
      </c>
      <c r="G558" s="131" t="s">
        <v>73</v>
      </c>
      <c r="H558" s="130" t="s">
        <v>124</v>
      </c>
      <c r="I558" s="132">
        <f>21900</f>
        <v>21900</v>
      </c>
      <c r="J558" s="133" t="s">
        <v>122</v>
      </c>
      <c r="K558" s="134" t="s">
        <v>447</v>
      </c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0" customHeight="1">
      <c r="A559" s="25"/>
      <c r="B559" s="126">
        <v>44605.0</v>
      </c>
      <c r="C559" s="127">
        <f t="shared" si="1"/>
        <v>44593</v>
      </c>
      <c r="D559" s="128">
        <f t="shared" si="2"/>
        <v>44605</v>
      </c>
      <c r="E559" s="129">
        <f t="shared" si="3"/>
        <v>8</v>
      </c>
      <c r="F559" s="130" t="s">
        <v>26</v>
      </c>
      <c r="G559" s="131" t="s">
        <v>76</v>
      </c>
      <c r="H559" s="130" t="s">
        <v>124</v>
      </c>
      <c r="I559" s="132">
        <v>21880.0</v>
      </c>
      <c r="J559" s="133" t="s">
        <v>125</v>
      </c>
      <c r="K559" s="134" t="s">
        <v>484</v>
      </c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0" customHeight="1">
      <c r="A560" s="25"/>
      <c r="B560" s="126">
        <v>44886.0</v>
      </c>
      <c r="C560" s="127">
        <f t="shared" si="1"/>
        <v>44866</v>
      </c>
      <c r="D560" s="128">
        <f t="shared" si="2"/>
        <v>44886</v>
      </c>
      <c r="E560" s="129">
        <f t="shared" si="3"/>
        <v>48</v>
      </c>
      <c r="F560" s="130" t="s">
        <v>26</v>
      </c>
      <c r="G560" s="131" t="s">
        <v>76</v>
      </c>
      <c r="H560" s="130" t="s">
        <v>124</v>
      </c>
      <c r="I560" s="132">
        <f>22700-898</f>
        <v>21802</v>
      </c>
      <c r="J560" s="133" t="s">
        <v>125</v>
      </c>
      <c r="K560" s="134" t="s">
        <v>485</v>
      </c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0" customHeight="1">
      <c r="A561" s="25"/>
      <c r="B561" s="126">
        <v>44751.0</v>
      </c>
      <c r="C561" s="127">
        <f t="shared" si="1"/>
        <v>44743</v>
      </c>
      <c r="D561" s="128">
        <f t="shared" si="2"/>
        <v>44751</v>
      </c>
      <c r="E561" s="129">
        <f t="shared" si="3"/>
        <v>28</v>
      </c>
      <c r="F561" s="130" t="s">
        <v>26</v>
      </c>
      <c r="G561" s="131" t="s">
        <v>70</v>
      </c>
      <c r="H561" s="130" t="s">
        <v>124</v>
      </c>
      <c r="I561" s="132">
        <f>24210-2421</f>
        <v>21789</v>
      </c>
      <c r="J561" s="133" t="s">
        <v>125</v>
      </c>
      <c r="K561" s="134" t="s">
        <v>486</v>
      </c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0" customHeight="1">
      <c r="A562" s="25"/>
      <c r="B562" s="126">
        <v>44598.0</v>
      </c>
      <c r="C562" s="127">
        <f t="shared" si="1"/>
        <v>44593</v>
      </c>
      <c r="D562" s="128">
        <f t="shared" si="2"/>
        <v>44598</v>
      </c>
      <c r="E562" s="129">
        <f t="shared" si="3"/>
        <v>7</v>
      </c>
      <c r="F562" s="130" t="s">
        <v>26</v>
      </c>
      <c r="G562" s="131" t="s">
        <v>79</v>
      </c>
      <c r="H562" s="130" t="s">
        <v>121</v>
      </c>
      <c r="I562" s="132">
        <f>24000*0.9</f>
        <v>21600</v>
      </c>
      <c r="J562" s="133" t="s">
        <v>125</v>
      </c>
      <c r="K562" s="134" t="s">
        <v>487</v>
      </c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0" customHeight="1">
      <c r="A563" s="25"/>
      <c r="B563" s="126">
        <v>44609.0</v>
      </c>
      <c r="C563" s="127">
        <f t="shared" si="1"/>
        <v>44593</v>
      </c>
      <c r="D563" s="128">
        <f t="shared" si="2"/>
        <v>44609</v>
      </c>
      <c r="E563" s="129">
        <f t="shared" si="3"/>
        <v>8</v>
      </c>
      <c r="F563" s="130" t="s">
        <v>24</v>
      </c>
      <c r="G563" s="131" t="s">
        <v>61</v>
      </c>
      <c r="H563" s="130" t="s">
        <v>124</v>
      </c>
      <c r="I563" s="132">
        <v>21500.0</v>
      </c>
      <c r="J563" s="133" t="s">
        <v>122</v>
      </c>
      <c r="K563" s="134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0" customHeight="1">
      <c r="A564" s="25"/>
      <c r="B564" s="126">
        <v>44783.0</v>
      </c>
      <c r="C564" s="127">
        <f t="shared" si="1"/>
        <v>44774</v>
      </c>
      <c r="D564" s="128">
        <f t="shared" si="2"/>
        <v>44783</v>
      </c>
      <c r="E564" s="129">
        <f t="shared" si="3"/>
        <v>33</v>
      </c>
      <c r="F564" s="130" t="s">
        <v>26</v>
      </c>
      <c r="G564" s="131" t="s">
        <v>76</v>
      </c>
      <c r="H564" s="130" t="s">
        <v>124</v>
      </c>
      <c r="I564" s="132">
        <v>21490.0</v>
      </c>
      <c r="J564" s="133" t="s">
        <v>125</v>
      </c>
      <c r="K564" s="134" t="s">
        <v>167</v>
      </c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0" customHeight="1">
      <c r="A565" s="25"/>
      <c r="B565" s="126">
        <v>44582.0</v>
      </c>
      <c r="C565" s="127">
        <f t="shared" si="1"/>
        <v>44562</v>
      </c>
      <c r="D565" s="128">
        <f t="shared" si="2"/>
        <v>44582</v>
      </c>
      <c r="E565" s="129">
        <f t="shared" si="3"/>
        <v>4</v>
      </c>
      <c r="F565" s="130" t="s">
        <v>24</v>
      </c>
      <c r="G565" s="131" t="s">
        <v>61</v>
      </c>
      <c r="H565" s="130" t="s">
        <v>124</v>
      </c>
      <c r="I565" s="132">
        <v>21400.0</v>
      </c>
      <c r="J565" s="133" t="s">
        <v>122</v>
      </c>
      <c r="K565" s="134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0" customHeight="1">
      <c r="A566" s="25"/>
      <c r="B566" s="126">
        <v>44758.0</v>
      </c>
      <c r="C566" s="127">
        <f t="shared" si="1"/>
        <v>44743</v>
      </c>
      <c r="D566" s="128">
        <f t="shared" si="2"/>
        <v>44758</v>
      </c>
      <c r="E566" s="129">
        <f t="shared" si="3"/>
        <v>29</v>
      </c>
      <c r="F566" s="130" t="s">
        <v>26</v>
      </c>
      <c r="G566" s="131" t="s">
        <v>79</v>
      </c>
      <c r="H566" s="130" t="s">
        <v>124</v>
      </c>
      <c r="I566" s="132">
        <v>21400.0</v>
      </c>
      <c r="J566" s="133" t="s">
        <v>125</v>
      </c>
      <c r="K566" s="134" t="s">
        <v>488</v>
      </c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0" customHeight="1">
      <c r="A567" s="25"/>
      <c r="B567" s="126">
        <v>44870.0</v>
      </c>
      <c r="C567" s="127">
        <f t="shared" si="1"/>
        <v>44866</v>
      </c>
      <c r="D567" s="128">
        <f t="shared" si="2"/>
        <v>44870</v>
      </c>
      <c r="E567" s="129">
        <f t="shared" si="3"/>
        <v>45</v>
      </c>
      <c r="F567" s="130" t="s">
        <v>26</v>
      </c>
      <c r="G567" s="131" t="s">
        <v>70</v>
      </c>
      <c r="H567" s="130" t="s">
        <v>124</v>
      </c>
      <c r="I567" s="132">
        <v>21400.0</v>
      </c>
      <c r="J567" s="133" t="s">
        <v>122</v>
      </c>
      <c r="K567" s="134" t="s">
        <v>489</v>
      </c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0" customHeight="1">
      <c r="A568" s="25"/>
      <c r="B568" s="126">
        <v>44887.0</v>
      </c>
      <c r="C568" s="127">
        <f t="shared" si="1"/>
        <v>44866</v>
      </c>
      <c r="D568" s="128">
        <f t="shared" si="2"/>
        <v>44887</v>
      </c>
      <c r="E568" s="129">
        <f t="shared" si="3"/>
        <v>48</v>
      </c>
      <c r="F568" s="130" t="s">
        <v>26</v>
      </c>
      <c r="G568" s="131" t="s">
        <v>76</v>
      </c>
      <c r="H568" s="130" t="s">
        <v>124</v>
      </c>
      <c r="I568" s="132">
        <v>21370.0</v>
      </c>
      <c r="J568" s="133" t="s">
        <v>125</v>
      </c>
      <c r="K568" s="134" t="s">
        <v>167</v>
      </c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0" customHeight="1">
      <c r="A569" s="25"/>
      <c r="B569" s="126">
        <v>44778.0</v>
      </c>
      <c r="C569" s="127">
        <f t="shared" si="1"/>
        <v>44774</v>
      </c>
      <c r="D569" s="128">
        <f t="shared" si="2"/>
        <v>44778</v>
      </c>
      <c r="E569" s="129">
        <f t="shared" si="3"/>
        <v>32</v>
      </c>
      <c r="F569" s="130" t="s">
        <v>26</v>
      </c>
      <c r="G569" s="131" t="s">
        <v>76</v>
      </c>
      <c r="H569" s="130" t="s">
        <v>124</v>
      </c>
      <c r="I569" s="132">
        <v>21300.0</v>
      </c>
      <c r="J569" s="133" t="s">
        <v>125</v>
      </c>
      <c r="K569" s="134" t="s">
        <v>167</v>
      </c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0" customHeight="1">
      <c r="A570" s="25"/>
      <c r="B570" s="126">
        <v>44695.0</v>
      </c>
      <c r="C570" s="127">
        <f t="shared" si="1"/>
        <v>44682</v>
      </c>
      <c r="D570" s="128">
        <f t="shared" si="2"/>
        <v>44695</v>
      </c>
      <c r="E570" s="129">
        <f t="shared" si="3"/>
        <v>20</v>
      </c>
      <c r="F570" s="130" t="s">
        <v>26</v>
      </c>
      <c r="G570" s="131" t="s">
        <v>70</v>
      </c>
      <c r="H570" s="130" t="s">
        <v>124</v>
      </c>
      <c r="I570" s="132">
        <v>21250.0</v>
      </c>
      <c r="J570" s="133" t="s">
        <v>125</v>
      </c>
      <c r="K570" s="134" t="s">
        <v>490</v>
      </c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0" customHeight="1">
      <c r="A571" s="25"/>
      <c r="B571" s="126">
        <v>44815.0</v>
      </c>
      <c r="C571" s="127">
        <f t="shared" si="1"/>
        <v>44805</v>
      </c>
      <c r="D571" s="128">
        <f t="shared" si="2"/>
        <v>44815</v>
      </c>
      <c r="E571" s="129">
        <f t="shared" si="3"/>
        <v>38</v>
      </c>
      <c r="F571" s="130" t="s">
        <v>26</v>
      </c>
      <c r="G571" s="131" t="s">
        <v>70</v>
      </c>
      <c r="H571" s="130" t="s">
        <v>124</v>
      </c>
      <c r="I571" s="132">
        <f>23590-2359</f>
        <v>21231</v>
      </c>
      <c r="J571" s="133" t="s">
        <v>125</v>
      </c>
      <c r="K571" s="134" t="s">
        <v>491</v>
      </c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0" customHeight="1">
      <c r="A572" s="25"/>
      <c r="B572" s="126">
        <v>44887.0</v>
      </c>
      <c r="C572" s="127">
        <f t="shared" si="1"/>
        <v>44866</v>
      </c>
      <c r="D572" s="128">
        <f t="shared" si="2"/>
        <v>44887</v>
      </c>
      <c r="E572" s="129">
        <f t="shared" si="3"/>
        <v>48</v>
      </c>
      <c r="F572" s="130" t="s">
        <v>26</v>
      </c>
      <c r="G572" s="131" t="s">
        <v>70</v>
      </c>
      <c r="H572" s="130" t="s">
        <v>124</v>
      </c>
      <c r="I572" s="132">
        <v>21230.0</v>
      </c>
      <c r="J572" s="133" t="s">
        <v>122</v>
      </c>
      <c r="K572" s="134" t="s">
        <v>492</v>
      </c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0" customHeight="1">
      <c r="A573" s="25"/>
      <c r="B573" s="126">
        <v>44836.0</v>
      </c>
      <c r="C573" s="127">
        <f t="shared" si="1"/>
        <v>44835</v>
      </c>
      <c r="D573" s="128">
        <f t="shared" si="2"/>
        <v>44836</v>
      </c>
      <c r="E573" s="129">
        <f t="shared" si="3"/>
        <v>41</v>
      </c>
      <c r="F573" s="130" t="s">
        <v>26</v>
      </c>
      <c r="G573" s="131" t="s">
        <v>70</v>
      </c>
      <c r="H573" s="130" t="s">
        <v>124</v>
      </c>
      <c r="I573" s="132">
        <f>23400-2340</f>
        <v>21060</v>
      </c>
      <c r="J573" s="133" t="s">
        <v>125</v>
      </c>
      <c r="K573" s="134" t="s">
        <v>493</v>
      </c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0" customHeight="1">
      <c r="A574" s="25"/>
      <c r="B574" s="126">
        <v>44772.0</v>
      </c>
      <c r="C574" s="127">
        <f t="shared" si="1"/>
        <v>44743</v>
      </c>
      <c r="D574" s="128">
        <f t="shared" si="2"/>
        <v>44772</v>
      </c>
      <c r="E574" s="129">
        <f t="shared" si="3"/>
        <v>31</v>
      </c>
      <c r="F574" s="130" t="s">
        <v>128</v>
      </c>
      <c r="G574" s="131" t="s">
        <v>129</v>
      </c>
      <c r="H574" s="130" t="s">
        <v>124</v>
      </c>
      <c r="I574" s="132">
        <v>21037.0</v>
      </c>
      <c r="J574" s="133" t="s">
        <v>125</v>
      </c>
      <c r="K574" s="134" t="s">
        <v>494</v>
      </c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0" customHeight="1">
      <c r="A575" s="25"/>
      <c r="B575" s="126">
        <v>44618.0</v>
      </c>
      <c r="C575" s="127">
        <f t="shared" si="1"/>
        <v>44593</v>
      </c>
      <c r="D575" s="128">
        <f t="shared" si="2"/>
        <v>44618</v>
      </c>
      <c r="E575" s="129">
        <f t="shared" si="3"/>
        <v>9</v>
      </c>
      <c r="F575" s="130" t="s">
        <v>128</v>
      </c>
      <c r="G575" s="131" t="s">
        <v>172</v>
      </c>
      <c r="H575" s="130" t="s">
        <v>124</v>
      </c>
      <c r="I575" s="132">
        <v>21000.0</v>
      </c>
      <c r="J575" s="133" t="s">
        <v>125</v>
      </c>
      <c r="K575" s="134" t="s">
        <v>495</v>
      </c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0" customHeight="1">
      <c r="A576" s="25"/>
      <c r="B576" s="126">
        <v>44660.0</v>
      </c>
      <c r="C576" s="127">
        <f t="shared" si="1"/>
        <v>44652</v>
      </c>
      <c r="D576" s="128">
        <f t="shared" si="2"/>
        <v>44660</v>
      </c>
      <c r="E576" s="129">
        <f t="shared" si="3"/>
        <v>15</v>
      </c>
      <c r="F576" s="130" t="s">
        <v>26</v>
      </c>
      <c r="G576" s="131" t="s">
        <v>79</v>
      </c>
      <c r="H576" s="130" t="s">
        <v>124</v>
      </c>
      <c r="I576" s="132">
        <v>20900.0</v>
      </c>
      <c r="J576" s="133" t="s">
        <v>122</v>
      </c>
      <c r="K576" s="134" t="s">
        <v>447</v>
      </c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0" customHeight="1">
      <c r="A577" s="25"/>
      <c r="B577" s="126">
        <v>44834.0</v>
      </c>
      <c r="C577" s="127">
        <f t="shared" si="1"/>
        <v>44805</v>
      </c>
      <c r="D577" s="128">
        <f t="shared" si="2"/>
        <v>44834</v>
      </c>
      <c r="E577" s="129">
        <f t="shared" si="3"/>
        <v>40</v>
      </c>
      <c r="F577" s="130" t="s">
        <v>26</v>
      </c>
      <c r="G577" s="131" t="s">
        <v>76</v>
      </c>
      <c r="H577" s="130" t="s">
        <v>124</v>
      </c>
      <c r="I577" s="132">
        <v>20860.0</v>
      </c>
      <c r="J577" s="133" t="s">
        <v>125</v>
      </c>
      <c r="K577" s="134" t="s">
        <v>167</v>
      </c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0" customHeight="1">
      <c r="A578" s="25"/>
      <c r="B578" s="126">
        <v>44752.0</v>
      </c>
      <c r="C578" s="127">
        <f t="shared" si="1"/>
        <v>44743</v>
      </c>
      <c r="D578" s="128">
        <f t="shared" si="2"/>
        <v>44752</v>
      </c>
      <c r="E578" s="129">
        <f t="shared" si="3"/>
        <v>29</v>
      </c>
      <c r="F578" s="130" t="s">
        <v>128</v>
      </c>
      <c r="G578" s="131" t="s">
        <v>129</v>
      </c>
      <c r="H578" s="130" t="s">
        <v>124</v>
      </c>
      <c r="I578" s="132">
        <v>20848.0</v>
      </c>
      <c r="J578" s="133" t="s">
        <v>122</v>
      </c>
      <c r="K578" s="134" t="s">
        <v>496</v>
      </c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0" customHeight="1">
      <c r="A579" s="25"/>
      <c r="B579" s="126">
        <v>44807.0</v>
      </c>
      <c r="C579" s="127">
        <f t="shared" si="1"/>
        <v>44805</v>
      </c>
      <c r="D579" s="128">
        <f t="shared" si="2"/>
        <v>44807</v>
      </c>
      <c r="E579" s="129">
        <f t="shared" si="3"/>
        <v>36</v>
      </c>
      <c r="F579" s="130" t="s">
        <v>26</v>
      </c>
      <c r="G579" s="131" t="s">
        <v>70</v>
      </c>
      <c r="H579" s="130" t="s">
        <v>124</v>
      </c>
      <c r="I579" s="132">
        <f>23150-2315</f>
        <v>20835</v>
      </c>
      <c r="J579" s="133" t="s">
        <v>125</v>
      </c>
      <c r="K579" s="134" t="s">
        <v>497</v>
      </c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0" customHeight="1">
      <c r="A580" s="25"/>
      <c r="B580" s="126">
        <v>44744.0</v>
      </c>
      <c r="C580" s="127">
        <f t="shared" si="1"/>
        <v>44743</v>
      </c>
      <c r="D580" s="128">
        <f t="shared" si="2"/>
        <v>44744</v>
      </c>
      <c r="E580" s="129">
        <f t="shared" si="3"/>
        <v>27</v>
      </c>
      <c r="F580" s="130" t="s">
        <v>26</v>
      </c>
      <c r="G580" s="131" t="s">
        <v>79</v>
      </c>
      <c r="H580" s="130" t="s">
        <v>124</v>
      </c>
      <c r="I580" s="132">
        <v>20800.0</v>
      </c>
      <c r="J580" s="133" t="s">
        <v>122</v>
      </c>
      <c r="K580" s="134" t="s">
        <v>498</v>
      </c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0" customHeight="1">
      <c r="A581" s="25"/>
      <c r="B581" s="126">
        <v>44809.0</v>
      </c>
      <c r="C581" s="127">
        <f t="shared" si="1"/>
        <v>44805</v>
      </c>
      <c r="D581" s="128">
        <f t="shared" si="2"/>
        <v>44809</v>
      </c>
      <c r="E581" s="129">
        <f t="shared" si="3"/>
        <v>37</v>
      </c>
      <c r="F581" s="130" t="s">
        <v>26</v>
      </c>
      <c r="G581" s="131" t="s">
        <v>76</v>
      </c>
      <c r="H581" s="130" t="s">
        <v>124</v>
      </c>
      <c r="I581" s="132">
        <f>23010-2301</f>
        <v>20709</v>
      </c>
      <c r="J581" s="133" t="s">
        <v>125</v>
      </c>
      <c r="K581" s="134" t="s">
        <v>247</v>
      </c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0" customHeight="1">
      <c r="A582" s="25"/>
      <c r="B582" s="126">
        <v>44871.0</v>
      </c>
      <c r="C582" s="127">
        <f t="shared" si="1"/>
        <v>44866</v>
      </c>
      <c r="D582" s="128">
        <f t="shared" si="2"/>
        <v>44871</v>
      </c>
      <c r="E582" s="129">
        <f t="shared" si="3"/>
        <v>46</v>
      </c>
      <c r="F582" s="130" t="s">
        <v>26</v>
      </c>
      <c r="G582" s="131" t="s">
        <v>79</v>
      </c>
      <c r="H582" s="130" t="s">
        <v>124</v>
      </c>
      <c r="I582" s="132">
        <v>20700.0</v>
      </c>
      <c r="J582" s="133" t="s">
        <v>125</v>
      </c>
      <c r="K582" s="134" t="s">
        <v>499</v>
      </c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0" customHeight="1">
      <c r="A583" s="25"/>
      <c r="B583" s="126">
        <v>44905.0</v>
      </c>
      <c r="C583" s="127">
        <f t="shared" si="1"/>
        <v>44896</v>
      </c>
      <c r="D583" s="128">
        <f t="shared" si="2"/>
        <v>44905</v>
      </c>
      <c r="E583" s="129">
        <f t="shared" si="3"/>
        <v>50</v>
      </c>
      <c r="F583" s="130" t="s">
        <v>26</v>
      </c>
      <c r="G583" s="131" t="s">
        <v>76</v>
      </c>
      <c r="H583" s="130" t="s">
        <v>124</v>
      </c>
      <c r="I583" s="132">
        <v>20670.0</v>
      </c>
      <c r="J583" s="133" t="s">
        <v>125</v>
      </c>
      <c r="K583" s="134" t="s">
        <v>500</v>
      </c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0" customHeight="1">
      <c r="A584" s="25"/>
      <c r="B584" s="126">
        <v>44621.0</v>
      </c>
      <c r="C584" s="127">
        <f t="shared" si="1"/>
        <v>44621</v>
      </c>
      <c r="D584" s="128">
        <f t="shared" si="2"/>
        <v>44621</v>
      </c>
      <c r="E584" s="129">
        <f t="shared" si="3"/>
        <v>10</v>
      </c>
      <c r="F584" s="130" t="s">
        <v>26</v>
      </c>
      <c r="G584" s="131" t="s">
        <v>87</v>
      </c>
      <c r="H584" s="130" t="s">
        <v>124</v>
      </c>
      <c r="I584" s="132">
        <f t="shared" ref="I584:I585" si="10">40500-20000</f>
        <v>20500</v>
      </c>
      <c r="J584" s="133" t="s">
        <v>122</v>
      </c>
      <c r="K584" s="134" t="s">
        <v>501</v>
      </c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0" customHeight="1">
      <c r="A585" s="25"/>
      <c r="B585" s="126">
        <v>44653.0</v>
      </c>
      <c r="C585" s="127">
        <f t="shared" si="1"/>
        <v>44652</v>
      </c>
      <c r="D585" s="128">
        <f t="shared" si="2"/>
        <v>44653</v>
      </c>
      <c r="E585" s="129">
        <f t="shared" si="3"/>
        <v>14</v>
      </c>
      <c r="F585" s="130" t="s">
        <v>26</v>
      </c>
      <c r="G585" s="131" t="s">
        <v>87</v>
      </c>
      <c r="H585" s="130" t="s">
        <v>124</v>
      </c>
      <c r="I585" s="132">
        <f t="shared" si="10"/>
        <v>20500</v>
      </c>
      <c r="J585" s="133" t="s">
        <v>122</v>
      </c>
      <c r="K585" s="134" t="s">
        <v>501</v>
      </c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0" customHeight="1">
      <c r="A586" s="25"/>
      <c r="B586" s="126">
        <v>44875.0</v>
      </c>
      <c r="C586" s="127">
        <f t="shared" si="1"/>
        <v>44866</v>
      </c>
      <c r="D586" s="128">
        <f t="shared" si="2"/>
        <v>44875</v>
      </c>
      <c r="E586" s="129">
        <f t="shared" si="3"/>
        <v>46</v>
      </c>
      <c r="F586" s="130" t="s">
        <v>26</v>
      </c>
      <c r="G586" s="131" t="s">
        <v>76</v>
      </c>
      <c r="H586" s="130" t="s">
        <v>124</v>
      </c>
      <c r="I586" s="132">
        <v>20420.0</v>
      </c>
      <c r="J586" s="133" t="s">
        <v>125</v>
      </c>
      <c r="K586" s="134" t="s">
        <v>167</v>
      </c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0" customHeight="1">
      <c r="A587" s="25"/>
      <c r="B587" s="126">
        <v>44906.0</v>
      </c>
      <c r="C587" s="127">
        <f t="shared" si="1"/>
        <v>44896</v>
      </c>
      <c r="D587" s="128">
        <f t="shared" si="2"/>
        <v>44906</v>
      </c>
      <c r="E587" s="129">
        <f t="shared" si="3"/>
        <v>51</v>
      </c>
      <c r="F587" s="130" t="s">
        <v>26</v>
      </c>
      <c r="G587" s="131" t="s">
        <v>72</v>
      </c>
      <c r="H587" s="130" t="s">
        <v>121</v>
      </c>
      <c r="I587" s="132">
        <f>22500*0.9</f>
        <v>20250</v>
      </c>
      <c r="J587" s="133" t="s">
        <v>125</v>
      </c>
      <c r="K587" s="134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0" customHeight="1">
      <c r="A588" s="25"/>
      <c r="B588" s="126">
        <v>44653.0</v>
      </c>
      <c r="C588" s="127">
        <f t="shared" si="1"/>
        <v>44652</v>
      </c>
      <c r="D588" s="128">
        <f t="shared" si="2"/>
        <v>44653</v>
      </c>
      <c r="E588" s="129">
        <f t="shared" si="3"/>
        <v>14</v>
      </c>
      <c r="F588" s="130" t="s">
        <v>26</v>
      </c>
      <c r="G588" s="131" t="s">
        <v>76</v>
      </c>
      <c r="H588" s="130" t="s">
        <v>124</v>
      </c>
      <c r="I588" s="132">
        <v>20230.0</v>
      </c>
      <c r="J588" s="133" t="s">
        <v>125</v>
      </c>
      <c r="K588" s="134" t="s">
        <v>167</v>
      </c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0" customHeight="1">
      <c r="A589" s="25"/>
      <c r="B589" s="126">
        <v>44600.0</v>
      </c>
      <c r="C589" s="127">
        <f t="shared" si="1"/>
        <v>44593</v>
      </c>
      <c r="D589" s="128">
        <f t="shared" si="2"/>
        <v>44600</v>
      </c>
      <c r="E589" s="129">
        <f t="shared" si="3"/>
        <v>7</v>
      </c>
      <c r="F589" s="130" t="s">
        <v>26</v>
      </c>
      <c r="G589" s="131" t="s">
        <v>76</v>
      </c>
      <c r="H589" s="130" t="s">
        <v>124</v>
      </c>
      <c r="I589" s="132">
        <f>23900-3688</f>
        <v>20212</v>
      </c>
      <c r="J589" s="133" t="s">
        <v>125</v>
      </c>
      <c r="K589" s="134" t="s">
        <v>502</v>
      </c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0" customHeight="1">
      <c r="A590" s="25"/>
      <c r="B590" s="126">
        <v>44778.0</v>
      </c>
      <c r="C590" s="127">
        <f t="shared" si="1"/>
        <v>44774</v>
      </c>
      <c r="D590" s="128">
        <f t="shared" si="2"/>
        <v>44778</v>
      </c>
      <c r="E590" s="129">
        <f t="shared" si="3"/>
        <v>32</v>
      </c>
      <c r="F590" s="130" t="s">
        <v>26</v>
      </c>
      <c r="G590" s="131" t="s">
        <v>70</v>
      </c>
      <c r="H590" s="130" t="s">
        <v>124</v>
      </c>
      <c r="I590" s="132">
        <f>22360-2236</f>
        <v>20124</v>
      </c>
      <c r="J590" s="133" t="s">
        <v>125</v>
      </c>
      <c r="K590" s="134" t="s">
        <v>503</v>
      </c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0" customHeight="1">
      <c r="A591" s="25"/>
      <c r="B591" s="126">
        <v>44924.0</v>
      </c>
      <c r="C591" s="127">
        <f t="shared" si="1"/>
        <v>44896</v>
      </c>
      <c r="D591" s="128">
        <f t="shared" si="2"/>
        <v>44924</v>
      </c>
      <c r="E591" s="129">
        <f t="shared" si="3"/>
        <v>53</v>
      </c>
      <c r="F591" s="130" t="s">
        <v>26</v>
      </c>
      <c r="G591" s="131" t="s">
        <v>76</v>
      </c>
      <c r="H591" s="130" t="s">
        <v>124</v>
      </c>
      <c r="I591" s="132">
        <v>20110.0</v>
      </c>
      <c r="J591" s="133" t="s">
        <v>122</v>
      </c>
      <c r="K591" s="134" t="s">
        <v>504</v>
      </c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0" customHeight="1">
      <c r="A592" s="25"/>
      <c r="B592" s="126">
        <v>44579.0</v>
      </c>
      <c r="C592" s="127">
        <f t="shared" si="1"/>
        <v>44562</v>
      </c>
      <c r="D592" s="128">
        <f t="shared" si="2"/>
        <v>44579</v>
      </c>
      <c r="E592" s="129">
        <f t="shared" si="3"/>
        <v>4</v>
      </c>
      <c r="F592" s="130" t="s">
        <v>24</v>
      </c>
      <c r="G592" s="131" t="s">
        <v>61</v>
      </c>
      <c r="H592" s="130" t="s">
        <v>124</v>
      </c>
      <c r="I592" s="132">
        <v>20000.0</v>
      </c>
      <c r="J592" s="133" t="s">
        <v>122</v>
      </c>
      <c r="K592" s="134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0" customHeight="1">
      <c r="A593" s="25"/>
      <c r="B593" s="126">
        <v>44603.0</v>
      </c>
      <c r="C593" s="127">
        <f t="shared" si="1"/>
        <v>44593</v>
      </c>
      <c r="D593" s="128">
        <f t="shared" si="2"/>
        <v>44603</v>
      </c>
      <c r="E593" s="129">
        <f t="shared" si="3"/>
        <v>7</v>
      </c>
      <c r="F593" s="130" t="s">
        <v>24</v>
      </c>
      <c r="G593" s="131" t="s">
        <v>61</v>
      </c>
      <c r="H593" s="130" t="s">
        <v>124</v>
      </c>
      <c r="I593" s="132">
        <v>20000.0</v>
      </c>
      <c r="J593" s="133" t="s">
        <v>122</v>
      </c>
      <c r="K593" s="134" t="s">
        <v>505</v>
      </c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0" customHeight="1">
      <c r="A594" s="25"/>
      <c r="B594" s="126">
        <v>44610.0</v>
      </c>
      <c r="C594" s="127">
        <f t="shared" si="1"/>
        <v>44593</v>
      </c>
      <c r="D594" s="128">
        <f t="shared" si="2"/>
        <v>44610</v>
      </c>
      <c r="E594" s="129">
        <f t="shared" si="3"/>
        <v>8</v>
      </c>
      <c r="F594" s="130" t="s">
        <v>24</v>
      </c>
      <c r="G594" s="131" t="s">
        <v>61</v>
      </c>
      <c r="H594" s="130" t="s">
        <v>124</v>
      </c>
      <c r="I594" s="132">
        <v>20000.0</v>
      </c>
      <c r="J594" s="133" t="s">
        <v>122</v>
      </c>
      <c r="K594" s="134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0" customHeight="1">
      <c r="A595" s="25"/>
      <c r="B595" s="126">
        <v>44618.0</v>
      </c>
      <c r="C595" s="127">
        <f t="shared" si="1"/>
        <v>44593</v>
      </c>
      <c r="D595" s="128">
        <f t="shared" si="2"/>
        <v>44618</v>
      </c>
      <c r="E595" s="129">
        <f t="shared" si="3"/>
        <v>9</v>
      </c>
      <c r="F595" s="130" t="s">
        <v>128</v>
      </c>
      <c r="G595" s="131" t="s">
        <v>172</v>
      </c>
      <c r="H595" s="130" t="s">
        <v>124</v>
      </c>
      <c r="I595" s="132">
        <v>20000.0</v>
      </c>
      <c r="J595" s="133" t="s">
        <v>125</v>
      </c>
      <c r="K595" s="134" t="s">
        <v>506</v>
      </c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0" customHeight="1">
      <c r="A596" s="25"/>
      <c r="B596" s="126">
        <v>44673.0</v>
      </c>
      <c r="C596" s="127">
        <f t="shared" si="1"/>
        <v>44652</v>
      </c>
      <c r="D596" s="128">
        <f t="shared" si="2"/>
        <v>44673</v>
      </c>
      <c r="E596" s="129">
        <f t="shared" si="3"/>
        <v>17</v>
      </c>
      <c r="F596" s="130" t="s">
        <v>128</v>
      </c>
      <c r="G596" s="131" t="s">
        <v>172</v>
      </c>
      <c r="H596" s="130" t="s">
        <v>124</v>
      </c>
      <c r="I596" s="132">
        <v>20000.0</v>
      </c>
      <c r="J596" s="133" t="s">
        <v>125</v>
      </c>
      <c r="K596" s="134" t="s">
        <v>507</v>
      </c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0" customHeight="1">
      <c r="A597" s="25"/>
      <c r="B597" s="126">
        <v>44710.0</v>
      </c>
      <c r="C597" s="127">
        <f t="shared" si="1"/>
        <v>44682</v>
      </c>
      <c r="D597" s="128">
        <f t="shared" si="2"/>
        <v>44710</v>
      </c>
      <c r="E597" s="129">
        <f t="shared" si="3"/>
        <v>23</v>
      </c>
      <c r="F597" s="130" t="s">
        <v>26</v>
      </c>
      <c r="G597" s="131" t="s">
        <v>70</v>
      </c>
      <c r="H597" s="130" t="s">
        <v>124</v>
      </c>
      <c r="I597" s="132">
        <v>20000.0</v>
      </c>
      <c r="J597" s="133" t="s">
        <v>125</v>
      </c>
      <c r="K597" s="134" t="s">
        <v>508</v>
      </c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0" customHeight="1">
      <c r="A598" s="25"/>
      <c r="B598" s="126">
        <v>44773.0</v>
      </c>
      <c r="C598" s="127">
        <f t="shared" si="1"/>
        <v>44743</v>
      </c>
      <c r="D598" s="128">
        <f t="shared" si="2"/>
        <v>44773</v>
      </c>
      <c r="E598" s="129">
        <f t="shared" si="3"/>
        <v>32</v>
      </c>
      <c r="F598" s="130" t="s">
        <v>26</v>
      </c>
      <c r="G598" s="131" t="s">
        <v>79</v>
      </c>
      <c r="H598" s="130" t="s">
        <v>124</v>
      </c>
      <c r="I598" s="132">
        <v>20000.0</v>
      </c>
      <c r="J598" s="133" t="s">
        <v>125</v>
      </c>
      <c r="K598" s="134" t="s">
        <v>509</v>
      </c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0" customHeight="1">
      <c r="A599" s="25"/>
      <c r="B599" s="126">
        <v>44778.0</v>
      </c>
      <c r="C599" s="127">
        <f t="shared" si="1"/>
        <v>44774</v>
      </c>
      <c r="D599" s="128">
        <f t="shared" si="2"/>
        <v>44778</v>
      </c>
      <c r="E599" s="129">
        <f t="shared" si="3"/>
        <v>32</v>
      </c>
      <c r="F599" s="130" t="s">
        <v>26</v>
      </c>
      <c r="G599" s="131" t="s">
        <v>79</v>
      </c>
      <c r="H599" s="130" t="s">
        <v>124</v>
      </c>
      <c r="I599" s="132">
        <v>20000.0</v>
      </c>
      <c r="J599" s="133" t="s">
        <v>122</v>
      </c>
      <c r="K599" s="134" t="s">
        <v>510</v>
      </c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0" customHeight="1">
      <c r="A600" s="25"/>
      <c r="B600" s="126">
        <v>44836.0</v>
      </c>
      <c r="C600" s="127">
        <f t="shared" si="1"/>
        <v>44835</v>
      </c>
      <c r="D600" s="128">
        <f t="shared" si="2"/>
        <v>44836</v>
      </c>
      <c r="E600" s="129">
        <f t="shared" si="3"/>
        <v>41</v>
      </c>
      <c r="F600" s="130" t="s">
        <v>26</v>
      </c>
      <c r="G600" s="131" t="s">
        <v>79</v>
      </c>
      <c r="H600" s="130" t="s">
        <v>124</v>
      </c>
      <c r="I600" s="132">
        <v>20000.0</v>
      </c>
      <c r="J600" s="133" t="s">
        <v>125</v>
      </c>
      <c r="K600" s="134" t="s">
        <v>511</v>
      </c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0" customHeight="1">
      <c r="A601" s="25"/>
      <c r="B601" s="126">
        <v>44849.0</v>
      </c>
      <c r="C601" s="127">
        <f t="shared" si="1"/>
        <v>44835</v>
      </c>
      <c r="D601" s="128">
        <f t="shared" si="2"/>
        <v>44849</v>
      </c>
      <c r="E601" s="129">
        <f t="shared" si="3"/>
        <v>42</v>
      </c>
      <c r="F601" s="130" t="s">
        <v>24</v>
      </c>
      <c r="G601" s="131" t="s">
        <v>54</v>
      </c>
      <c r="H601" s="130" t="s">
        <v>124</v>
      </c>
      <c r="I601" s="132">
        <v>20000.0</v>
      </c>
      <c r="J601" s="133" t="s">
        <v>125</v>
      </c>
      <c r="K601" s="134" t="s">
        <v>512</v>
      </c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0" customHeight="1">
      <c r="A602" s="25"/>
      <c r="B602" s="126">
        <v>44878.0</v>
      </c>
      <c r="C602" s="127">
        <f t="shared" si="1"/>
        <v>44866</v>
      </c>
      <c r="D602" s="128">
        <f t="shared" si="2"/>
        <v>44878</v>
      </c>
      <c r="E602" s="129">
        <f t="shared" si="3"/>
        <v>47</v>
      </c>
      <c r="F602" s="130" t="s">
        <v>26</v>
      </c>
      <c r="G602" s="131" t="s">
        <v>79</v>
      </c>
      <c r="H602" s="130" t="s">
        <v>124</v>
      </c>
      <c r="I602" s="132">
        <v>20000.0</v>
      </c>
      <c r="J602" s="133" t="s">
        <v>122</v>
      </c>
      <c r="K602" s="134" t="s">
        <v>513</v>
      </c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0" customHeight="1">
      <c r="A603" s="25"/>
      <c r="B603" s="126">
        <v>44922.0</v>
      </c>
      <c r="C603" s="127">
        <f t="shared" si="1"/>
        <v>44896</v>
      </c>
      <c r="D603" s="128">
        <f t="shared" si="2"/>
        <v>44922</v>
      </c>
      <c r="E603" s="129">
        <f t="shared" si="3"/>
        <v>53</v>
      </c>
      <c r="F603" s="130" t="s">
        <v>128</v>
      </c>
      <c r="G603" s="131" t="s">
        <v>172</v>
      </c>
      <c r="H603" s="130" t="s">
        <v>124</v>
      </c>
      <c r="I603" s="132">
        <v>20000.0</v>
      </c>
      <c r="J603" s="133" t="s">
        <v>122</v>
      </c>
      <c r="K603" s="134" t="s">
        <v>514</v>
      </c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0" customHeight="1">
      <c r="A604" s="25"/>
      <c r="B604" s="126">
        <v>44827.0</v>
      </c>
      <c r="C604" s="127">
        <f t="shared" si="1"/>
        <v>44805</v>
      </c>
      <c r="D604" s="128">
        <f t="shared" si="2"/>
        <v>44827</v>
      </c>
      <c r="E604" s="129">
        <f t="shared" si="3"/>
        <v>39</v>
      </c>
      <c r="F604" s="130" t="s">
        <v>26</v>
      </c>
      <c r="G604" s="131" t="s">
        <v>76</v>
      </c>
      <c r="H604" s="130" t="s">
        <v>124</v>
      </c>
      <c r="I604" s="132">
        <v>19920.0</v>
      </c>
      <c r="J604" s="133" t="s">
        <v>125</v>
      </c>
      <c r="K604" s="134" t="s">
        <v>167</v>
      </c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0" customHeight="1">
      <c r="A605" s="25"/>
      <c r="B605" s="126">
        <v>44789.0</v>
      </c>
      <c r="C605" s="127">
        <f t="shared" si="1"/>
        <v>44774</v>
      </c>
      <c r="D605" s="128">
        <f t="shared" si="2"/>
        <v>44789</v>
      </c>
      <c r="E605" s="129">
        <f t="shared" si="3"/>
        <v>34</v>
      </c>
      <c r="F605" s="130" t="s">
        <v>26</v>
      </c>
      <c r="G605" s="131" t="s">
        <v>70</v>
      </c>
      <c r="H605" s="130" t="s">
        <v>124</v>
      </c>
      <c r="I605" s="132">
        <v>19900.0</v>
      </c>
      <c r="J605" s="133" t="s">
        <v>125</v>
      </c>
      <c r="K605" s="134" t="s">
        <v>515</v>
      </c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0" customHeight="1">
      <c r="A606" s="25"/>
      <c r="B606" s="126">
        <v>44869.0</v>
      </c>
      <c r="C606" s="127">
        <f t="shared" si="1"/>
        <v>44866</v>
      </c>
      <c r="D606" s="128">
        <f t="shared" si="2"/>
        <v>44869</v>
      </c>
      <c r="E606" s="129">
        <f t="shared" si="3"/>
        <v>45</v>
      </c>
      <c r="F606" s="130" t="s">
        <v>26</v>
      </c>
      <c r="G606" s="131" t="s">
        <v>87</v>
      </c>
      <c r="H606" s="130" t="s">
        <v>124</v>
      </c>
      <c r="I606" s="132">
        <f>39800*0.5</f>
        <v>19900</v>
      </c>
      <c r="J606" s="133" t="s">
        <v>122</v>
      </c>
      <c r="K606" s="134" t="s">
        <v>516</v>
      </c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0" customHeight="1">
      <c r="A607" s="25"/>
      <c r="B607" s="126">
        <v>44647.0</v>
      </c>
      <c r="C607" s="127">
        <f t="shared" si="1"/>
        <v>44621</v>
      </c>
      <c r="D607" s="128">
        <f t="shared" si="2"/>
        <v>44647</v>
      </c>
      <c r="E607" s="129">
        <f t="shared" si="3"/>
        <v>14</v>
      </c>
      <c r="F607" s="130" t="s">
        <v>26</v>
      </c>
      <c r="G607" s="131" t="s">
        <v>79</v>
      </c>
      <c r="H607" s="130" t="s">
        <v>124</v>
      </c>
      <c r="I607" s="132">
        <v>19800.0</v>
      </c>
      <c r="J607" s="133" t="s">
        <v>125</v>
      </c>
      <c r="K607" s="134" t="s">
        <v>517</v>
      </c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0" customHeight="1">
      <c r="A608" s="25"/>
      <c r="B608" s="126">
        <v>44773.0</v>
      </c>
      <c r="C608" s="127">
        <f t="shared" si="1"/>
        <v>44743</v>
      </c>
      <c r="D608" s="128">
        <f t="shared" si="2"/>
        <v>44773</v>
      </c>
      <c r="E608" s="129">
        <f t="shared" si="3"/>
        <v>32</v>
      </c>
      <c r="F608" s="130" t="s">
        <v>128</v>
      </c>
      <c r="G608" s="131" t="s">
        <v>129</v>
      </c>
      <c r="H608" s="130" t="s">
        <v>124</v>
      </c>
      <c r="I608" s="132">
        <v>19800.0</v>
      </c>
      <c r="J608" s="133" t="s">
        <v>125</v>
      </c>
      <c r="K608" s="134" t="s">
        <v>518</v>
      </c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0" customHeight="1">
      <c r="A609" s="25"/>
      <c r="B609" s="126">
        <v>44804.0</v>
      </c>
      <c r="C609" s="127">
        <f t="shared" si="1"/>
        <v>44774</v>
      </c>
      <c r="D609" s="128">
        <f t="shared" si="2"/>
        <v>44804</v>
      </c>
      <c r="E609" s="129">
        <f t="shared" si="3"/>
        <v>36</v>
      </c>
      <c r="F609" s="130" t="s">
        <v>24</v>
      </c>
      <c r="G609" s="131" t="s">
        <v>46</v>
      </c>
      <c r="H609" s="130" t="s">
        <v>124</v>
      </c>
      <c r="I609" s="132">
        <f>18000+1800</f>
        <v>19800</v>
      </c>
      <c r="J609" s="133" t="s">
        <v>125</v>
      </c>
      <c r="K609" s="134" t="s">
        <v>248</v>
      </c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0" customHeight="1">
      <c r="A610" s="25"/>
      <c r="B610" s="126">
        <v>44892.0</v>
      </c>
      <c r="C610" s="127">
        <f t="shared" si="1"/>
        <v>44866</v>
      </c>
      <c r="D610" s="128">
        <f t="shared" si="2"/>
        <v>44892</v>
      </c>
      <c r="E610" s="129">
        <f t="shared" si="3"/>
        <v>49</v>
      </c>
      <c r="F610" s="130" t="s">
        <v>26</v>
      </c>
      <c r="G610" s="131" t="s">
        <v>79</v>
      </c>
      <c r="H610" s="130" t="s">
        <v>124</v>
      </c>
      <c r="I610" s="132">
        <v>19791.0</v>
      </c>
      <c r="J610" s="133" t="s">
        <v>125</v>
      </c>
      <c r="K610" s="134" t="s">
        <v>519</v>
      </c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0" customHeight="1">
      <c r="A611" s="25"/>
      <c r="B611" s="126">
        <v>44575.0</v>
      </c>
      <c r="C611" s="127">
        <f t="shared" si="1"/>
        <v>44562</v>
      </c>
      <c r="D611" s="128">
        <f t="shared" si="2"/>
        <v>44575</v>
      </c>
      <c r="E611" s="129">
        <f t="shared" si="3"/>
        <v>3</v>
      </c>
      <c r="F611" s="130" t="s">
        <v>26</v>
      </c>
      <c r="G611" s="131" t="s">
        <v>87</v>
      </c>
      <c r="H611" s="130" t="s">
        <v>124</v>
      </c>
      <c r="I611" s="132">
        <f>39500-19750</f>
        <v>19750</v>
      </c>
      <c r="J611" s="133" t="s">
        <v>125</v>
      </c>
      <c r="K611" s="134" t="s">
        <v>520</v>
      </c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0" customHeight="1">
      <c r="A612" s="25"/>
      <c r="B612" s="126">
        <v>44576.0</v>
      </c>
      <c r="C612" s="127">
        <f t="shared" si="1"/>
        <v>44562</v>
      </c>
      <c r="D612" s="128">
        <f t="shared" si="2"/>
        <v>44576</v>
      </c>
      <c r="E612" s="129">
        <f t="shared" si="3"/>
        <v>3</v>
      </c>
      <c r="F612" s="130" t="s">
        <v>26</v>
      </c>
      <c r="G612" s="131" t="s">
        <v>70</v>
      </c>
      <c r="H612" s="130" t="s">
        <v>124</v>
      </c>
      <c r="I612" s="132">
        <v>19750.0</v>
      </c>
      <c r="J612" s="133" t="s">
        <v>125</v>
      </c>
      <c r="K612" s="134" t="s">
        <v>521</v>
      </c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0" customHeight="1">
      <c r="A613" s="25"/>
      <c r="B613" s="126">
        <v>44631.0</v>
      </c>
      <c r="C613" s="127">
        <f t="shared" si="1"/>
        <v>44621</v>
      </c>
      <c r="D613" s="128">
        <f t="shared" si="2"/>
        <v>44631</v>
      </c>
      <c r="E613" s="129">
        <f t="shared" si="3"/>
        <v>11</v>
      </c>
      <c r="F613" s="130" t="s">
        <v>26</v>
      </c>
      <c r="G613" s="131" t="s">
        <v>76</v>
      </c>
      <c r="H613" s="130" t="s">
        <v>124</v>
      </c>
      <c r="I613" s="132">
        <v>19650.0</v>
      </c>
      <c r="J613" s="133" t="s">
        <v>125</v>
      </c>
      <c r="K613" s="134" t="s">
        <v>167</v>
      </c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0" customHeight="1">
      <c r="A614" s="25"/>
      <c r="B614" s="126">
        <v>44593.0</v>
      </c>
      <c r="C614" s="127">
        <f t="shared" si="1"/>
        <v>44593</v>
      </c>
      <c r="D614" s="128">
        <f t="shared" si="2"/>
        <v>44593</v>
      </c>
      <c r="E614" s="129">
        <f t="shared" si="3"/>
        <v>6</v>
      </c>
      <c r="F614" s="130" t="s">
        <v>26</v>
      </c>
      <c r="G614" s="131" t="s">
        <v>87</v>
      </c>
      <c r="H614" s="130" t="s">
        <v>124</v>
      </c>
      <c r="I614" s="132">
        <f>39000*0.5</f>
        <v>19500</v>
      </c>
      <c r="J614" s="133" t="s">
        <v>122</v>
      </c>
      <c r="K614" s="134" t="s">
        <v>522</v>
      </c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0" customHeight="1">
      <c r="A615" s="25"/>
      <c r="B615" s="126">
        <v>44592.0</v>
      </c>
      <c r="C615" s="127">
        <f t="shared" si="1"/>
        <v>44562</v>
      </c>
      <c r="D615" s="128">
        <f t="shared" si="2"/>
        <v>44592</v>
      </c>
      <c r="E615" s="129">
        <f t="shared" si="3"/>
        <v>6</v>
      </c>
      <c r="F615" s="130" t="s">
        <v>24</v>
      </c>
      <c r="G615" s="131" t="s">
        <v>46</v>
      </c>
      <c r="H615" s="130" t="s">
        <v>124</v>
      </c>
      <c r="I615" s="132">
        <f>2800+16640</f>
        <v>19440</v>
      </c>
      <c r="J615" s="133" t="s">
        <v>125</v>
      </c>
      <c r="K615" s="134" t="s">
        <v>248</v>
      </c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0" customHeight="1">
      <c r="A616" s="25"/>
      <c r="B616" s="126">
        <v>44654.0</v>
      </c>
      <c r="C616" s="127">
        <f t="shared" si="1"/>
        <v>44652</v>
      </c>
      <c r="D616" s="128">
        <f t="shared" si="2"/>
        <v>44654</v>
      </c>
      <c r="E616" s="129">
        <f t="shared" si="3"/>
        <v>15</v>
      </c>
      <c r="F616" s="130" t="s">
        <v>26</v>
      </c>
      <c r="G616" s="131" t="s">
        <v>70</v>
      </c>
      <c r="H616" s="130" t="s">
        <v>124</v>
      </c>
      <c r="I616" s="132">
        <f>21570-2157</f>
        <v>19413</v>
      </c>
      <c r="J616" s="133" t="s">
        <v>125</v>
      </c>
      <c r="K616" s="134" t="s">
        <v>523</v>
      </c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0" customHeight="1">
      <c r="A617" s="25"/>
      <c r="B617" s="126">
        <v>44918.0</v>
      </c>
      <c r="C617" s="127">
        <f t="shared" si="1"/>
        <v>44896</v>
      </c>
      <c r="D617" s="128">
        <f t="shared" si="2"/>
        <v>44918</v>
      </c>
      <c r="E617" s="129">
        <f t="shared" si="3"/>
        <v>52</v>
      </c>
      <c r="F617" s="130" t="s">
        <v>128</v>
      </c>
      <c r="G617" s="131" t="s">
        <v>129</v>
      </c>
      <c r="H617" s="130" t="s">
        <v>124</v>
      </c>
      <c r="I617" s="132">
        <f>(7.81+7.12)*1300</f>
        <v>19409</v>
      </c>
      <c r="J617" s="133" t="s">
        <v>122</v>
      </c>
      <c r="K617" s="134" t="s">
        <v>524</v>
      </c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0" customHeight="1">
      <c r="A618" s="25"/>
      <c r="B618" s="126">
        <v>44687.0</v>
      </c>
      <c r="C618" s="127">
        <f t="shared" si="1"/>
        <v>44682</v>
      </c>
      <c r="D618" s="128">
        <f t="shared" si="2"/>
        <v>44687</v>
      </c>
      <c r="E618" s="129">
        <f t="shared" si="3"/>
        <v>19</v>
      </c>
      <c r="F618" s="130" t="s">
        <v>24</v>
      </c>
      <c r="G618" s="131" t="s">
        <v>34</v>
      </c>
      <c r="H618" s="130" t="s">
        <v>124</v>
      </c>
      <c r="I618" s="132">
        <f>21500-2150</f>
        <v>19350</v>
      </c>
      <c r="J618" s="133" t="s">
        <v>125</v>
      </c>
      <c r="K618" s="134" t="s">
        <v>525</v>
      </c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0" customHeight="1">
      <c r="A619" s="25"/>
      <c r="B619" s="126">
        <v>44816.0</v>
      </c>
      <c r="C619" s="127">
        <f t="shared" si="1"/>
        <v>44805</v>
      </c>
      <c r="D619" s="128">
        <f t="shared" si="2"/>
        <v>44816</v>
      </c>
      <c r="E619" s="129">
        <f t="shared" si="3"/>
        <v>38</v>
      </c>
      <c r="F619" s="130" t="s">
        <v>26</v>
      </c>
      <c r="G619" s="131" t="s">
        <v>70</v>
      </c>
      <c r="H619" s="130" t="s">
        <v>124</v>
      </c>
      <c r="I619" s="132">
        <f>21470-2147</f>
        <v>19323</v>
      </c>
      <c r="J619" s="133" t="s">
        <v>125</v>
      </c>
      <c r="K619" s="134" t="s">
        <v>526</v>
      </c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0" customHeight="1">
      <c r="A620" s="25"/>
      <c r="B620" s="126">
        <v>44845.0</v>
      </c>
      <c r="C620" s="127">
        <f t="shared" si="1"/>
        <v>44835</v>
      </c>
      <c r="D620" s="128">
        <f t="shared" si="2"/>
        <v>44845</v>
      </c>
      <c r="E620" s="129">
        <f t="shared" si="3"/>
        <v>42</v>
      </c>
      <c r="F620" s="130" t="s">
        <v>26</v>
      </c>
      <c r="G620" s="131" t="s">
        <v>70</v>
      </c>
      <c r="H620" s="130" t="s">
        <v>124</v>
      </c>
      <c r="I620" s="132">
        <f>21400-2140</f>
        <v>19260</v>
      </c>
      <c r="J620" s="133" t="s">
        <v>125</v>
      </c>
      <c r="K620" s="134" t="s">
        <v>527</v>
      </c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0" customHeight="1">
      <c r="A621" s="25"/>
      <c r="B621" s="126">
        <v>44794.0</v>
      </c>
      <c r="C621" s="127">
        <f t="shared" si="1"/>
        <v>44774</v>
      </c>
      <c r="D621" s="128">
        <f t="shared" si="2"/>
        <v>44794</v>
      </c>
      <c r="E621" s="129">
        <f t="shared" si="3"/>
        <v>35</v>
      </c>
      <c r="F621" s="130" t="s">
        <v>24</v>
      </c>
      <c r="G621" s="131" t="s">
        <v>52</v>
      </c>
      <c r="H621" s="130" t="s">
        <v>124</v>
      </c>
      <c r="I621" s="132">
        <v>19160.0</v>
      </c>
      <c r="J621" s="133" t="s">
        <v>125</v>
      </c>
      <c r="K621" s="134" t="s">
        <v>528</v>
      </c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0" customHeight="1">
      <c r="A622" s="25"/>
      <c r="B622" s="126">
        <v>44725.0</v>
      </c>
      <c r="C622" s="127">
        <f t="shared" si="1"/>
        <v>44713</v>
      </c>
      <c r="D622" s="128">
        <f t="shared" si="2"/>
        <v>44725</v>
      </c>
      <c r="E622" s="129">
        <f t="shared" si="3"/>
        <v>25</v>
      </c>
      <c r="F622" s="130" t="s">
        <v>26</v>
      </c>
      <c r="G622" s="131" t="s">
        <v>76</v>
      </c>
      <c r="H622" s="130" t="s">
        <v>124</v>
      </c>
      <c r="I622" s="132">
        <v>19140.0</v>
      </c>
      <c r="J622" s="133" t="s">
        <v>125</v>
      </c>
      <c r="K622" s="134" t="s">
        <v>167</v>
      </c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0" customHeight="1">
      <c r="A623" s="25"/>
      <c r="B623" s="126">
        <v>44700.0</v>
      </c>
      <c r="C623" s="127">
        <f t="shared" si="1"/>
        <v>44682</v>
      </c>
      <c r="D623" s="128">
        <f t="shared" si="2"/>
        <v>44700</v>
      </c>
      <c r="E623" s="129">
        <f t="shared" si="3"/>
        <v>21</v>
      </c>
      <c r="F623" s="130" t="s">
        <v>26</v>
      </c>
      <c r="G623" s="131" t="s">
        <v>73</v>
      </c>
      <c r="H623" s="130" t="s">
        <v>124</v>
      </c>
      <c r="I623" s="132">
        <f>9500+9600</f>
        <v>19100</v>
      </c>
      <c r="J623" s="133" t="s">
        <v>122</v>
      </c>
      <c r="K623" s="134" t="s">
        <v>529</v>
      </c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0" customHeight="1">
      <c r="A624" s="25"/>
      <c r="B624" s="126">
        <v>44846.0</v>
      </c>
      <c r="C624" s="127">
        <f t="shared" si="1"/>
        <v>44835</v>
      </c>
      <c r="D624" s="128">
        <f t="shared" si="2"/>
        <v>44846</v>
      </c>
      <c r="E624" s="129">
        <f t="shared" si="3"/>
        <v>42</v>
      </c>
      <c r="F624" s="130" t="s">
        <v>26</v>
      </c>
      <c r="G624" s="131" t="s">
        <v>76</v>
      </c>
      <c r="H624" s="130" t="s">
        <v>124</v>
      </c>
      <c r="I624" s="132">
        <f>21190-2119</f>
        <v>19071</v>
      </c>
      <c r="J624" s="133" t="s">
        <v>125</v>
      </c>
      <c r="K624" s="134" t="s">
        <v>530</v>
      </c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0" customHeight="1">
      <c r="A625" s="25"/>
      <c r="B625" s="126">
        <v>44801.0</v>
      </c>
      <c r="C625" s="127">
        <f t="shared" si="1"/>
        <v>44774</v>
      </c>
      <c r="D625" s="128">
        <f t="shared" si="2"/>
        <v>44801</v>
      </c>
      <c r="E625" s="129">
        <f t="shared" si="3"/>
        <v>36</v>
      </c>
      <c r="F625" s="130" t="s">
        <v>26</v>
      </c>
      <c r="G625" s="131" t="s">
        <v>79</v>
      </c>
      <c r="H625" s="130" t="s">
        <v>124</v>
      </c>
      <c r="I625" s="132">
        <v>19000.0</v>
      </c>
      <c r="J625" s="133" t="s">
        <v>122</v>
      </c>
      <c r="K625" s="134" t="s">
        <v>457</v>
      </c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0" customHeight="1">
      <c r="A626" s="25"/>
      <c r="B626" s="126">
        <v>44815.0</v>
      </c>
      <c r="C626" s="127">
        <f t="shared" si="1"/>
        <v>44805</v>
      </c>
      <c r="D626" s="128">
        <f t="shared" si="2"/>
        <v>44815</v>
      </c>
      <c r="E626" s="129">
        <f t="shared" si="3"/>
        <v>38</v>
      </c>
      <c r="F626" s="130" t="s">
        <v>26</v>
      </c>
      <c r="G626" s="131" t="s">
        <v>79</v>
      </c>
      <c r="H626" s="130" t="s">
        <v>124</v>
      </c>
      <c r="I626" s="132">
        <v>19000.0</v>
      </c>
      <c r="J626" s="133" t="s">
        <v>122</v>
      </c>
      <c r="K626" s="134" t="s">
        <v>457</v>
      </c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0" customHeight="1">
      <c r="A627" s="25"/>
      <c r="B627" s="126">
        <v>44775.0</v>
      </c>
      <c r="C627" s="127">
        <f t="shared" si="1"/>
        <v>44774</v>
      </c>
      <c r="D627" s="128">
        <f t="shared" si="2"/>
        <v>44775</v>
      </c>
      <c r="E627" s="129">
        <f t="shared" si="3"/>
        <v>32</v>
      </c>
      <c r="F627" s="130" t="s">
        <v>26</v>
      </c>
      <c r="G627" s="131" t="s">
        <v>76</v>
      </c>
      <c r="H627" s="130" t="s">
        <v>124</v>
      </c>
      <c r="I627" s="132">
        <f>21050-2105</f>
        <v>18945</v>
      </c>
      <c r="J627" s="133" t="s">
        <v>125</v>
      </c>
      <c r="K627" s="134" t="s">
        <v>247</v>
      </c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0" customHeight="1">
      <c r="A628" s="25"/>
      <c r="B628" s="126">
        <v>44725.0</v>
      </c>
      <c r="C628" s="127">
        <f t="shared" si="1"/>
        <v>44713</v>
      </c>
      <c r="D628" s="128">
        <f t="shared" si="2"/>
        <v>44725</v>
      </c>
      <c r="E628" s="129">
        <f t="shared" si="3"/>
        <v>25</v>
      </c>
      <c r="F628" s="130" t="s">
        <v>26</v>
      </c>
      <c r="G628" s="131" t="s">
        <v>70</v>
      </c>
      <c r="H628" s="130" t="s">
        <v>124</v>
      </c>
      <c r="I628" s="132">
        <f>21040-2104</f>
        <v>18936</v>
      </c>
      <c r="J628" s="133" t="s">
        <v>125</v>
      </c>
      <c r="K628" s="134" t="s">
        <v>247</v>
      </c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0" customHeight="1">
      <c r="A629" s="25"/>
      <c r="B629" s="126">
        <v>44740.0</v>
      </c>
      <c r="C629" s="127">
        <f t="shared" si="1"/>
        <v>44713</v>
      </c>
      <c r="D629" s="128">
        <f t="shared" si="2"/>
        <v>44740</v>
      </c>
      <c r="E629" s="129">
        <f t="shared" si="3"/>
        <v>27</v>
      </c>
      <c r="F629" s="130" t="s">
        <v>24</v>
      </c>
      <c r="G629" s="131" t="s">
        <v>54</v>
      </c>
      <c r="H629" s="130" t="s">
        <v>124</v>
      </c>
      <c r="I629" s="132">
        <v>18800.0</v>
      </c>
      <c r="J629" s="133" t="s">
        <v>122</v>
      </c>
      <c r="K629" s="134" t="s">
        <v>531</v>
      </c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0" customHeight="1">
      <c r="A630" s="25"/>
      <c r="B630" s="126">
        <v>44815.0</v>
      </c>
      <c r="C630" s="127">
        <f t="shared" si="1"/>
        <v>44805</v>
      </c>
      <c r="D630" s="128">
        <f t="shared" si="2"/>
        <v>44815</v>
      </c>
      <c r="E630" s="129">
        <f t="shared" si="3"/>
        <v>38</v>
      </c>
      <c r="F630" s="130" t="s">
        <v>26</v>
      </c>
      <c r="G630" s="131" t="s">
        <v>76</v>
      </c>
      <c r="H630" s="130" t="s">
        <v>124</v>
      </c>
      <c r="I630" s="132">
        <f>20830-2083</f>
        <v>18747</v>
      </c>
      <c r="J630" s="133" t="s">
        <v>125</v>
      </c>
      <c r="K630" s="134" t="s">
        <v>247</v>
      </c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0" customHeight="1">
      <c r="A631" s="25"/>
      <c r="B631" s="126">
        <v>44712.0</v>
      </c>
      <c r="C631" s="127">
        <f t="shared" si="1"/>
        <v>44682</v>
      </c>
      <c r="D631" s="128">
        <f t="shared" si="2"/>
        <v>44712</v>
      </c>
      <c r="E631" s="129">
        <f t="shared" si="3"/>
        <v>23</v>
      </c>
      <c r="F631" s="130" t="s">
        <v>24</v>
      </c>
      <c r="G631" s="131" t="s">
        <v>46</v>
      </c>
      <c r="H631" s="130" t="s">
        <v>124</v>
      </c>
      <c r="I631" s="132">
        <f>2800+15800</f>
        <v>18600</v>
      </c>
      <c r="J631" s="133" t="s">
        <v>125</v>
      </c>
      <c r="K631" s="134" t="s">
        <v>248</v>
      </c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0" customHeight="1">
      <c r="A632" s="25"/>
      <c r="B632" s="126">
        <v>44674.0</v>
      </c>
      <c r="C632" s="127">
        <f t="shared" si="1"/>
        <v>44652</v>
      </c>
      <c r="D632" s="128">
        <f t="shared" si="2"/>
        <v>44674</v>
      </c>
      <c r="E632" s="129">
        <f t="shared" si="3"/>
        <v>17</v>
      </c>
      <c r="F632" s="130" t="s">
        <v>128</v>
      </c>
      <c r="G632" s="131" t="s">
        <v>172</v>
      </c>
      <c r="H632" s="130" t="s">
        <v>124</v>
      </c>
      <c r="I632" s="132">
        <v>18500.0</v>
      </c>
      <c r="J632" s="133" t="s">
        <v>125</v>
      </c>
      <c r="K632" s="134" t="s">
        <v>532</v>
      </c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0" customHeight="1">
      <c r="A633" s="25"/>
      <c r="B633" s="126">
        <v>44694.0</v>
      </c>
      <c r="C633" s="127">
        <f t="shared" si="1"/>
        <v>44682</v>
      </c>
      <c r="D633" s="128">
        <f t="shared" si="2"/>
        <v>44694</v>
      </c>
      <c r="E633" s="129">
        <f t="shared" si="3"/>
        <v>20</v>
      </c>
      <c r="F633" s="130" t="s">
        <v>26</v>
      </c>
      <c r="G633" s="131" t="s">
        <v>79</v>
      </c>
      <c r="H633" s="130" t="s">
        <v>124</v>
      </c>
      <c r="I633" s="132">
        <v>18500.0</v>
      </c>
      <c r="J633" s="133" t="s">
        <v>125</v>
      </c>
      <c r="K633" s="134" t="s">
        <v>533</v>
      </c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0" customHeight="1">
      <c r="A634" s="25"/>
      <c r="B634" s="126">
        <v>44638.0</v>
      </c>
      <c r="C634" s="127">
        <f t="shared" si="1"/>
        <v>44621</v>
      </c>
      <c r="D634" s="128">
        <f t="shared" si="2"/>
        <v>44638</v>
      </c>
      <c r="E634" s="129">
        <f t="shared" si="3"/>
        <v>12</v>
      </c>
      <c r="F634" s="130" t="s">
        <v>24</v>
      </c>
      <c r="G634" s="131" t="s">
        <v>29</v>
      </c>
      <c r="H634" s="130" t="s">
        <v>124</v>
      </c>
      <c r="I634" s="132">
        <f>22950-4590</f>
        <v>18360</v>
      </c>
      <c r="J634" s="133" t="s">
        <v>122</v>
      </c>
      <c r="K634" s="134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0" customHeight="1">
      <c r="A635" s="25"/>
      <c r="B635" s="126">
        <v>44904.0</v>
      </c>
      <c r="C635" s="127">
        <f t="shared" si="1"/>
        <v>44896</v>
      </c>
      <c r="D635" s="128">
        <f t="shared" si="2"/>
        <v>44904</v>
      </c>
      <c r="E635" s="129">
        <f t="shared" si="3"/>
        <v>50</v>
      </c>
      <c r="F635" s="130" t="s">
        <v>26</v>
      </c>
      <c r="G635" s="131" t="s">
        <v>70</v>
      </c>
      <c r="H635" s="130" t="s">
        <v>124</v>
      </c>
      <c r="I635" s="132">
        <v>18360.0</v>
      </c>
      <c r="J635" s="133" t="s">
        <v>125</v>
      </c>
      <c r="K635" s="134" t="s">
        <v>534</v>
      </c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0" customHeight="1">
      <c r="A636" s="25"/>
      <c r="B636" s="126">
        <v>44740.0</v>
      </c>
      <c r="C636" s="127">
        <f t="shared" si="1"/>
        <v>44713</v>
      </c>
      <c r="D636" s="128">
        <f t="shared" si="2"/>
        <v>44740</v>
      </c>
      <c r="E636" s="129">
        <f t="shared" si="3"/>
        <v>27</v>
      </c>
      <c r="F636" s="130" t="s">
        <v>26</v>
      </c>
      <c r="G636" s="131" t="s">
        <v>70</v>
      </c>
      <c r="H636" s="130" t="s">
        <v>124</v>
      </c>
      <c r="I636" s="132">
        <v>18329.0</v>
      </c>
      <c r="J636" s="133" t="s">
        <v>122</v>
      </c>
      <c r="K636" s="134" t="s">
        <v>535</v>
      </c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0" customHeight="1">
      <c r="A637" s="25"/>
      <c r="B637" s="126">
        <v>44659.0</v>
      </c>
      <c r="C637" s="127">
        <f t="shared" si="1"/>
        <v>44652</v>
      </c>
      <c r="D637" s="128">
        <f t="shared" si="2"/>
        <v>44659</v>
      </c>
      <c r="E637" s="129">
        <f t="shared" si="3"/>
        <v>15</v>
      </c>
      <c r="F637" s="130" t="s">
        <v>26</v>
      </c>
      <c r="G637" s="131" t="s">
        <v>76</v>
      </c>
      <c r="H637" s="130" t="s">
        <v>124</v>
      </c>
      <c r="I637" s="132">
        <f>20270-2027</f>
        <v>18243</v>
      </c>
      <c r="J637" s="133" t="s">
        <v>125</v>
      </c>
      <c r="K637" s="134" t="s">
        <v>536</v>
      </c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0" customHeight="1">
      <c r="A638" s="25"/>
      <c r="B638" s="126">
        <v>44583.0</v>
      </c>
      <c r="C638" s="127">
        <f t="shared" si="1"/>
        <v>44562</v>
      </c>
      <c r="D638" s="128">
        <f t="shared" si="2"/>
        <v>44583</v>
      </c>
      <c r="E638" s="129">
        <f t="shared" si="3"/>
        <v>4</v>
      </c>
      <c r="F638" s="130" t="s">
        <v>26</v>
      </c>
      <c r="G638" s="131" t="s">
        <v>79</v>
      </c>
      <c r="H638" s="130" t="s">
        <v>124</v>
      </c>
      <c r="I638" s="132">
        <v>18000.0</v>
      </c>
      <c r="J638" s="133" t="s">
        <v>122</v>
      </c>
      <c r="K638" s="134" t="s">
        <v>537</v>
      </c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0" customHeight="1">
      <c r="A639" s="25"/>
      <c r="B639" s="126">
        <v>44632.0</v>
      </c>
      <c r="C639" s="127">
        <f t="shared" si="1"/>
        <v>44621</v>
      </c>
      <c r="D639" s="128">
        <f t="shared" si="2"/>
        <v>44632</v>
      </c>
      <c r="E639" s="129">
        <f t="shared" si="3"/>
        <v>11</v>
      </c>
      <c r="F639" s="130" t="s">
        <v>26</v>
      </c>
      <c r="G639" s="131" t="s">
        <v>79</v>
      </c>
      <c r="H639" s="130" t="s">
        <v>124</v>
      </c>
      <c r="I639" s="132">
        <v>18000.0</v>
      </c>
      <c r="J639" s="133" t="s">
        <v>122</v>
      </c>
      <c r="K639" s="134" t="s">
        <v>538</v>
      </c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0" customHeight="1">
      <c r="A640" s="25"/>
      <c r="B640" s="126">
        <v>44627.0</v>
      </c>
      <c r="C640" s="127">
        <f t="shared" si="1"/>
        <v>44621</v>
      </c>
      <c r="D640" s="128">
        <f t="shared" si="2"/>
        <v>44627</v>
      </c>
      <c r="E640" s="129">
        <f t="shared" si="3"/>
        <v>11</v>
      </c>
      <c r="F640" s="130" t="s">
        <v>26</v>
      </c>
      <c r="G640" s="131" t="s">
        <v>87</v>
      </c>
      <c r="H640" s="130" t="s">
        <v>124</v>
      </c>
      <c r="I640" s="132">
        <f>30000-15000+5900-2950</f>
        <v>17950</v>
      </c>
      <c r="J640" s="133" t="s">
        <v>125</v>
      </c>
      <c r="K640" s="134" t="s">
        <v>539</v>
      </c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0" customHeight="1">
      <c r="A641" s="25"/>
      <c r="B641" s="126">
        <v>44776.0</v>
      </c>
      <c r="C641" s="127">
        <f t="shared" si="1"/>
        <v>44774</v>
      </c>
      <c r="D641" s="128">
        <f t="shared" si="2"/>
        <v>44776</v>
      </c>
      <c r="E641" s="129">
        <f t="shared" si="3"/>
        <v>32</v>
      </c>
      <c r="F641" s="130" t="s">
        <v>26</v>
      </c>
      <c r="G641" s="131" t="s">
        <v>76</v>
      </c>
      <c r="H641" s="130" t="s">
        <v>124</v>
      </c>
      <c r="I641" s="132">
        <f>17946</f>
        <v>17946</v>
      </c>
      <c r="J641" s="133" t="s">
        <v>122</v>
      </c>
      <c r="K641" s="134" t="s">
        <v>540</v>
      </c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0" customHeight="1">
      <c r="A642" s="25"/>
      <c r="B642" s="126">
        <v>44745.0</v>
      </c>
      <c r="C642" s="127">
        <f t="shared" si="1"/>
        <v>44743</v>
      </c>
      <c r="D642" s="128">
        <f t="shared" si="2"/>
        <v>44745</v>
      </c>
      <c r="E642" s="129">
        <f t="shared" si="3"/>
        <v>28</v>
      </c>
      <c r="F642" s="130" t="s">
        <v>26</v>
      </c>
      <c r="G642" s="131" t="s">
        <v>82</v>
      </c>
      <c r="H642" s="130" t="s">
        <v>124</v>
      </c>
      <c r="I642" s="132">
        <v>17928.0</v>
      </c>
      <c r="J642" s="133" t="s">
        <v>122</v>
      </c>
      <c r="K642" s="134" t="s">
        <v>541</v>
      </c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0" customHeight="1">
      <c r="A643" s="25"/>
      <c r="B643" s="126">
        <v>44651.0</v>
      </c>
      <c r="C643" s="127">
        <f t="shared" si="1"/>
        <v>44621</v>
      </c>
      <c r="D643" s="128">
        <f t="shared" si="2"/>
        <v>44651</v>
      </c>
      <c r="E643" s="129">
        <f t="shared" si="3"/>
        <v>14</v>
      </c>
      <c r="F643" s="130" t="s">
        <v>24</v>
      </c>
      <c r="G643" s="131" t="s">
        <v>29</v>
      </c>
      <c r="H643" s="130" t="s">
        <v>124</v>
      </c>
      <c r="I643" s="132">
        <f>18600+3750-3720-750</f>
        <v>17880</v>
      </c>
      <c r="J643" s="133" t="s">
        <v>125</v>
      </c>
      <c r="K643" s="134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0" customHeight="1">
      <c r="A644" s="25"/>
      <c r="B644" s="126">
        <v>44910.0</v>
      </c>
      <c r="C644" s="127">
        <f t="shared" si="1"/>
        <v>44896</v>
      </c>
      <c r="D644" s="128">
        <f t="shared" si="2"/>
        <v>44910</v>
      </c>
      <c r="E644" s="129">
        <f t="shared" si="3"/>
        <v>51</v>
      </c>
      <c r="F644" s="130" t="s">
        <v>26</v>
      </c>
      <c r="G644" s="131" t="s">
        <v>76</v>
      </c>
      <c r="H644" s="130" t="s">
        <v>124</v>
      </c>
      <c r="I644" s="132">
        <v>17850.0</v>
      </c>
      <c r="J644" s="133" t="s">
        <v>125</v>
      </c>
      <c r="K644" s="134" t="s">
        <v>542</v>
      </c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0" customHeight="1">
      <c r="A645" s="25"/>
      <c r="B645" s="126">
        <v>44730.0</v>
      </c>
      <c r="C645" s="127">
        <f t="shared" si="1"/>
        <v>44713</v>
      </c>
      <c r="D645" s="128">
        <f t="shared" si="2"/>
        <v>44730</v>
      </c>
      <c r="E645" s="129">
        <f t="shared" si="3"/>
        <v>25</v>
      </c>
      <c r="F645" s="130" t="s">
        <v>26</v>
      </c>
      <c r="G645" s="131" t="s">
        <v>70</v>
      </c>
      <c r="H645" s="130" t="s">
        <v>124</v>
      </c>
      <c r="I645" s="132">
        <v>17840.0</v>
      </c>
      <c r="J645" s="133" t="s">
        <v>125</v>
      </c>
      <c r="K645" s="134" t="s">
        <v>543</v>
      </c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0" customHeight="1">
      <c r="A646" s="25"/>
      <c r="B646" s="126">
        <v>44750.0</v>
      </c>
      <c r="C646" s="127">
        <f t="shared" si="1"/>
        <v>44743</v>
      </c>
      <c r="D646" s="128">
        <f t="shared" si="2"/>
        <v>44750</v>
      </c>
      <c r="E646" s="129">
        <f t="shared" si="3"/>
        <v>28</v>
      </c>
      <c r="F646" s="130" t="s">
        <v>128</v>
      </c>
      <c r="G646" s="131" t="s">
        <v>129</v>
      </c>
      <c r="H646" s="130" t="s">
        <v>124</v>
      </c>
      <c r="I646" s="132">
        <v>17800.0</v>
      </c>
      <c r="J646" s="133" t="s">
        <v>122</v>
      </c>
      <c r="K646" s="134" t="s">
        <v>544</v>
      </c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0" customHeight="1">
      <c r="A647" s="25"/>
      <c r="B647" s="126">
        <v>44851.0</v>
      </c>
      <c r="C647" s="127">
        <f t="shared" si="1"/>
        <v>44835</v>
      </c>
      <c r="D647" s="128">
        <f t="shared" si="2"/>
        <v>44851</v>
      </c>
      <c r="E647" s="129">
        <f t="shared" si="3"/>
        <v>43</v>
      </c>
      <c r="F647" s="130" t="s">
        <v>26</v>
      </c>
      <c r="G647" s="131" t="s">
        <v>76</v>
      </c>
      <c r="H647" s="130" t="s">
        <v>124</v>
      </c>
      <c r="I647" s="132">
        <v>17750.0</v>
      </c>
      <c r="J647" s="133" t="s">
        <v>125</v>
      </c>
      <c r="K647" s="134" t="s">
        <v>167</v>
      </c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0" customHeight="1">
      <c r="A648" s="25"/>
      <c r="B648" s="126">
        <v>44591.0</v>
      </c>
      <c r="C648" s="127">
        <f t="shared" si="1"/>
        <v>44562</v>
      </c>
      <c r="D648" s="128">
        <f t="shared" si="2"/>
        <v>44591</v>
      </c>
      <c r="E648" s="129">
        <f t="shared" si="3"/>
        <v>6</v>
      </c>
      <c r="F648" s="130" t="s">
        <v>26</v>
      </c>
      <c r="G648" s="131" t="s">
        <v>79</v>
      </c>
      <c r="H648" s="130" t="s">
        <v>124</v>
      </c>
      <c r="I648" s="132">
        <f>(5600+12900)*0.95</f>
        <v>17575</v>
      </c>
      <c r="J648" s="133" t="s">
        <v>122</v>
      </c>
      <c r="K648" s="134" t="s">
        <v>545</v>
      </c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0" customHeight="1">
      <c r="A649" s="25"/>
      <c r="B649" s="126">
        <v>44848.0</v>
      </c>
      <c r="C649" s="127">
        <f t="shared" si="1"/>
        <v>44835</v>
      </c>
      <c r="D649" s="128">
        <f t="shared" si="2"/>
        <v>44848</v>
      </c>
      <c r="E649" s="129">
        <f t="shared" si="3"/>
        <v>42</v>
      </c>
      <c r="F649" s="130" t="s">
        <v>26</v>
      </c>
      <c r="G649" s="131" t="s">
        <v>79</v>
      </c>
      <c r="H649" s="130" t="s">
        <v>124</v>
      </c>
      <c r="I649" s="132">
        <v>17500.0</v>
      </c>
      <c r="J649" s="133" t="s">
        <v>122</v>
      </c>
      <c r="K649" s="134" t="s">
        <v>510</v>
      </c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0" customHeight="1">
      <c r="A650" s="25"/>
      <c r="B650" s="126">
        <v>44746.0</v>
      </c>
      <c r="C650" s="127">
        <f t="shared" si="1"/>
        <v>44743</v>
      </c>
      <c r="D650" s="128">
        <f t="shared" si="2"/>
        <v>44746</v>
      </c>
      <c r="E650" s="129">
        <f t="shared" si="3"/>
        <v>28</v>
      </c>
      <c r="F650" s="130" t="s">
        <v>24</v>
      </c>
      <c r="G650" s="131" t="s">
        <v>54</v>
      </c>
      <c r="H650" s="130" t="s">
        <v>124</v>
      </c>
      <c r="I650" s="132">
        <v>17400.0</v>
      </c>
      <c r="J650" s="133" t="s">
        <v>122</v>
      </c>
      <c r="K650" s="134" t="s">
        <v>546</v>
      </c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0" customHeight="1">
      <c r="A651" s="25"/>
      <c r="B651" s="126">
        <v>44661.0</v>
      </c>
      <c r="C651" s="127">
        <f t="shared" si="1"/>
        <v>44652</v>
      </c>
      <c r="D651" s="128">
        <f t="shared" si="2"/>
        <v>44661</v>
      </c>
      <c r="E651" s="129">
        <f t="shared" si="3"/>
        <v>16</v>
      </c>
      <c r="F651" s="130" t="s">
        <v>24</v>
      </c>
      <c r="G651" s="131" t="s">
        <v>52</v>
      </c>
      <c r="H651" s="130" t="s">
        <v>124</v>
      </c>
      <c r="I651" s="132">
        <v>17300.0</v>
      </c>
      <c r="J651" s="133" t="s">
        <v>122</v>
      </c>
      <c r="K651" s="134" t="s">
        <v>547</v>
      </c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0" customHeight="1">
      <c r="A652" s="25"/>
      <c r="B652" s="126">
        <v>44618.0</v>
      </c>
      <c r="C652" s="127">
        <f t="shared" si="1"/>
        <v>44593</v>
      </c>
      <c r="D652" s="128">
        <f t="shared" si="2"/>
        <v>44618</v>
      </c>
      <c r="E652" s="129">
        <f t="shared" si="3"/>
        <v>9</v>
      </c>
      <c r="F652" s="130" t="s">
        <v>128</v>
      </c>
      <c r="G652" s="131" t="s">
        <v>172</v>
      </c>
      <c r="H652" s="130" t="s">
        <v>124</v>
      </c>
      <c r="I652" s="132">
        <f>16000-1600+3000-300</f>
        <v>17100</v>
      </c>
      <c r="J652" s="133" t="s">
        <v>125</v>
      </c>
      <c r="K652" s="134" t="s">
        <v>548</v>
      </c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0" customHeight="1">
      <c r="A653" s="25"/>
      <c r="B653" s="126">
        <v>44703.0</v>
      </c>
      <c r="C653" s="127">
        <f t="shared" si="1"/>
        <v>44682</v>
      </c>
      <c r="D653" s="128">
        <f t="shared" si="2"/>
        <v>44703</v>
      </c>
      <c r="E653" s="129">
        <f t="shared" si="3"/>
        <v>22</v>
      </c>
      <c r="F653" s="130" t="s">
        <v>26</v>
      </c>
      <c r="G653" s="131" t="s">
        <v>79</v>
      </c>
      <c r="H653" s="130" t="s">
        <v>121</v>
      </c>
      <c r="I653" s="132">
        <f>19000*0.9</f>
        <v>17100</v>
      </c>
      <c r="J653" s="133" t="s">
        <v>125</v>
      </c>
      <c r="K653" s="134" t="s">
        <v>549</v>
      </c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0" customHeight="1">
      <c r="A654" s="25"/>
      <c r="B654" s="126">
        <v>44572.0</v>
      </c>
      <c r="C654" s="127">
        <f t="shared" si="1"/>
        <v>44562</v>
      </c>
      <c r="D654" s="128">
        <f t="shared" si="2"/>
        <v>44572</v>
      </c>
      <c r="E654" s="129">
        <f t="shared" si="3"/>
        <v>3</v>
      </c>
      <c r="F654" s="130" t="s">
        <v>26</v>
      </c>
      <c r="G654" s="131" t="s">
        <v>70</v>
      </c>
      <c r="H654" s="130" t="s">
        <v>124</v>
      </c>
      <c r="I654" s="132">
        <v>17060.0</v>
      </c>
      <c r="J654" s="133" t="s">
        <v>122</v>
      </c>
      <c r="K654" s="134" t="s">
        <v>550</v>
      </c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0" customHeight="1">
      <c r="A655" s="25"/>
      <c r="B655" s="126">
        <v>44600.0</v>
      </c>
      <c r="C655" s="127">
        <f t="shared" si="1"/>
        <v>44593</v>
      </c>
      <c r="D655" s="128">
        <f t="shared" si="2"/>
        <v>44600</v>
      </c>
      <c r="E655" s="129">
        <f t="shared" si="3"/>
        <v>7</v>
      </c>
      <c r="F655" s="130" t="s">
        <v>24</v>
      </c>
      <c r="G655" s="131" t="s">
        <v>61</v>
      </c>
      <c r="H655" s="130" t="s">
        <v>124</v>
      </c>
      <c r="I655" s="132">
        <v>17000.0</v>
      </c>
      <c r="J655" s="133" t="s">
        <v>122</v>
      </c>
      <c r="K655" s="134" t="s">
        <v>447</v>
      </c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0" customHeight="1">
      <c r="A656" s="25"/>
      <c r="B656" s="126">
        <v>44762.0</v>
      </c>
      <c r="C656" s="127">
        <f t="shared" si="1"/>
        <v>44743</v>
      </c>
      <c r="D656" s="128">
        <f t="shared" si="2"/>
        <v>44762</v>
      </c>
      <c r="E656" s="129">
        <f t="shared" si="3"/>
        <v>30</v>
      </c>
      <c r="F656" s="130" t="s">
        <v>24</v>
      </c>
      <c r="G656" s="131" t="s">
        <v>54</v>
      </c>
      <c r="H656" s="130" t="s">
        <v>124</v>
      </c>
      <c r="I656" s="132">
        <v>17000.0</v>
      </c>
      <c r="J656" s="133" t="s">
        <v>125</v>
      </c>
      <c r="K656" s="134" t="s">
        <v>551</v>
      </c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0" customHeight="1">
      <c r="A657" s="25"/>
      <c r="B657" s="126">
        <v>44921.0</v>
      </c>
      <c r="C657" s="127">
        <f t="shared" si="1"/>
        <v>44896</v>
      </c>
      <c r="D657" s="128">
        <f t="shared" si="2"/>
        <v>44921</v>
      </c>
      <c r="E657" s="129">
        <f t="shared" si="3"/>
        <v>53</v>
      </c>
      <c r="F657" s="130" t="s">
        <v>128</v>
      </c>
      <c r="G657" s="131" t="s">
        <v>172</v>
      </c>
      <c r="H657" s="130" t="s">
        <v>124</v>
      </c>
      <c r="I657" s="132">
        <v>17000.0</v>
      </c>
      <c r="J657" s="133" t="s">
        <v>125</v>
      </c>
      <c r="K657" s="134" t="s">
        <v>552</v>
      </c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0" customHeight="1">
      <c r="A658" s="25"/>
      <c r="B658" s="126">
        <v>44921.0</v>
      </c>
      <c r="C658" s="127">
        <f t="shared" si="1"/>
        <v>44896</v>
      </c>
      <c r="D658" s="128">
        <f t="shared" si="2"/>
        <v>44921</v>
      </c>
      <c r="E658" s="129">
        <f t="shared" si="3"/>
        <v>53</v>
      </c>
      <c r="F658" s="130" t="s">
        <v>128</v>
      </c>
      <c r="G658" s="131" t="s">
        <v>172</v>
      </c>
      <c r="H658" s="130" t="s">
        <v>124</v>
      </c>
      <c r="I658" s="132">
        <v>17000.0</v>
      </c>
      <c r="J658" s="133" t="s">
        <v>125</v>
      </c>
      <c r="K658" s="134" t="s">
        <v>553</v>
      </c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0" customHeight="1">
      <c r="A659" s="25"/>
      <c r="B659" s="126">
        <v>44696.0</v>
      </c>
      <c r="C659" s="127">
        <f t="shared" si="1"/>
        <v>44682</v>
      </c>
      <c r="D659" s="128">
        <f t="shared" si="2"/>
        <v>44696</v>
      </c>
      <c r="E659" s="129">
        <f t="shared" si="3"/>
        <v>21</v>
      </c>
      <c r="F659" s="130" t="s">
        <v>26</v>
      </c>
      <c r="G659" s="131" t="s">
        <v>82</v>
      </c>
      <c r="H659" s="130" t="s">
        <v>124</v>
      </c>
      <c r="I659" s="132">
        <v>16992.0</v>
      </c>
      <c r="J659" s="133" t="s">
        <v>125</v>
      </c>
      <c r="K659" s="134" t="s">
        <v>554</v>
      </c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0" customHeight="1">
      <c r="A660" s="25"/>
      <c r="B660" s="126">
        <v>44636.0</v>
      </c>
      <c r="C660" s="127">
        <f t="shared" si="1"/>
        <v>44621</v>
      </c>
      <c r="D660" s="128">
        <f t="shared" si="2"/>
        <v>44636</v>
      </c>
      <c r="E660" s="129">
        <f t="shared" si="3"/>
        <v>12</v>
      </c>
      <c r="F660" s="130" t="s">
        <v>24</v>
      </c>
      <c r="G660" s="131" t="s">
        <v>34</v>
      </c>
      <c r="H660" s="130" t="s">
        <v>124</v>
      </c>
      <c r="I660" s="132">
        <f>19070-2097</f>
        <v>16973</v>
      </c>
      <c r="J660" s="133" t="s">
        <v>125</v>
      </c>
      <c r="K660" s="134" t="s">
        <v>555</v>
      </c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0" customHeight="1">
      <c r="A661" s="25"/>
      <c r="B661" s="126">
        <v>44760.0</v>
      </c>
      <c r="C661" s="127">
        <f t="shared" si="1"/>
        <v>44743</v>
      </c>
      <c r="D661" s="128">
        <f t="shared" si="2"/>
        <v>44760</v>
      </c>
      <c r="E661" s="129">
        <f t="shared" si="3"/>
        <v>30</v>
      </c>
      <c r="F661" s="130" t="s">
        <v>26</v>
      </c>
      <c r="G661" s="131" t="s">
        <v>82</v>
      </c>
      <c r="H661" s="130" t="s">
        <v>124</v>
      </c>
      <c r="I661" s="132">
        <v>16784.0</v>
      </c>
      <c r="J661" s="133" t="s">
        <v>125</v>
      </c>
      <c r="K661" s="134" t="s">
        <v>556</v>
      </c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0" customHeight="1">
      <c r="A662" s="25"/>
      <c r="B662" s="126">
        <v>44807.0</v>
      </c>
      <c r="C662" s="127">
        <f t="shared" si="1"/>
        <v>44805</v>
      </c>
      <c r="D662" s="128">
        <f t="shared" si="2"/>
        <v>44807</v>
      </c>
      <c r="E662" s="129">
        <f t="shared" si="3"/>
        <v>36</v>
      </c>
      <c r="F662" s="130" t="s">
        <v>26</v>
      </c>
      <c r="G662" s="131" t="s">
        <v>76</v>
      </c>
      <c r="H662" s="130" t="s">
        <v>124</v>
      </c>
      <c r="I662" s="132">
        <v>16710.0</v>
      </c>
      <c r="J662" s="133" t="s">
        <v>125</v>
      </c>
      <c r="K662" s="134" t="s">
        <v>167</v>
      </c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0" customHeight="1">
      <c r="A663" s="25"/>
      <c r="B663" s="126">
        <v>44578.0</v>
      </c>
      <c r="C663" s="127">
        <f t="shared" si="1"/>
        <v>44562</v>
      </c>
      <c r="D663" s="128">
        <f t="shared" si="2"/>
        <v>44578</v>
      </c>
      <c r="E663" s="129">
        <f t="shared" si="3"/>
        <v>4</v>
      </c>
      <c r="F663" s="130" t="s">
        <v>26</v>
      </c>
      <c r="G663" s="131" t="s">
        <v>76</v>
      </c>
      <c r="H663" s="130" t="s">
        <v>124</v>
      </c>
      <c r="I663" s="132">
        <f>27120-10525</f>
        <v>16595</v>
      </c>
      <c r="J663" s="133" t="s">
        <v>125</v>
      </c>
      <c r="K663" s="134" t="s">
        <v>557</v>
      </c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0" customHeight="1">
      <c r="A664" s="25"/>
      <c r="B664" s="126">
        <v>44753.0</v>
      </c>
      <c r="C664" s="127">
        <f t="shared" si="1"/>
        <v>44743</v>
      </c>
      <c r="D664" s="128">
        <f t="shared" si="2"/>
        <v>44753</v>
      </c>
      <c r="E664" s="129">
        <f t="shared" si="3"/>
        <v>29</v>
      </c>
      <c r="F664" s="130" t="s">
        <v>26</v>
      </c>
      <c r="G664" s="131" t="s">
        <v>70</v>
      </c>
      <c r="H664" s="130" t="s">
        <v>124</v>
      </c>
      <c r="I664" s="132">
        <v>16530.0</v>
      </c>
      <c r="J664" s="133" t="s">
        <v>122</v>
      </c>
      <c r="K664" s="134" t="s">
        <v>558</v>
      </c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0" customHeight="1">
      <c r="A665" s="25"/>
      <c r="B665" s="126">
        <v>44570.0</v>
      </c>
      <c r="C665" s="127">
        <f t="shared" si="1"/>
        <v>44562</v>
      </c>
      <c r="D665" s="128">
        <f t="shared" si="2"/>
        <v>44570</v>
      </c>
      <c r="E665" s="129">
        <f t="shared" si="3"/>
        <v>3</v>
      </c>
      <c r="F665" s="130" t="s">
        <v>26</v>
      </c>
      <c r="G665" s="131" t="s">
        <v>70</v>
      </c>
      <c r="H665" s="130" t="s">
        <v>124</v>
      </c>
      <c r="I665" s="132">
        <f>13.66*1200</f>
        <v>16392</v>
      </c>
      <c r="J665" s="133" t="s">
        <v>122</v>
      </c>
      <c r="K665" s="134" t="s">
        <v>559</v>
      </c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0" customHeight="1">
      <c r="A666" s="25"/>
      <c r="B666" s="126">
        <v>44588.0</v>
      </c>
      <c r="C666" s="127">
        <f t="shared" si="1"/>
        <v>44562</v>
      </c>
      <c r="D666" s="128">
        <f t="shared" si="2"/>
        <v>44588</v>
      </c>
      <c r="E666" s="129">
        <f t="shared" si="3"/>
        <v>5</v>
      </c>
      <c r="F666" s="130" t="s">
        <v>26</v>
      </c>
      <c r="G666" s="131" t="s">
        <v>72</v>
      </c>
      <c r="H666" s="130" t="s">
        <v>121</v>
      </c>
      <c r="I666" s="132">
        <f t="shared" ref="I666:I670" si="11">18000*0.9</f>
        <v>16200</v>
      </c>
      <c r="J666" s="133" t="s">
        <v>122</v>
      </c>
      <c r="K666" s="134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0" customHeight="1">
      <c r="A667" s="25"/>
      <c r="B667" s="126">
        <v>44676.0</v>
      </c>
      <c r="C667" s="127">
        <f t="shared" si="1"/>
        <v>44652</v>
      </c>
      <c r="D667" s="128">
        <f t="shared" si="2"/>
        <v>44676</v>
      </c>
      <c r="E667" s="129">
        <f t="shared" si="3"/>
        <v>18</v>
      </c>
      <c r="F667" s="130" t="s">
        <v>26</v>
      </c>
      <c r="G667" s="131" t="s">
        <v>72</v>
      </c>
      <c r="H667" s="130" t="s">
        <v>121</v>
      </c>
      <c r="I667" s="132">
        <f t="shared" si="11"/>
        <v>16200</v>
      </c>
      <c r="J667" s="133" t="s">
        <v>122</v>
      </c>
      <c r="K667" s="134" t="s">
        <v>560</v>
      </c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0" customHeight="1">
      <c r="A668" s="25"/>
      <c r="B668" s="126">
        <v>44683.0</v>
      </c>
      <c r="C668" s="127">
        <f t="shared" si="1"/>
        <v>44682</v>
      </c>
      <c r="D668" s="128">
        <f t="shared" si="2"/>
        <v>44683</v>
      </c>
      <c r="E668" s="129">
        <f t="shared" si="3"/>
        <v>19</v>
      </c>
      <c r="F668" s="130" t="s">
        <v>26</v>
      </c>
      <c r="G668" s="131" t="s">
        <v>72</v>
      </c>
      <c r="H668" s="130" t="s">
        <v>121</v>
      </c>
      <c r="I668" s="132">
        <f t="shared" si="11"/>
        <v>16200</v>
      </c>
      <c r="J668" s="133" t="s">
        <v>122</v>
      </c>
      <c r="K668" s="134" t="s">
        <v>560</v>
      </c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0" customHeight="1">
      <c r="A669" s="25"/>
      <c r="B669" s="126">
        <v>44781.0</v>
      </c>
      <c r="C669" s="127">
        <f t="shared" si="1"/>
        <v>44774</v>
      </c>
      <c r="D669" s="128">
        <f t="shared" si="2"/>
        <v>44781</v>
      </c>
      <c r="E669" s="129">
        <f t="shared" si="3"/>
        <v>33</v>
      </c>
      <c r="F669" s="130" t="s">
        <v>26</v>
      </c>
      <c r="G669" s="131" t="s">
        <v>72</v>
      </c>
      <c r="H669" s="130" t="s">
        <v>121</v>
      </c>
      <c r="I669" s="132">
        <f t="shared" si="11"/>
        <v>16200</v>
      </c>
      <c r="J669" s="133" t="s">
        <v>122</v>
      </c>
      <c r="K669" s="134" t="s">
        <v>560</v>
      </c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0" customHeight="1">
      <c r="A670" s="25"/>
      <c r="B670" s="126">
        <v>44831.0</v>
      </c>
      <c r="C670" s="127">
        <f t="shared" si="1"/>
        <v>44805</v>
      </c>
      <c r="D670" s="128">
        <f t="shared" si="2"/>
        <v>44831</v>
      </c>
      <c r="E670" s="129">
        <f t="shared" si="3"/>
        <v>40</v>
      </c>
      <c r="F670" s="130" t="s">
        <v>26</v>
      </c>
      <c r="G670" s="131" t="s">
        <v>72</v>
      </c>
      <c r="H670" s="130" t="s">
        <v>121</v>
      </c>
      <c r="I670" s="132">
        <f t="shared" si="11"/>
        <v>16200</v>
      </c>
      <c r="J670" s="133" t="s">
        <v>122</v>
      </c>
      <c r="K670" s="134" t="s">
        <v>560</v>
      </c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0" customHeight="1">
      <c r="A671" s="25"/>
      <c r="B671" s="126">
        <v>44704.0</v>
      </c>
      <c r="C671" s="127">
        <f t="shared" si="1"/>
        <v>44682</v>
      </c>
      <c r="D671" s="128">
        <f t="shared" si="2"/>
        <v>44704</v>
      </c>
      <c r="E671" s="129">
        <f t="shared" si="3"/>
        <v>22</v>
      </c>
      <c r="F671" s="130" t="s">
        <v>24</v>
      </c>
      <c r="G671" s="131" t="s">
        <v>52</v>
      </c>
      <c r="H671" s="130" t="s">
        <v>124</v>
      </c>
      <c r="I671" s="132">
        <v>16150.0</v>
      </c>
      <c r="J671" s="133" t="s">
        <v>122</v>
      </c>
      <c r="K671" s="134" t="s">
        <v>561</v>
      </c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0" customHeight="1">
      <c r="A672" s="25"/>
      <c r="B672" s="126">
        <v>44870.0</v>
      </c>
      <c r="C672" s="127">
        <f t="shared" si="1"/>
        <v>44866</v>
      </c>
      <c r="D672" s="128">
        <f t="shared" si="2"/>
        <v>44870</v>
      </c>
      <c r="E672" s="129">
        <f t="shared" si="3"/>
        <v>45</v>
      </c>
      <c r="F672" s="130" t="s">
        <v>26</v>
      </c>
      <c r="G672" s="131" t="s">
        <v>82</v>
      </c>
      <c r="H672" s="130" t="s">
        <v>124</v>
      </c>
      <c r="I672" s="132">
        <v>16136.0</v>
      </c>
      <c r="J672" s="133" t="s">
        <v>122</v>
      </c>
      <c r="K672" s="134" t="s">
        <v>562</v>
      </c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0" customHeight="1">
      <c r="A673" s="25"/>
      <c r="B673" s="126">
        <v>44752.0</v>
      </c>
      <c r="C673" s="127">
        <f t="shared" si="1"/>
        <v>44743</v>
      </c>
      <c r="D673" s="128">
        <f t="shared" si="2"/>
        <v>44752</v>
      </c>
      <c r="E673" s="129">
        <f t="shared" si="3"/>
        <v>29</v>
      </c>
      <c r="F673" s="130" t="s">
        <v>26</v>
      </c>
      <c r="G673" s="131" t="s">
        <v>79</v>
      </c>
      <c r="H673" s="130" t="s">
        <v>124</v>
      </c>
      <c r="I673" s="132">
        <v>16000.0</v>
      </c>
      <c r="J673" s="133" t="s">
        <v>122</v>
      </c>
      <c r="K673" s="134" t="s">
        <v>563</v>
      </c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0" customHeight="1">
      <c r="A674" s="25"/>
      <c r="B674" s="126">
        <v>44773.0</v>
      </c>
      <c r="C674" s="127">
        <f t="shared" si="1"/>
        <v>44743</v>
      </c>
      <c r="D674" s="128">
        <f t="shared" si="2"/>
        <v>44773</v>
      </c>
      <c r="E674" s="129">
        <f t="shared" si="3"/>
        <v>32</v>
      </c>
      <c r="F674" s="130" t="s">
        <v>26</v>
      </c>
      <c r="G674" s="131" t="s">
        <v>79</v>
      </c>
      <c r="H674" s="130" t="s">
        <v>124</v>
      </c>
      <c r="I674" s="132">
        <v>16000.0</v>
      </c>
      <c r="J674" s="133" t="s">
        <v>125</v>
      </c>
      <c r="K674" s="134" t="s">
        <v>564</v>
      </c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0" customHeight="1">
      <c r="A675" s="25"/>
      <c r="B675" s="126">
        <v>44774.0</v>
      </c>
      <c r="C675" s="127">
        <f t="shared" si="1"/>
        <v>44774</v>
      </c>
      <c r="D675" s="128">
        <f t="shared" si="2"/>
        <v>44774</v>
      </c>
      <c r="E675" s="129">
        <f t="shared" si="3"/>
        <v>32</v>
      </c>
      <c r="F675" s="130" t="s">
        <v>24</v>
      </c>
      <c r="G675" s="131" t="s">
        <v>54</v>
      </c>
      <c r="H675" s="130" t="s">
        <v>124</v>
      </c>
      <c r="I675" s="132">
        <v>16000.0</v>
      </c>
      <c r="J675" s="133" t="s">
        <v>122</v>
      </c>
      <c r="K675" s="134" t="s">
        <v>565</v>
      </c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0" customHeight="1">
      <c r="A676" s="25"/>
      <c r="B676" s="126">
        <v>44768.0</v>
      </c>
      <c r="C676" s="127">
        <f t="shared" si="1"/>
        <v>44743</v>
      </c>
      <c r="D676" s="128">
        <f t="shared" si="2"/>
        <v>44768</v>
      </c>
      <c r="E676" s="129">
        <f t="shared" si="3"/>
        <v>31</v>
      </c>
      <c r="F676" s="130" t="s">
        <v>128</v>
      </c>
      <c r="G676" s="131" t="s">
        <v>129</v>
      </c>
      <c r="H676" s="130" t="s">
        <v>124</v>
      </c>
      <c r="I676" s="132">
        <v>15995.0</v>
      </c>
      <c r="J676" s="133" t="s">
        <v>125</v>
      </c>
      <c r="K676" s="134" t="s">
        <v>566</v>
      </c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0" customHeight="1">
      <c r="A677" s="25"/>
      <c r="B677" s="126">
        <v>44888.0</v>
      </c>
      <c r="C677" s="127">
        <f t="shared" si="1"/>
        <v>44866</v>
      </c>
      <c r="D677" s="128">
        <f t="shared" si="2"/>
        <v>44888</v>
      </c>
      <c r="E677" s="129">
        <f t="shared" si="3"/>
        <v>48</v>
      </c>
      <c r="F677" s="130" t="s">
        <v>26</v>
      </c>
      <c r="G677" s="131" t="s">
        <v>76</v>
      </c>
      <c r="H677" s="130" t="s">
        <v>124</v>
      </c>
      <c r="I677" s="132">
        <v>15940.0</v>
      </c>
      <c r="J677" s="133" t="s">
        <v>125</v>
      </c>
      <c r="K677" s="134" t="s">
        <v>167</v>
      </c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0" customHeight="1">
      <c r="A678" s="25"/>
      <c r="B678" s="126">
        <v>44587.0</v>
      </c>
      <c r="C678" s="127">
        <f t="shared" si="1"/>
        <v>44562</v>
      </c>
      <c r="D678" s="128">
        <f t="shared" si="2"/>
        <v>44587</v>
      </c>
      <c r="E678" s="129">
        <f t="shared" si="3"/>
        <v>5</v>
      </c>
      <c r="F678" s="130" t="s">
        <v>24</v>
      </c>
      <c r="G678" s="131" t="s">
        <v>44</v>
      </c>
      <c r="H678" s="130" t="s">
        <v>124</v>
      </c>
      <c r="I678" s="132">
        <f t="shared" ref="I678:I688" si="12">20840-5000</f>
        <v>15840</v>
      </c>
      <c r="J678" s="133" t="s">
        <v>125</v>
      </c>
      <c r="K678" s="134" t="s">
        <v>567</v>
      </c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0" customHeight="1">
      <c r="A679" s="25"/>
      <c r="B679" s="126">
        <v>44620.0</v>
      </c>
      <c r="C679" s="127">
        <f t="shared" si="1"/>
        <v>44593</v>
      </c>
      <c r="D679" s="128">
        <f t="shared" si="2"/>
        <v>44620</v>
      </c>
      <c r="E679" s="129">
        <f t="shared" si="3"/>
        <v>10</v>
      </c>
      <c r="F679" s="130" t="s">
        <v>24</v>
      </c>
      <c r="G679" s="131" t="s">
        <v>44</v>
      </c>
      <c r="H679" s="130" t="s">
        <v>124</v>
      </c>
      <c r="I679" s="132">
        <f t="shared" si="12"/>
        <v>15840</v>
      </c>
      <c r="J679" s="133" t="s">
        <v>125</v>
      </c>
      <c r="K679" s="134" t="s">
        <v>567</v>
      </c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0" customHeight="1">
      <c r="A680" s="25"/>
      <c r="B680" s="126">
        <v>44648.0</v>
      </c>
      <c r="C680" s="127">
        <f t="shared" si="1"/>
        <v>44621</v>
      </c>
      <c r="D680" s="128">
        <f t="shared" si="2"/>
        <v>44648</v>
      </c>
      <c r="E680" s="129">
        <f t="shared" si="3"/>
        <v>14</v>
      </c>
      <c r="F680" s="130" t="s">
        <v>24</v>
      </c>
      <c r="G680" s="131" t="s">
        <v>44</v>
      </c>
      <c r="H680" s="130" t="s">
        <v>124</v>
      </c>
      <c r="I680" s="132">
        <f t="shared" si="12"/>
        <v>15840</v>
      </c>
      <c r="J680" s="133" t="s">
        <v>125</v>
      </c>
      <c r="K680" s="134" t="s">
        <v>567</v>
      </c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0" customHeight="1">
      <c r="A681" s="25"/>
      <c r="B681" s="126">
        <v>44677.0</v>
      </c>
      <c r="C681" s="127">
        <f t="shared" si="1"/>
        <v>44652</v>
      </c>
      <c r="D681" s="128">
        <f t="shared" si="2"/>
        <v>44677</v>
      </c>
      <c r="E681" s="129">
        <f t="shared" si="3"/>
        <v>18</v>
      </c>
      <c r="F681" s="130" t="s">
        <v>24</v>
      </c>
      <c r="G681" s="131" t="s">
        <v>44</v>
      </c>
      <c r="H681" s="130" t="s">
        <v>124</v>
      </c>
      <c r="I681" s="132">
        <f t="shared" si="12"/>
        <v>15840</v>
      </c>
      <c r="J681" s="133" t="s">
        <v>125</v>
      </c>
      <c r="K681" s="134" t="s">
        <v>567</v>
      </c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0" customHeight="1">
      <c r="A682" s="25"/>
      <c r="B682" s="126">
        <v>44739.0</v>
      </c>
      <c r="C682" s="127">
        <f t="shared" si="1"/>
        <v>44713</v>
      </c>
      <c r="D682" s="128">
        <f t="shared" si="2"/>
        <v>44739</v>
      </c>
      <c r="E682" s="129">
        <f t="shared" si="3"/>
        <v>27</v>
      </c>
      <c r="F682" s="130" t="s">
        <v>24</v>
      </c>
      <c r="G682" s="131" t="s">
        <v>44</v>
      </c>
      <c r="H682" s="130" t="s">
        <v>124</v>
      </c>
      <c r="I682" s="132">
        <f t="shared" si="12"/>
        <v>15840</v>
      </c>
      <c r="J682" s="133" t="s">
        <v>125</v>
      </c>
      <c r="K682" s="134" t="s">
        <v>567</v>
      </c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0" customHeight="1">
      <c r="A683" s="25"/>
      <c r="B683" s="126">
        <v>44768.0</v>
      </c>
      <c r="C683" s="127">
        <f t="shared" si="1"/>
        <v>44743</v>
      </c>
      <c r="D683" s="128">
        <f t="shared" si="2"/>
        <v>44768</v>
      </c>
      <c r="E683" s="129">
        <f t="shared" si="3"/>
        <v>31</v>
      </c>
      <c r="F683" s="130" t="s">
        <v>24</v>
      </c>
      <c r="G683" s="131" t="s">
        <v>44</v>
      </c>
      <c r="H683" s="130" t="s">
        <v>124</v>
      </c>
      <c r="I683" s="132">
        <f t="shared" si="12"/>
        <v>15840</v>
      </c>
      <c r="J683" s="133" t="s">
        <v>125</v>
      </c>
      <c r="K683" s="134" t="s">
        <v>567</v>
      </c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0" customHeight="1">
      <c r="A684" s="25"/>
      <c r="B684" s="126">
        <v>44799.0</v>
      </c>
      <c r="C684" s="127">
        <f t="shared" si="1"/>
        <v>44774</v>
      </c>
      <c r="D684" s="128">
        <f t="shared" si="2"/>
        <v>44799</v>
      </c>
      <c r="E684" s="129">
        <f t="shared" si="3"/>
        <v>35</v>
      </c>
      <c r="F684" s="130" t="s">
        <v>24</v>
      </c>
      <c r="G684" s="131" t="s">
        <v>44</v>
      </c>
      <c r="H684" s="130" t="s">
        <v>124</v>
      </c>
      <c r="I684" s="132">
        <f t="shared" si="12"/>
        <v>15840</v>
      </c>
      <c r="J684" s="133" t="s">
        <v>125</v>
      </c>
      <c r="K684" s="134" t="s">
        <v>567</v>
      </c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0" customHeight="1">
      <c r="A685" s="25"/>
      <c r="B685" s="126">
        <v>44830.0</v>
      </c>
      <c r="C685" s="127">
        <f t="shared" si="1"/>
        <v>44805</v>
      </c>
      <c r="D685" s="128">
        <f t="shared" si="2"/>
        <v>44830</v>
      </c>
      <c r="E685" s="129">
        <f t="shared" si="3"/>
        <v>40</v>
      </c>
      <c r="F685" s="130" t="s">
        <v>24</v>
      </c>
      <c r="G685" s="131" t="s">
        <v>44</v>
      </c>
      <c r="H685" s="130" t="s">
        <v>124</v>
      </c>
      <c r="I685" s="132">
        <f t="shared" si="12"/>
        <v>15840</v>
      </c>
      <c r="J685" s="133" t="s">
        <v>125</v>
      </c>
      <c r="K685" s="134" t="s">
        <v>567</v>
      </c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0" customHeight="1">
      <c r="A686" s="25"/>
      <c r="B686" s="126">
        <v>44860.0</v>
      </c>
      <c r="C686" s="127">
        <f t="shared" si="1"/>
        <v>44835</v>
      </c>
      <c r="D686" s="128">
        <f t="shared" si="2"/>
        <v>44860</v>
      </c>
      <c r="E686" s="129">
        <f t="shared" si="3"/>
        <v>44</v>
      </c>
      <c r="F686" s="130" t="s">
        <v>24</v>
      </c>
      <c r="G686" s="131" t="s">
        <v>44</v>
      </c>
      <c r="H686" s="130" t="s">
        <v>124</v>
      </c>
      <c r="I686" s="132">
        <f t="shared" si="12"/>
        <v>15840</v>
      </c>
      <c r="J686" s="133" t="s">
        <v>125</v>
      </c>
      <c r="K686" s="134" t="s">
        <v>567</v>
      </c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0" customHeight="1">
      <c r="A687" s="25"/>
      <c r="B687" s="126">
        <v>44893.0</v>
      </c>
      <c r="C687" s="127">
        <f t="shared" si="1"/>
        <v>44866</v>
      </c>
      <c r="D687" s="128">
        <f t="shared" si="2"/>
        <v>44893</v>
      </c>
      <c r="E687" s="129">
        <f t="shared" si="3"/>
        <v>49</v>
      </c>
      <c r="F687" s="130" t="s">
        <v>24</v>
      </c>
      <c r="G687" s="131" t="s">
        <v>44</v>
      </c>
      <c r="H687" s="130" t="s">
        <v>124</v>
      </c>
      <c r="I687" s="132">
        <f t="shared" si="12"/>
        <v>15840</v>
      </c>
      <c r="J687" s="133" t="s">
        <v>125</v>
      </c>
      <c r="K687" s="134" t="s">
        <v>567</v>
      </c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0" customHeight="1">
      <c r="A688" s="25"/>
      <c r="B688" s="126">
        <v>44921.0</v>
      </c>
      <c r="C688" s="127">
        <f t="shared" si="1"/>
        <v>44896</v>
      </c>
      <c r="D688" s="128">
        <f t="shared" si="2"/>
        <v>44921</v>
      </c>
      <c r="E688" s="129">
        <f t="shared" si="3"/>
        <v>53</v>
      </c>
      <c r="F688" s="130" t="s">
        <v>24</v>
      </c>
      <c r="G688" s="131" t="s">
        <v>44</v>
      </c>
      <c r="H688" s="130" t="s">
        <v>124</v>
      </c>
      <c r="I688" s="132">
        <f t="shared" si="12"/>
        <v>15840</v>
      </c>
      <c r="J688" s="133" t="s">
        <v>125</v>
      </c>
      <c r="K688" s="134" t="s">
        <v>567</v>
      </c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0" customHeight="1">
      <c r="A689" s="25"/>
      <c r="B689" s="126">
        <v>44739.0</v>
      </c>
      <c r="C689" s="127">
        <f t="shared" si="1"/>
        <v>44713</v>
      </c>
      <c r="D689" s="128">
        <f t="shared" si="2"/>
        <v>44739</v>
      </c>
      <c r="E689" s="129">
        <f t="shared" si="3"/>
        <v>27</v>
      </c>
      <c r="F689" s="130" t="s">
        <v>26</v>
      </c>
      <c r="G689" s="131" t="s">
        <v>76</v>
      </c>
      <c r="H689" s="130" t="s">
        <v>124</v>
      </c>
      <c r="I689" s="132">
        <v>15670.0</v>
      </c>
      <c r="J689" s="133" t="s">
        <v>125</v>
      </c>
      <c r="K689" s="134" t="s">
        <v>568</v>
      </c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0" customHeight="1">
      <c r="A690" s="25"/>
      <c r="B690" s="126">
        <v>44702.0</v>
      </c>
      <c r="C690" s="127">
        <f t="shared" si="1"/>
        <v>44682</v>
      </c>
      <c r="D690" s="128">
        <f t="shared" si="2"/>
        <v>44702</v>
      </c>
      <c r="E690" s="129">
        <f t="shared" si="3"/>
        <v>21</v>
      </c>
      <c r="F690" s="130" t="s">
        <v>26</v>
      </c>
      <c r="G690" s="131" t="s">
        <v>79</v>
      </c>
      <c r="H690" s="130" t="s">
        <v>124</v>
      </c>
      <c r="I690" s="132">
        <v>15500.0</v>
      </c>
      <c r="J690" s="133" t="s">
        <v>125</v>
      </c>
      <c r="K690" s="134" t="s">
        <v>569</v>
      </c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0" customHeight="1">
      <c r="A691" s="25"/>
      <c r="B691" s="126">
        <v>44692.0</v>
      </c>
      <c r="C691" s="127">
        <f t="shared" si="1"/>
        <v>44682</v>
      </c>
      <c r="D691" s="128">
        <f t="shared" si="2"/>
        <v>44692</v>
      </c>
      <c r="E691" s="129">
        <f t="shared" si="3"/>
        <v>20</v>
      </c>
      <c r="F691" s="130" t="s">
        <v>26</v>
      </c>
      <c r="G691" s="131" t="s">
        <v>87</v>
      </c>
      <c r="H691" s="130" t="s">
        <v>124</v>
      </c>
      <c r="I691" s="132">
        <f>30000-15000+400</f>
        <v>15400</v>
      </c>
      <c r="J691" s="133" t="s">
        <v>125</v>
      </c>
      <c r="K691" s="134" t="s">
        <v>570</v>
      </c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0" customHeight="1">
      <c r="A692" s="25"/>
      <c r="B692" s="126">
        <v>44564.0</v>
      </c>
      <c r="C692" s="127">
        <f t="shared" si="1"/>
        <v>44562</v>
      </c>
      <c r="D692" s="128">
        <f t="shared" si="2"/>
        <v>44564</v>
      </c>
      <c r="E692" s="129">
        <f t="shared" si="3"/>
        <v>2</v>
      </c>
      <c r="F692" s="130" t="s">
        <v>26</v>
      </c>
      <c r="G692" s="131" t="s">
        <v>70</v>
      </c>
      <c r="H692" s="130" t="s">
        <v>124</v>
      </c>
      <c r="I692" s="132">
        <v>15379.0</v>
      </c>
      <c r="J692" s="133" t="s">
        <v>125</v>
      </c>
      <c r="K692" s="134" t="s">
        <v>571</v>
      </c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0" customHeight="1">
      <c r="A693" s="25"/>
      <c r="B693" s="126">
        <v>44842.0</v>
      </c>
      <c r="C693" s="127">
        <f t="shared" si="1"/>
        <v>44835</v>
      </c>
      <c r="D693" s="128">
        <f t="shared" si="2"/>
        <v>44842</v>
      </c>
      <c r="E693" s="129">
        <f t="shared" si="3"/>
        <v>41</v>
      </c>
      <c r="F693" s="130" t="s">
        <v>24</v>
      </c>
      <c r="G693" s="131" t="s">
        <v>54</v>
      </c>
      <c r="H693" s="130" t="s">
        <v>124</v>
      </c>
      <c r="I693" s="132">
        <v>15300.0</v>
      </c>
      <c r="J693" s="133" t="s">
        <v>122</v>
      </c>
      <c r="K693" s="134" t="s">
        <v>572</v>
      </c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0" customHeight="1">
      <c r="A694" s="25"/>
      <c r="B694" s="126">
        <v>44586.0</v>
      </c>
      <c r="C694" s="127">
        <f t="shared" si="1"/>
        <v>44562</v>
      </c>
      <c r="D694" s="128">
        <f t="shared" si="2"/>
        <v>44586</v>
      </c>
      <c r="E694" s="129">
        <f t="shared" si="3"/>
        <v>5</v>
      </c>
      <c r="F694" s="130" t="s">
        <v>26</v>
      </c>
      <c r="G694" s="131" t="s">
        <v>76</v>
      </c>
      <c r="H694" s="130" t="s">
        <v>124</v>
      </c>
      <c r="I694" s="132">
        <v>15250.0</v>
      </c>
      <c r="J694" s="133" t="s">
        <v>125</v>
      </c>
      <c r="K694" s="134" t="s">
        <v>167</v>
      </c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0" customHeight="1">
      <c r="A695" s="25"/>
      <c r="B695" s="126">
        <v>44899.0</v>
      </c>
      <c r="C695" s="127">
        <f t="shared" si="1"/>
        <v>44896</v>
      </c>
      <c r="D695" s="128">
        <f t="shared" si="2"/>
        <v>44899</v>
      </c>
      <c r="E695" s="129">
        <f t="shared" si="3"/>
        <v>50</v>
      </c>
      <c r="F695" s="130" t="s">
        <v>26</v>
      </c>
      <c r="G695" s="131" t="s">
        <v>70</v>
      </c>
      <c r="H695" s="130" t="s">
        <v>124</v>
      </c>
      <c r="I695" s="132">
        <v>15210.0</v>
      </c>
      <c r="J695" s="133" t="s">
        <v>125</v>
      </c>
      <c r="K695" s="134" t="s">
        <v>573</v>
      </c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0" customHeight="1">
      <c r="A696" s="25"/>
      <c r="B696" s="126">
        <v>44919.0</v>
      </c>
      <c r="C696" s="127">
        <f t="shared" si="1"/>
        <v>44896</v>
      </c>
      <c r="D696" s="128">
        <f t="shared" si="2"/>
        <v>44919</v>
      </c>
      <c r="E696" s="129">
        <f t="shared" si="3"/>
        <v>52</v>
      </c>
      <c r="F696" s="130" t="s">
        <v>26</v>
      </c>
      <c r="G696" s="131" t="s">
        <v>79</v>
      </c>
      <c r="H696" s="130" t="s">
        <v>124</v>
      </c>
      <c r="I696" s="132">
        <v>15200.0</v>
      </c>
      <c r="J696" s="133" t="s">
        <v>122</v>
      </c>
      <c r="K696" s="134" t="s">
        <v>574</v>
      </c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0" customHeight="1">
      <c r="A697" s="25"/>
      <c r="B697" s="126">
        <v>44777.0</v>
      </c>
      <c r="C697" s="127">
        <f t="shared" si="1"/>
        <v>44774</v>
      </c>
      <c r="D697" s="128">
        <f t="shared" si="2"/>
        <v>44777</v>
      </c>
      <c r="E697" s="129">
        <f t="shared" si="3"/>
        <v>32</v>
      </c>
      <c r="F697" s="130" t="s">
        <v>26</v>
      </c>
      <c r="G697" s="131" t="s">
        <v>76</v>
      </c>
      <c r="H697" s="130" t="s">
        <v>124</v>
      </c>
      <c r="I697" s="132">
        <f>16800-1680</f>
        <v>15120</v>
      </c>
      <c r="J697" s="133" t="s">
        <v>125</v>
      </c>
      <c r="K697" s="134" t="s">
        <v>575</v>
      </c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0" customHeight="1">
      <c r="A698" s="25"/>
      <c r="B698" s="126">
        <v>44562.0</v>
      </c>
      <c r="C698" s="127">
        <f t="shared" si="1"/>
        <v>44562</v>
      </c>
      <c r="D698" s="128">
        <f t="shared" si="2"/>
        <v>44562</v>
      </c>
      <c r="E698" s="129">
        <f t="shared" si="3"/>
        <v>1</v>
      </c>
      <c r="F698" s="130" t="s">
        <v>26</v>
      </c>
      <c r="G698" s="131" t="s">
        <v>87</v>
      </c>
      <c r="H698" s="130" t="s">
        <v>124</v>
      </c>
      <c r="I698" s="132">
        <f t="shared" ref="I698:I699" si="13">30000*0.5</f>
        <v>15000</v>
      </c>
      <c r="J698" s="133" t="s">
        <v>122</v>
      </c>
      <c r="K698" s="134" t="s">
        <v>501</v>
      </c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0" customHeight="1">
      <c r="A699" s="25"/>
      <c r="B699" s="126">
        <v>44599.0</v>
      </c>
      <c r="C699" s="127">
        <f t="shared" si="1"/>
        <v>44593</v>
      </c>
      <c r="D699" s="128">
        <f t="shared" si="2"/>
        <v>44599</v>
      </c>
      <c r="E699" s="129">
        <f t="shared" si="3"/>
        <v>7</v>
      </c>
      <c r="F699" s="130" t="s">
        <v>26</v>
      </c>
      <c r="G699" s="131" t="s">
        <v>87</v>
      </c>
      <c r="H699" s="130" t="s">
        <v>124</v>
      </c>
      <c r="I699" s="132">
        <f t="shared" si="13"/>
        <v>15000</v>
      </c>
      <c r="J699" s="133" t="s">
        <v>125</v>
      </c>
      <c r="K699" s="134" t="s">
        <v>501</v>
      </c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0" customHeight="1">
      <c r="A700" s="25"/>
      <c r="B700" s="126">
        <v>44666.0</v>
      </c>
      <c r="C700" s="127">
        <f t="shared" si="1"/>
        <v>44652</v>
      </c>
      <c r="D700" s="128">
        <f t="shared" si="2"/>
        <v>44666</v>
      </c>
      <c r="E700" s="129">
        <f t="shared" si="3"/>
        <v>16</v>
      </c>
      <c r="F700" s="130" t="s">
        <v>26</v>
      </c>
      <c r="G700" s="131" t="s">
        <v>87</v>
      </c>
      <c r="H700" s="130" t="s">
        <v>124</v>
      </c>
      <c r="I700" s="132">
        <f>30000-15000</f>
        <v>15000</v>
      </c>
      <c r="J700" s="133" t="s">
        <v>125</v>
      </c>
      <c r="K700" s="134" t="s">
        <v>501</v>
      </c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0" customHeight="1">
      <c r="A701" s="25"/>
      <c r="B701" s="126">
        <v>44687.0</v>
      </c>
      <c r="C701" s="127">
        <f t="shared" si="1"/>
        <v>44682</v>
      </c>
      <c r="D701" s="128">
        <f t="shared" si="2"/>
        <v>44687</v>
      </c>
      <c r="E701" s="129">
        <f t="shared" si="3"/>
        <v>19</v>
      </c>
      <c r="F701" s="130" t="s">
        <v>24</v>
      </c>
      <c r="G701" s="131" t="s">
        <v>34</v>
      </c>
      <c r="H701" s="130" t="s">
        <v>124</v>
      </c>
      <c r="I701" s="132">
        <v>15000.0</v>
      </c>
      <c r="J701" s="133" t="s">
        <v>122</v>
      </c>
      <c r="K701" s="134" t="s">
        <v>390</v>
      </c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0" customHeight="1">
      <c r="A702" s="25"/>
      <c r="B702" s="126">
        <v>44689.0</v>
      </c>
      <c r="C702" s="127">
        <f t="shared" si="1"/>
        <v>44682</v>
      </c>
      <c r="D702" s="128">
        <f t="shared" si="2"/>
        <v>44689</v>
      </c>
      <c r="E702" s="129">
        <f t="shared" si="3"/>
        <v>20</v>
      </c>
      <c r="F702" s="130" t="s">
        <v>26</v>
      </c>
      <c r="G702" s="131" t="s">
        <v>87</v>
      </c>
      <c r="H702" s="130" t="s">
        <v>124</v>
      </c>
      <c r="I702" s="132">
        <f>30000*0.5</f>
        <v>15000</v>
      </c>
      <c r="J702" s="133" t="s">
        <v>122</v>
      </c>
      <c r="K702" s="134" t="s">
        <v>501</v>
      </c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0" customHeight="1">
      <c r="A703" s="25"/>
      <c r="B703" s="126">
        <v>44722.0</v>
      </c>
      <c r="C703" s="127">
        <f t="shared" si="1"/>
        <v>44713</v>
      </c>
      <c r="D703" s="128">
        <f t="shared" si="2"/>
        <v>44722</v>
      </c>
      <c r="E703" s="129">
        <f t="shared" si="3"/>
        <v>24</v>
      </c>
      <c r="F703" s="130" t="s">
        <v>26</v>
      </c>
      <c r="G703" s="131" t="s">
        <v>87</v>
      </c>
      <c r="H703" s="130" t="s">
        <v>124</v>
      </c>
      <c r="I703" s="132">
        <f>30000-15000</f>
        <v>15000</v>
      </c>
      <c r="J703" s="133" t="s">
        <v>125</v>
      </c>
      <c r="K703" s="134" t="s">
        <v>501</v>
      </c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0" customHeight="1">
      <c r="A704" s="25"/>
      <c r="B704" s="126">
        <v>44724.0</v>
      </c>
      <c r="C704" s="127">
        <f t="shared" si="1"/>
        <v>44713</v>
      </c>
      <c r="D704" s="128">
        <f t="shared" si="2"/>
        <v>44724</v>
      </c>
      <c r="E704" s="129">
        <f t="shared" si="3"/>
        <v>25</v>
      </c>
      <c r="F704" s="130" t="s">
        <v>26</v>
      </c>
      <c r="G704" s="131" t="s">
        <v>87</v>
      </c>
      <c r="H704" s="130" t="s">
        <v>124</v>
      </c>
      <c r="I704" s="132">
        <f>30000*0.5</f>
        <v>15000</v>
      </c>
      <c r="J704" s="133" t="s">
        <v>122</v>
      </c>
      <c r="K704" s="134" t="s">
        <v>501</v>
      </c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0" customHeight="1">
      <c r="A705" s="25"/>
      <c r="B705" s="126">
        <v>44751.0</v>
      </c>
      <c r="C705" s="127">
        <f t="shared" si="1"/>
        <v>44743</v>
      </c>
      <c r="D705" s="128">
        <f t="shared" si="2"/>
        <v>44751</v>
      </c>
      <c r="E705" s="129">
        <f t="shared" si="3"/>
        <v>28</v>
      </c>
      <c r="F705" s="130" t="s">
        <v>24</v>
      </c>
      <c r="G705" s="131" t="s">
        <v>34</v>
      </c>
      <c r="H705" s="130" t="s">
        <v>124</v>
      </c>
      <c r="I705" s="132">
        <v>15000.0</v>
      </c>
      <c r="J705" s="133" t="s">
        <v>122</v>
      </c>
      <c r="K705" s="134" t="s">
        <v>576</v>
      </c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0" customHeight="1">
      <c r="A706" s="25"/>
      <c r="B706" s="126">
        <v>44759.0</v>
      </c>
      <c r="C706" s="127">
        <f t="shared" si="1"/>
        <v>44743</v>
      </c>
      <c r="D706" s="128">
        <f t="shared" si="2"/>
        <v>44759</v>
      </c>
      <c r="E706" s="129">
        <f t="shared" si="3"/>
        <v>30</v>
      </c>
      <c r="F706" s="130" t="s">
        <v>26</v>
      </c>
      <c r="G706" s="131" t="s">
        <v>87</v>
      </c>
      <c r="H706" s="130" t="s">
        <v>124</v>
      </c>
      <c r="I706" s="132">
        <f>30000*0.5</f>
        <v>15000</v>
      </c>
      <c r="J706" s="133" t="s">
        <v>122</v>
      </c>
      <c r="K706" s="134" t="s">
        <v>501</v>
      </c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0" customHeight="1">
      <c r="A707" s="25"/>
      <c r="B707" s="126">
        <v>44822.0</v>
      </c>
      <c r="C707" s="127">
        <f t="shared" si="1"/>
        <v>44805</v>
      </c>
      <c r="D707" s="128">
        <f t="shared" si="2"/>
        <v>44822</v>
      </c>
      <c r="E707" s="129">
        <f t="shared" si="3"/>
        <v>39</v>
      </c>
      <c r="F707" s="130" t="s">
        <v>26</v>
      </c>
      <c r="G707" s="131" t="s">
        <v>87</v>
      </c>
      <c r="H707" s="130" t="s">
        <v>124</v>
      </c>
      <c r="I707" s="132">
        <f>30000-15000</f>
        <v>15000</v>
      </c>
      <c r="J707" s="133" t="s">
        <v>125</v>
      </c>
      <c r="K707" s="134" t="s">
        <v>501</v>
      </c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0" customHeight="1">
      <c r="A708" s="25"/>
      <c r="B708" s="126">
        <v>44836.0</v>
      </c>
      <c r="C708" s="127">
        <f t="shared" si="1"/>
        <v>44835</v>
      </c>
      <c r="D708" s="128">
        <f t="shared" si="2"/>
        <v>44836</v>
      </c>
      <c r="E708" s="129">
        <f t="shared" si="3"/>
        <v>41</v>
      </c>
      <c r="F708" s="130" t="s">
        <v>26</v>
      </c>
      <c r="G708" s="131" t="s">
        <v>87</v>
      </c>
      <c r="H708" s="130" t="s">
        <v>124</v>
      </c>
      <c r="I708" s="132">
        <f>30000*0.5</f>
        <v>15000</v>
      </c>
      <c r="J708" s="133" t="s">
        <v>122</v>
      </c>
      <c r="K708" s="134" t="s">
        <v>501</v>
      </c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0" customHeight="1">
      <c r="A709" s="25"/>
      <c r="B709" s="126">
        <v>44845.0</v>
      </c>
      <c r="C709" s="127">
        <f t="shared" si="1"/>
        <v>44835</v>
      </c>
      <c r="D709" s="128">
        <f t="shared" si="2"/>
        <v>44845</v>
      </c>
      <c r="E709" s="129">
        <f t="shared" si="3"/>
        <v>42</v>
      </c>
      <c r="F709" s="130" t="s">
        <v>26</v>
      </c>
      <c r="G709" s="131" t="s">
        <v>79</v>
      </c>
      <c r="H709" s="130" t="s">
        <v>124</v>
      </c>
      <c r="I709" s="132">
        <v>15000.0</v>
      </c>
      <c r="J709" s="133" t="s">
        <v>122</v>
      </c>
      <c r="K709" s="134" t="s">
        <v>577</v>
      </c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0" customHeight="1">
      <c r="A710" s="25"/>
      <c r="B710" s="126">
        <v>44847.0</v>
      </c>
      <c r="C710" s="127">
        <f t="shared" si="1"/>
        <v>44835</v>
      </c>
      <c r="D710" s="128">
        <f t="shared" si="2"/>
        <v>44847</v>
      </c>
      <c r="E710" s="129">
        <f t="shared" si="3"/>
        <v>42</v>
      </c>
      <c r="F710" s="130" t="s">
        <v>26</v>
      </c>
      <c r="G710" s="131" t="s">
        <v>79</v>
      </c>
      <c r="H710" s="130" t="s">
        <v>124</v>
      </c>
      <c r="I710" s="132">
        <v>15000.0</v>
      </c>
      <c r="J710" s="133" t="s">
        <v>125</v>
      </c>
      <c r="K710" s="134" t="s">
        <v>578</v>
      </c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0" customHeight="1">
      <c r="A711" s="25"/>
      <c r="B711" s="126">
        <v>44856.0</v>
      </c>
      <c r="C711" s="127">
        <f t="shared" si="1"/>
        <v>44835</v>
      </c>
      <c r="D711" s="128">
        <f t="shared" si="2"/>
        <v>44856</v>
      </c>
      <c r="E711" s="129">
        <f t="shared" si="3"/>
        <v>43</v>
      </c>
      <c r="F711" s="130" t="s">
        <v>26</v>
      </c>
      <c r="G711" s="131" t="s">
        <v>87</v>
      </c>
      <c r="H711" s="130" t="s">
        <v>124</v>
      </c>
      <c r="I711" s="132">
        <f>30000-15000</f>
        <v>15000</v>
      </c>
      <c r="J711" s="133" t="s">
        <v>125</v>
      </c>
      <c r="K711" s="134" t="s">
        <v>501</v>
      </c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0" customHeight="1">
      <c r="A712" s="25"/>
      <c r="B712" s="126">
        <v>44688.0</v>
      </c>
      <c r="C712" s="127">
        <f t="shared" si="1"/>
        <v>44682</v>
      </c>
      <c r="D712" s="128">
        <f t="shared" si="2"/>
        <v>44688</v>
      </c>
      <c r="E712" s="129">
        <f t="shared" si="3"/>
        <v>19</v>
      </c>
      <c r="F712" s="130" t="s">
        <v>26</v>
      </c>
      <c r="G712" s="131" t="s">
        <v>76</v>
      </c>
      <c r="H712" s="130" t="s">
        <v>124</v>
      </c>
      <c r="I712" s="132">
        <v>14820.0</v>
      </c>
      <c r="J712" s="133" t="s">
        <v>122</v>
      </c>
      <c r="K712" s="134" t="s">
        <v>579</v>
      </c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0" customHeight="1">
      <c r="A713" s="25"/>
      <c r="B713" s="126">
        <v>44692.0</v>
      </c>
      <c r="C713" s="127">
        <f t="shared" si="1"/>
        <v>44682</v>
      </c>
      <c r="D713" s="128">
        <f t="shared" si="2"/>
        <v>44692</v>
      </c>
      <c r="E713" s="129">
        <f t="shared" si="3"/>
        <v>20</v>
      </c>
      <c r="F713" s="130" t="s">
        <v>26</v>
      </c>
      <c r="G713" s="131" t="s">
        <v>70</v>
      </c>
      <c r="H713" s="130" t="s">
        <v>124</v>
      </c>
      <c r="I713" s="132">
        <v>14800.0</v>
      </c>
      <c r="J713" s="133" t="s">
        <v>125</v>
      </c>
      <c r="K713" s="134" t="s">
        <v>580</v>
      </c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0" customHeight="1">
      <c r="A714" s="25"/>
      <c r="B714" s="126">
        <v>44776.0</v>
      </c>
      <c r="C714" s="127">
        <f t="shared" si="1"/>
        <v>44774</v>
      </c>
      <c r="D714" s="128">
        <f t="shared" si="2"/>
        <v>44776</v>
      </c>
      <c r="E714" s="129">
        <f t="shared" si="3"/>
        <v>32</v>
      </c>
      <c r="F714" s="130" t="s">
        <v>26</v>
      </c>
      <c r="G714" s="131" t="s">
        <v>82</v>
      </c>
      <c r="H714" s="130" t="s">
        <v>124</v>
      </c>
      <c r="I714" s="132">
        <v>14693.0</v>
      </c>
      <c r="J714" s="133" t="s">
        <v>125</v>
      </c>
      <c r="K714" s="134" t="s">
        <v>581</v>
      </c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0" customHeight="1">
      <c r="A715" s="25"/>
      <c r="B715" s="126">
        <v>44686.0</v>
      </c>
      <c r="C715" s="127">
        <f t="shared" si="1"/>
        <v>44682</v>
      </c>
      <c r="D715" s="128">
        <f t="shared" si="2"/>
        <v>44686</v>
      </c>
      <c r="E715" s="129">
        <f t="shared" si="3"/>
        <v>19</v>
      </c>
      <c r="F715" s="130" t="s">
        <v>24</v>
      </c>
      <c r="G715" s="131" t="s">
        <v>34</v>
      </c>
      <c r="H715" s="130" t="s">
        <v>124</v>
      </c>
      <c r="I715" s="132">
        <v>14500.0</v>
      </c>
      <c r="J715" s="133" t="s">
        <v>122</v>
      </c>
      <c r="K715" s="134" t="s">
        <v>582</v>
      </c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0" customHeight="1">
      <c r="A716" s="25"/>
      <c r="B716" s="126">
        <v>44783.0</v>
      </c>
      <c r="C716" s="127">
        <f t="shared" si="1"/>
        <v>44774</v>
      </c>
      <c r="D716" s="128">
        <f t="shared" si="2"/>
        <v>44783</v>
      </c>
      <c r="E716" s="129">
        <f t="shared" si="3"/>
        <v>33</v>
      </c>
      <c r="F716" s="130" t="s">
        <v>26</v>
      </c>
      <c r="G716" s="131" t="s">
        <v>87</v>
      </c>
      <c r="H716" s="130" t="s">
        <v>124</v>
      </c>
      <c r="I716" s="132">
        <f>29000-14500</f>
        <v>14500</v>
      </c>
      <c r="J716" s="133" t="s">
        <v>125</v>
      </c>
      <c r="K716" s="134" t="s">
        <v>501</v>
      </c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0" customHeight="1">
      <c r="A717" s="25"/>
      <c r="B717" s="126">
        <v>44786.0</v>
      </c>
      <c r="C717" s="127">
        <f t="shared" si="1"/>
        <v>44774</v>
      </c>
      <c r="D717" s="128">
        <f t="shared" si="2"/>
        <v>44786</v>
      </c>
      <c r="E717" s="129">
        <f t="shared" si="3"/>
        <v>33</v>
      </c>
      <c r="F717" s="130" t="s">
        <v>26</v>
      </c>
      <c r="G717" s="131" t="s">
        <v>87</v>
      </c>
      <c r="H717" s="130" t="s">
        <v>124</v>
      </c>
      <c r="I717" s="132">
        <f t="shared" ref="I717:I718" si="14">29000*0.5</f>
        <v>14500</v>
      </c>
      <c r="J717" s="133" t="s">
        <v>122</v>
      </c>
      <c r="K717" s="134" t="s">
        <v>501</v>
      </c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0" customHeight="1">
      <c r="A718" s="25"/>
      <c r="B718" s="126">
        <v>44806.0</v>
      </c>
      <c r="C718" s="127">
        <f t="shared" si="1"/>
        <v>44805</v>
      </c>
      <c r="D718" s="128">
        <f t="shared" si="2"/>
        <v>44806</v>
      </c>
      <c r="E718" s="129">
        <f t="shared" si="3"/>
        <v>36</v>
      </c>
      <c r="F718" s="130" t="s">
        <v>26</v>
      </c>
      <c r="G718" s="131" t="s">
        <v>87</v>
      </c>
      <c r="H718" s="130" t="s">
        <v>124</v>
      </c>
      <c r="I718" s="132">
        <f t="shared" si="14"/>
        <v>14500</v>
      </c>
      <c r="J718" s="133" t="s">
        <v>122</v>
      </c>
      <c r="K718" s="134" t="s">
        <v>501</v>
      </c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0" customHeight="1">
      <c r="A719" s="25"/>
      <c r="B719" s="126">
        <v>44919.0</v>
      </c>
      <c r="C719" s="127">
        <f t="shared" si="1"/>
        <v>44896</v>
      </c>
      <c r="D719" s="128">
        <f t="shared" si="2"/>
        <v>44919</v>
      </c>
      <c r="E719" s="129">
        <f t="shared" si="3"/>
        <v>52</v>
      </c>
      <c r="F719" s="130" t="s">
        <v>26</v>
      </c>
      <c r="G719" s="131" t="s">
        <v>87</v>
      </c>
      <c r="H719" s="130" t="s">
        <v>124</v>
      </c>
      <c r="I719" s="132">
        <f>16100-1610</f>
        <v>14490</v>
      </c>
      <c r="J719" s="133" t="s">
        <v>125</v>
      </c>
      <c r="K719" s="134" t="s">
        <v>583</v>
      </c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0" customHeight="1">
      <c r="A720" s="25"/>
      <c r="B720" s="126">
        <v>44839.0</v>
      </c>
      <c r="C720" s="127">
        <f t="shared" si="1"/>
        <v>44835</v>
      </c>
      <c r="D720" s="128">
        <f t="shared" si="2"/>
        <v>44839</v>
      </c>
      <c r="E720" s="129">
        <f t="shared" si="3"/>
        <v>41</v>
      </c>
      <c r="F720" s="130" t="s">
        <v>24</v>
      </c>
      <c r="G720" s="131" t="s">
        <v>52</v>
      </c>
      <c r="H720" s="130" t="s">
        <v>124</v>
      </c>
      <c r="I720" s="132">
        <v>14482.0</v>
      </c>
      <c r="J720" s="133" t="s">
        <v>122</v>
      </c>
      <c r="K720" s="134" t="s">
        <v>584</v>
      </c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0" customHeight="1">
      <c r="A721" s="25"/>
      <c r="B721" s="126">
        <v>44759.0</v>
      </c>
      <c r="C721" s="127">
        <f t="shared" si="1"/>
        <v>44743</v>
      </c>
      <c r="D721" s="128">
        <f t="shared" si="2"/>
        <v>44759</v>
      </c>
      <c r="E721" s="129">
        <f t="shared" si="3"/>
        <v>30</v>
      </c>
      <c r="F721" s="130" t="s">
        <v>26</v>
      </c>
      <c r="G721" s="131" t="s">
        <v>82</v>
      </c>
      <c r="H721" s="130" t="s">
        <v>124</v>
      </c>
      <c r="I721" s="132">
        <f>23957-9509</f>
        <v>14448</v>
      </c>
      <c r="J721" s="133" t="s">
        <v>125</v>
      </c>
      <c r="K721" s="134" t="s">
        <v>585</v>
      </c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0" customHeight="1">
      <c r="A722" s="25"/>
      <c r="B722" s="126">
        <v>44619.0</v>
      </c>
      <c r="C722" s="127">
        <f t="shared" si="1"/>
        <v>44593</v>
      </c>
      <c r="D722" s="128">
        <f t="shared" si="2"/>
        <v>44619</v>
      </c>
      <c r="E722" s="129">
        <f t="shared" si="3"/>
        <v>10</v>
      </c>
      <c r="F722" s="130" t="s">
        <v>26</v>
      </c>
      <c r="G722" s="131" t="s">
        <v>70</v>
      </c>
      <c r="H722" s="130" t="s">
        <v>124</v>
      </c>
      <c r="I722" s="132">
        <v>14380.0</v>
      </c>
      <c r="J722" s="133" t="s">
        <v>122</v>
      </c>
      <c r="K722" s="134" t="s">
        <v>586</v>
      </c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0" customHeight="1">
      <c r="A723" s="25"/>
      <c r="B723" s="126">
        <v>44879.0</v>
      </c>
      <c r="C723" s="127">
        <f t="shared" si="1"/>
        <v>44866</v>
      </c>
      <c r="D723" s="128">
        <f t="shared" si="2"/>
        <v>44879</v>
      </c>
      <c r="E723" s="129">
        <f t="shared" si="3"/>
        <v>47</v>
      </c>
      <c r="F723" s="130" t="s">
        <v>26</v>
      </c>
      <c r="G723" s="131" t="s">
        <v>70</v>
      </c>
      <c r="H723" s="130" t="s">
        <v>124</v>
      </c>
      <c r="I723" s="132">
        <v>14380.0</v>
      </c>
      <c r="J723" s="133" t="s">
        <v>122</v>
      </c>
      <c r="K723" s="134" t="s">
        <v>587</v>
      </c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0" customHeight="1">
      <c r="A724" s="25"/>
      <c r="B724" s="126">
        <v>44903.0</v>
      </c>
      <c r="C724" s="127">
        <f t="shared" si="1"/>
        <v>44896</v>
      </c>
      <c r="D724" s="128">
        <f t="shared" si="2"/>
        <v>44903</v>
      </c>
      <c r="E724" s="129">
        <f t="shared" si="3"/>
        <v>50</v>
      </c>
      <c r="F724" s="130" t="s">
        <v>26</v>
      </c>
      <c r="G724" s="131" t="s">
        <v>76</v>
      </c>
      <c r="H724" s="130" t="s">
        <v>124</v>
      </c>
      <c r="I724" s="132">
        <f>31065-16701</f>
        <v>14364</v>
      </c>
      <c r="J724" s="133" t="s">
        <v>125</v>
      </c>
      <c r="K724" s="134" t="s">
        <v>326</v>
      </c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0" customHeight="1">
      <c r="A725" s="25"/>
      <c r="B725" s="126">
        <v>44610.0</v>
      </c>
      <c r="C725" s="127">
        <f t="shared" si="1"/>
        <v>44593</v>
      </c>
      <c r="D725" s="128">
        <f t="shared" si="2"/>
        <v>44610</v>
      </c>
      <c r="E725" s="129">
        <f t="shared" si="3"/>
        <v>8</v>
      </c>
      <c r="F725" s="130" t="s">
        <v>26</v>
      </c>
      <c r="G725" s="131" t="s">
        <v>76</v>
      </c>
      <c r="H725" s="130" t="s">
        <v>124</v>
      </c>
      <c r="I725" s="132">
        <f>15910-1591</f>
        <v>14319</v>
      </c>
      <c r="J725" s="133" t="s">
        <v>125</v>
      </c>
      <c r="K725" s="134" t="s">
        <v>588</v>
      </c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0" customHeight="1">
      <c r="A726" s="25"/>
      <c r="B726" s="126">
        <v>44635.0</v>
      </c>
      <c r="C726" s="127">
        <f t="shared" si="1"/>
        <v>44621</v>
      </c>
      <c r="D726" s="128">
        <f t="shared" si="2"/>
        <v>44635</v>
      </c>
      <c r="E726" s="129">
        <f t="shared" si="3"/>
        <v>12</v>
      </c>
      <c r="F726" s="130" t="s">
        <v>24</v>
      </c>
      <c r="G726" s="131" t="s">
        <v>59</v>
      </c>
      <c r="H726" s="130" t="s">
        <v>124</v>
      </c>
      <c r="I726" s="132">
        <v>14260.0</v>
      </c>
      <c r="J726" s="133" t="s">
        <v>122</v>
      </c>
      <c r="K726" s="134" t="s">
        <v>589</v>
      </c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0" customHeight="1">
      <c r="A727" s="25"/>
      <c r="B727" s="126">
        <v>44581.0</v>
      </c>
      <c r="C727" s="127">
        <f t="shared" si="1"/>
        <v>44562</v>
      </c>
      <c r="D727" s="128">
        <f t="shared" si="2"/>
        <v>44581</v>
      </c>
      <c r="E727" s="129">
        <f t="shared" si="3"/>
        <v>4</v>
      </c>
      <c r="F727" s="130" t="s">
        <v>26</v>
      </c>
      <c r="G727" s="131" t="s">
        <v>82</v>
      </c>
      <c r="H727" s="130" t="s">
        <v>124</v>
      </c>
      <c r="I727" s="132">
        <v>14238.0</v>
      </c>
      <c r="J727" s="133" t="s">
        <v>125</v>
      </c>
      <c r="K727" s="134" t="s">
        <v>590</v>
      </c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0" customHeight="1">
      <c r="A728" s="25"/>
      <c r="B728" s="126">
        <v>44897.0</v>
      </c>
      <c r="C728" s="127">
        <f t="shared" si="1"/>
        <v>44896</v>
      </c>
      <c r="D728" s="128">
        <f t="shared" si="2"/>
        <v>44897</v>
      </c>
      <c r="E728" s="129">
        <f t="shared" si="3"/>
        <v>49</v>
      </c>
      <c r="F728" s="130" t="s">
        <v>26</v>
      </c>
      <c r="G728" s="131" t="s">
        <v>76</v>
      </c>
      <c r="H728" s="130" t="s">
        <v>124</v>
      </c>
      <c r="I728" s="132">
        <v>14170.0</v>
      </c>
      <c r="J728" s="133" t="s">
        <v>125</v>
      </c>
      <c r="K728" s="134" t="s">
        <v>167</v>
      </c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0" customHeight="1">
      <c r="A729" s="25"/>
      <c r="B729" s="126">
        <v>44646.0</v>
      </c>
      <c r="C729" s="127">
        <f t="shared" si="1"/>
        <v>44621</v>
      </c>
      <c r="D729" s="128">
        <f t="shared" si="2"/>
        <v>44646</v>
      </c>
      <c r="E729" s="129">
        <f t="shared" si="3"/>
        <v>13</v>
      </c>
      <c r="F729" s="130" t="s">
        <v>26</v>
      </c>
      <c r="G729" s="131" t="s">
        <v>79</v>
      </c>
      <c r="H729" s="130" t="s">
        <v>124</v>
      </c>
      <c r="I729" s="132">
        <v>14100.0</v>
      </c>
      <c r="J729" s="133" t="s">
        <v>125</v>
      </c>
      <c r="K729" s="134" t="s">
        <v>591</v>
      </c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0" customHeight="1">
      <c r="A730" s="25"/>
      <c r="B730" s="126">
        <v>44751.0</v>
      </c>
      <c r="C730" s="127">
        <f t="shared" si="1"/>
        <v>44743</v>
      </c>
      <c r="D730" s="128">
        <f t="shared" si="2"/>
        <v>44751</v>
      </c>
      <c r="E730" s="129">
        <f t="shared" si="3"/>
        <v>28</v>
      </c>
      <c r="F730" s="130" t="s">
        <v>24</v>
      </c>
      <c r="G730" s="131" t="s">
        <v>29</v>
      </c>
      <c r="H730" s="130" t="s">
        <v>124</v>
      </c>
      <c r="I730" s="132">
        <f>8300+9300-1660-1860</f>
        <v>14080</v>
      </c>
      <c r="J730" s="133" t="s">
        <v>125</v>
      </c>
      <c r="K730" s="134" t="s">
        <v>592</v>
      </c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0" customHeight="1">
      <c r="A731" s="25"/>
      <c r="B731" s="126">
        <v>44820.0</v>
      </c>
      <c r="C731" s="127">
        <f t="shared" si="1"/>
        <v>44805</v>
      </c>
      <c r="D731" s="128">
        <f t="shared" si="2"/>
        <v>44820</v>
      </c>
      <c r="E731" s="129">
        <f t="shared" si="3"/>
        <v>38</v>
      </c>
      <c r="F731" s="130" t="s">
        <v>26</v>
      </c>
      <c r="G731" s="131" t="s">
        <v>82</v>
      </c>
      <c r="H731" s="130" t="s">
        <v>124</v>
      </c>
      <c r="I731" s="132">
        <v>14048.0</v>
      </c>
      <c r="J731" s="133" t="s">
        <v>125</v>
      </c>
      <c r="K731" s="134" t="s">
        <v>593</v>
      </c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0" customHeight="1">
      <c r="A732" s="25"/>
      <c r="B732" s="126">
        <v>44588.0</v>
      </c>
      <c r="C732" s="127">
        <f t="shared" si="1"/>
        <v>44562</v>
      </c>
      <c r="D732" s="128">
        <f t="shared" si="2"/>
        <v>44588</v>
      </c>
      <c r="E732" s="129">
        <f t="shared" si="3"/>
        <v>5</v>
      </c>
      <c r="F732" s="130" t="s">
        <v>24</v>
      </c>
      <c r="G732" s="131" t="s">
        <v>61</v>
      </c>
      <c r="H732" s="130" t="s">
        <v>124</v>
      </c>
      <c r="I732" s="132">
        <v>14000.0</v>
      </c>
      <c r="J732" s="133" t="s">
        <v>122</v>
      </c>
      <c r="K732" s="134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0" customHeight="1">
      <c r="A733" s="25"/>
      <c r="B733" s="126">
        <v>44674.0</v>
      </c>
      <c r="C733" s="127">
        <f t="shared" si="1"/>
        <v>44652</v>
      </c>
      <c r="D733" s="128">
        <f t="shared" si="2"/>
        <v>44674</v>
      </c>
      <c r="E733" s="129">
        <f t="shared" si="3"/>
        <v>17</v>
      </c>
      <c r="F733" s="130" t="s">
        <v>128</v>
      </c>
      <c r="G733" s="131" t="s">
        <v>172</v>
      </c>
      <c r="H733" s="130" t="s">
        <v>124</v>
      </c>
      <c r="I733" s="132">
        <v>14000.0</v>
      </c>
      <c r="J733" s="133" t="s">
        <v>125</v>
      </c>
      <c r="K733" s="134" t="s">
        <v>594</v>
      </c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0" customHeight="1">
      <c r="A734" s="25"/>
      <c r="B734" s="126">
        <v>44914.0</v>
      </c>
      <c r="C734" s="127">
        <f t="shared" si="1"/>
        <v>44896</v>
      </c>
      <c r="D734" s="128">
        <f t="shared" si="2"/>
        <v>44914</v>
      </c>
      <c r="E734" s="129">
        <f t="shared" si="3"/>
        <v>52</v>
      </c>
      <c r="F734" s="130" t="s">
        <v>128</v>
      </c>
      <c r="G734" s="131" t="s">
        <v>129</v>
      </c>
      <c r="H734" s="130" t="s">
        <v>124</v>
      </c>
      <c r="I734" s="132">
        <v>14000.0</v>
      </c>
      <c r="J734" s="133" t="s">
        <v>125</v>
      </c>
      <c r="K734" s="134" t="s">
        <v>595</v>
      </c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0" customHeight="1">
      <c r="A735" s="25"/>
      <c r="B735" s="126">
        <v>44876.0</v>
      </c>
      <c r="C735" s="127">
        <f t="shared" si="1"/>
        <v>44866</v>
      </c>
      <c r="D735" s="128">
        <f t="shared" si="2"/>
        <v>44876</v>
      </c>
      <c r="E735" s="129">
        <f t="shared" si="3"/>
        <v>46</v>
      </c>
      <c r="F735" s="130" t="s">
        <v>24</v>
      </c>
      <c r="G735" s="131" t="s">
        <v>44</v>
      </c>
      <c r="H735" s="130" t="s">
        <v>124</v>
      </c>
      <c r="I735" s="132">
        <v>13970.0</v>
      </c>
      <c r="J735" s="133" t="s">
        <v>122</v>
      </c>
      <c r="K735" s="134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0" customHeight="1">
      <c r="A736" s="25"/>
      <c r="B736" s="126">
        <v>44616.0</v>
      </c>
      <c r="C736" s="127">
        <f t="shared" si="1"/>
        <v>44593</v>
      </c>
      <c r="D736" s="128">
        <f t="shared" si="2"/>
        <v>44616</v>
      </c>
      <c r="E736" s="129">
        <f t="shared" si="3"/>
        <v>9</v>
      </c>
      <c r="F736" s="130" t="s">
        <v>26</v>
      </c>
      <c r="G736" s="131" t="s">
        <v>76</v>
      </c>
      <c r="H736" s="130" t="s">
        <v>124</v>
      </c>
      <c r="I736" s="132">
        <v>13880.0</v>
      </c>
      <c r="J736" s="133" t="s">
        <v>125</v>
      </c>
      <c r="K736" s="134" t="s">
        <v>596</v>
      </c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0" customHeight="1">
      <c r="A737" s="25"/>
      <c r="B737" s="126">
        <v>44870.0</v>
      </c>
      <c r="C737" s="127">
        <f t="shared" si="1"/>
        <v>44866</v>
      </c>
      <c r="D737" s="128">
        <f t="shared" si="2"/>
        <v>44870</v>
      </c>
      <c r="E737" s="129">
        <f t="shared" si="3"/>
        <v>45</v>
      </c>
      <c r="F737" s="130" t="s">
        <v>26</v>
      </c>
      <c r="G737" s="131" t="s">
        <v>76</v>
      </c>
      <c r="H737" s="130" t="s">
        <v>124</v>
      </c>
      <c r="I737" s="132">
        <v>13840.0</v>
      </c>
      <c r="J737" s="133" t="s">
        <v>122</v>
      </c>
      <c r="K737" s="134" t="s">
        <v>597</v>
      </c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0" customHeight="1">
      <c r="A738" s="25"/>
      <c r="B738" s="126">
        <v>44685.0</v>
      </c>
      <c r="C738" s="127">
        <f t="shared" si="1"/>
        <v>44682</v>
      </c>
      <c r="D738" s="128">
        <f t="shared" si="2"/>
        <v>44685</v>
      </c>
      <c r="E738" s="129">
        <f t="shared" si="3"/>
        <v>19</v>
      </c>
      <c r="F738" s="130" t="s">
        <v>26</v>
      </c>
      <c r="G738" s="131" t="s">
        <v>70</v>
      </c>
      <c r="H738" s="130" t="s">
        <v>124</v>
      </c>
      <c r="I738" s="132">
        <v>13760.0</v>
      </c>
      <c r="J738" s="133" t="s">
        <v>125</v>
      </c>
      <c r="K738" s="134" t="s">
        <v>426</v>
      </c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0" customHeight="1">
      <c r="A739" s="25"/>
      <c r="B739" s="126">
        <v>44754.0</v>
      </c>
      <c r="C739" s="127">
        <f t="shared" si="1"/>
        <v>44743</v>
      </c>
      <c r="D739" s="128">
        <f t="shared" si="2"/>
        <v>44754</v>
      </c>
      <c r="E739" s="129">
        <f t="shared" si="3"/>
        <v>29</v>
      </c>
      <c r="F739" s="130" t="s">
        <v>26</v>
      </c>
      <c r="G739" s="131" t="s">
        <v>72</v>
      </c>
      <c r="H739" s="130" t="s">
        <v>121</v>
      </c>
      <c r="I739" s="132">
        <v>13500.0</v>
      </c>
      <c r="J739" s="133" t="s">
        <v>122</v>
      </c>
      <c r="K739" s="134" t="s">
        <v>560</v>
      </c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0" customHeight="1">
      <c r="A740" s="25"/>
      <c r="B740" s="126">
        <v>44869.0</v>
      </c>
      <c r="C740" s="127">
        <f t="shared" si="1"/>
        <v>44866</v>
      </c>
      <c r="D740" s="128">
        <f t="shared" si="2"/>
        <v>44869</v>
      </c>
      <c r="E740" s="129">
        <f t="shared" si="3"/>
        <v>45</v>
      </c>
      <c r="F740" s="130" t="s">
        <v>26</v>
      </c>
      <c r="G740" s="131" t="s">
        <v>87</v>
      </c>
      <c r="H740" s="130" t="s">
        <v>124</v>
      </c>
      <c r="I740" s="132">
        <f>27000-13500</f>
        <v>13500</v>
      </c>
      <c r="J740" s="133" t="s">
        <v>125</v>
      </c>
      <c r="K740" s="134" t="s">
        <v>501</v>
      </c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0" customHeight="1">
      <c r="A741" s="25"/>
      <c r="B741" s="126">
        <v>44887.0</v>
      </c>
      <c r="C741" s="127">
        <f t="shared" si="1"/>
        <v>44866</v>
      </c>
      <c r="D741" s="128">
        <f t="shared" si="2"/>
        <v>44887</v>
      </c>
      <c r="E741" s="129">
        <f t="shared" si="3"/>
        <v>48</v>
      </c>
      <c r="F741" s="130" t="s">
        <v>24</v>
      </c>
      <c r="G741" s="131" t="s">
        <v>52</v>
      </c>
      <c r="H741" s="130" t="s">
        <v>121</v>
      </c>
      <c r="I741" s="132">
        <f>15000*0.9</f>
        <v>13500</v>
      </c>
      <c r="J741" s="133" t="s">
        <v>125</v>
      </c>
      <c r="K741" s="134" t="s">
        <v>598</v>
      </c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0" customHeight="1">
      <c r="A742" s="25"/>
      <c r="B742" s="126">
        <v>44906.0</v>
      </c>
      <c r="C742" s="127">
        <f t="shared" si="1"/>
        <v>44896</v>
      </c>
      <c r="D742" s="128">
        <f t="shared" si="2"/>
        <v>44906</v>
      </c>
      <c r="E742" s="129">
        <f t="shared" si="3"/>
        <v>51</v>
      </c>
      <c r="F742" s="130" t="s">
        <v>26</v>
      </c>
      <c r="G742" s="131" t="s">
        <v>87</v>
      </c>
      <c r="H742" s="130" t="s">
        <v>124</v>
      </c>
      <c r="I742" s="132">
        <f>27000*0.5</f>
        <v>13500</v>
      </c>
      <c r="J742" s="133" t="s">
        <v>122</v>
      </c>
      <c r="K742" s="134" t="s">
        <v>501</v>
      </c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0" customHeight="1">
      <c r="A743" s="25"/>
      <c r="B743" s="126">
        <v>44906.0</v>
      </c>
      <c r="C743" s="127">
        <f t="shared" si="1"/>
        <v>44896</v>
      </c>
      <c r="D743" s="128">
        <f t="shared" si="2"/>
        <v>44906</v>
      </c>
      <c r="E743" s="129">
        <f t="shared" si="3"/>
        <v>51</v>
      </c>
      <c r="F743" s="130" t="s">
        <v>26</v>
      </c>
      <c r="G743" s="131" t="s">
        <v>87</v>
      </c>
      <c r="H743" s="130" t="s">
        <v>124</v>
      </c>
      <c r="I743" s="132">
        <v>13500.0</v>
      </c>
      <c r="J743" s="133" t="s">
        <v>125</v>
      </c>
      <c r="K743" s="134" t="s">
        <v>501</v>
      </c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0" customHeight="1">
      <c r="A744" s="25"/>
      <c r="B744" s="126">
        <v>44913.0</v>
      </c>
      <c r="C744" s="127">
        <f t="shared" si="1"/>
        <v>44896</v>
      </c>
      <c r="D744" s="128">
        <f t="shared" si="2"/>
        <v>44913</v>
      </c>
      <c r="E744" s="129">
        <f t="shared" si="3"/>
        <v>52</v>
      </c>
      <c r="F744" s="130" t="s">
        <v>26</v>
      </c>
      <c r="G744" s="131" t="s">
        <v>79</v>
      </c>
      <c r="H744" s="130" t="s">
        <v>124</v>
      </c>
      <c r="I744" s="132">
        <v>13500.0</v>
      </c>
      <c r="J744" s="133" t="s">
        <v>125</v>
      </c>
      <c r="K744" s="134" t="s">
        <v>599</v>
      </c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0" customHeight="1">
      <c r="A745" s="25"/>
      <c r="B745" s="126">
        <v>44651.0</v>
      </c>
      <c r="C745" s="127">
        <f t="shared" si="1"/>
        <v>44621</v>
      </c>
      <c r="D745" s="128">
        <f t="shared" si="2"/>
        <v>44651</v>
      </c>
      <c r="E745" s="129">
        <f t="shared" si="3"/>
        <v>14</v>
      </c>
      <c r="F745" s="130" t="s">
        <v>24</v>
      </c>
      <c r="G745" s="131" t="s">
        <v>53</v>
      </c>
      <c r="H745" s="130" t="s">
        <v>121</v>
      </c>
      <c r="I745" s="132">
        <v>13381.0</v>
      </c>
      <c r="J745" s="133" t="s">
        <v>122</v>
      </c>
      <c r="K745" s="134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0" customHeight="1">
      <c r="A746" s="25"/>
      <c r="B746" s="126">
        <v>44817.0</v>
      </c>
      <c r="C746" s="127">
        <f t="shared" si="1"/>
        <v>44805</v>
      </c>
      <c r="D746" s="128">
        <f t="shared" si="2"/>
        <v>44817</v>
      </c>
      <c r="E746" s="129">
        <f t="shared" si="3"/>
        <v>38</v>
      </c>
      <c r="F746" s="130" t="s">
        <v>26</v>
      </c>
      <c r="G746" s="131" t="s">
        <v>82</v>
      </c>
      <c r="H746" s="130" t="s">
        <v>124</v>
      </c>
      <c r="I746" s="132">
        <v>13310.0</v>
      </c>
      <c r="J746" s="133" t="s">
        <v>125</v>
      </c>
      <c r="K746" s="134" t="s">
        <v>593</v>
      </c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0" customHeight="1">
      <c r="A747" s="25"/>
      <c r="B747" s="126">
        <v>44789.0</v>
      </c>
      <c r="C747" s="127">
        <f t="shared" si="1"/>
        <v>44774</v>
      </c>
      <c r="D747" s="128">
        <f t="shared" si="2"/>
        <v>44789</v>
      </c>
      <c r="E747" s="129">
        <f t="shared" si="3"/>
        <v>34</v>
      </c>
      <c r="F747" s="130" t="s">
        <v>26</v>
      </c>
      <c r="G747" s="131" t="s">
        <v>82</v>
      </c>
      <c r="H747" s="130" t="s">
        <v>124</v>
      </c>
      <c r="I747" s="132">
        <v>13300.0</v>
      </c>
      <c r="J747" s="133" t="s">
        <v>125</v>
      </c>
      <c r="K747" s="134" t="s">
        <v>600</v>
      </c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0" customHeight="1">
      <c r="A748" s="25"/>
      <c r="B748" s="126">
        <v>44871.0</v>
      </c>
      <c r="C748" s="127">
        <f t="shared" si="1"/>
        <v>44866</v>
      </c>
      <c r="D748" s="128">
        <f t="shared" si="2"/>
        <v>44871</v>
      </c>
      <c r="E748" s="129">
        <f t="shared" si="3"/>
        <v>46</v>
      </c>
      <c r="F748" s="130" t="s">
        <v>26</v>
      </c>
      <c r="G748" s="131" t="s">
        <v>70</v>
      </c>
      <c r="H748" s="130" t="s">
        <v>124</v>
      </c>
      <c r="I748" s="132">
        <v>13143.0</v>
      </c>
      <c r="J748" s="133" t="s">
        <v>125</v>
      </c>
      <c r="K748" s="134" t="s">
        <v>601</v>
      </c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0" customHeight="1">
      <c r="A749" s="25"/>
      <c r="B749" s="126">
        <v>44878.0</v>
      </c>
      <c r="C749" s="127">
        <f t="shared" si="1"/>
        <v>44866</v>
      </c>
      <c r="D749" s="128">
        <f t="shared" si="2"/>
        <v>44878</v>
      </c>
      <c r="E749" s="129">
        <f t="shared" si="3"/>
        <v>47</v>
      </c>
      <c r="F749" s="130" t="s">
        <v>26</v>
      </c>
      <c r="G749" s="131" t="s">
        <v>70</v>
      </c>
      <c r="H749" s="130" t="s">
        <v>124</v>
      </c>
      <c r="I749" s="132">
        <v>12999.0</v>
      </c>
      <c r="J749" s="133" t="s">
        <v>122</v>
      </c>
      <c r="K749" s="134" t="s">
        <v>602</v>
      </c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0" customHeight="1">
      <c r="A750" s="25"/>
      <c r="B750" s="126">
        <v>44799.0</v>
      </c>
      <c r="C750" s="127">
        <f t="shared" si="1"/>
        <v>44774</v>
      </c>
      <c r="D750" s="128">
        <f t="shared" si="2"/>
        <v>44799</v>
      </c>
      <c r="E750" s="129">
        <f t="shared" si="3"/>
        <v>35</v>
      </c>
      <c r="F750" s="130" t="s">
        <v>26</v>
      </c>
      <c r="G750" s="131" t="s">
        <v>76</v>
      </c>
      <c r="H750" s="130" t="s">
        <v>124</v>
      </c>
      <c r="I750" s="132">
        <v>12940.0</v>
      </c>
      <c r="J750" s="133" t="s">
        <v>125</v>
      </c>
      <c r="K750" s="134" t="s">
        <v>167</v>
      </c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0" customHeight="1">
      <c r="A751" s="25"/>
      <c r="B751" s="126">
        <v>44827.0</v>
      </c>
      <c r="C751" s="127">
        <f t="shared" si="1"/>
        <v>44805</v>
      </c>
      <c r="D751" s="128">
        <f t="shared" si="2"/>
        <v>44827</v>
      </c>
      <c r="E751" s="129">
        <f t="shared" si="3"/>
        <v>39</v>
      </c>
      <c r="F751" s="130" t="s">
        <v>26</v>
      </c>
      <c r="G751" s="131" t="s">
        <v>70</v>
      </c>
      <c r="H751" s="130" t="s">
        <v>124</v>
      </c>
      <c r="I751" s="132">
        <f>13600*0.95</f>
        <v>12920</v>
      </c>
      <c r="J751" s="133" t="s">
        <v>122</v>
      </c>
      <c r="K751" s="134" t="s">
        <v>603</v>
      </c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0" customHeight="1">
      <c r="A752" s="25"/>
      <c r="B752" s="126">
        <v>44673.0</v>
      </c>
      <c r="C752" s="127">
        <f t="shared" si="1"/>
        <v>44652</v>
      </c>
      <c r="D752" s="128">
        <f t="shared" si="2"/>
        <v>44673</v>
      </c>
      <c r="E752" s="129">
        <f t="shared" si="3"/>
        <v>17</v>
      </c>
      <c r="F752" s="130" t="s">
        <v>128</v>
      </c>
      <c r="G752" s="131" t="s">
        <v>172</v>
      </c>
      <c r="H752" s="130" t="s">
        <v>124</v>
      </c>
      <c r="I752" s="132">
        <v>12900.0</v>
      </c>
      <c r="J752" s="133" t="s">
        <v>122</v>
      </c>
      <c r="K752" s="134" t="s">
        <v>604</v>
      </c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0" customHeight="1">
      <c r="A753" s="25"/>
      <c r="B753" s="126">
        <v>44686.0</v>
      </c>
      <c r="C753" s="127">
        <f t="shared" si="1"/>
        <v>44682</v>
      </c>
      <c r="D753" s="128">
        <f t="shared" si="2"/>
        <v>44686</v>
      </c>
      <c r="E753" s="129">
        <f t="shared" si="3"/>
        <v>19</v>
      </c>
      <c r="F753" s="130" t="s">
        <v>24</v>
      </c>
      <c r="G753" s="131" t="s">
        <v>34</v>
      </c>
      <c r="H753" s="130" t="s">
        <v>124</v>
      </c>
      <c r="I753" s="132">
        <f>14300-1430</f>
        <v>12870</v>
      </c>
      <c r="J753" s="133" t="s">
        <v>125</v>
      </c>
      <c r="K753" s="134" t="s">
        <v>605</v>
      </c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0" customHeight="1">
      <c r="A754" s="25"/>
      <c r="B754" s="126">
        <v>44598.0</v>
      </c>
      <c r="C754" s="127">
        <f t="shared" si="1"/>
        <v>44593</v>
      </c>
      <c r="D754" s="128">
        <f t="shared" si="2"/>
        <v>44598</v>
      </c>
      <c r="E754" s="129">
        <f t="shared" si="3"/>
        <v>7</v>
      </c>
      <c r="F754" s="130" t="s">
        <v>26</v>
      </c>
      <c r="G754" s="131" t="s">
        <v>72</v>
      </c>
      <c r="H754" s="130" t="s">
        <v>124</v>
      </c>
      <c r="I754" s="132">
        <f>4500*3*0.95</f>
        <v>12825</v>
      </c>
      <c r="J754" s="133" t="s">
        <v>122</v>
      </c>
      <c r="K754" s="134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0" customHeight="1">
      <c r="A755" s="25"/>
      <c r="B755" s="126">
        <v>44603.0</v>
      </c>
      <c r="C755" s="127">
        <f t="shared" si="1"/>
        <v>44593</v>
      </c>
      <c r="D755" s="128">
        <f t="shared" si="2"/>
        <v>44603</v>
      </c>
      <c r="E755" s="129">
        <f t="shared" si="3"/>
        <v>7</v>
      </c>
      <c r="F755" s="130" t="s">
        <v>26</v>
      </c>
      <c r="G755" s="131" t="s">
        <v>72</v>
      </c>
      <c r="H755" s="130" t="s">
        <v>124</v>
      </c>
      <c r="I755" s="132">
        <f t="shared" ref="I755:I759" si="15">13500*0.95</f>
        <v>12825</v>
      </c>
      <c r="J755" s="133" t="s">
        <v>122</v>
      </c>
      <c r="K755" s="134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0" customHeight="1">
      <c r="A756" s="25"/>
      <c r="B756" s="126">
        <v>44609.0</v>
      </c>
      <c r="C756" s="127">
        <f t="shared" si="1"/>
        <v>44593</v>
      </c>
      <c r="D756" s="128">
        <f t="shared" si="2"/>
        <v>44609</v>
      </c>
      <c r="E756" s="129">
        <f t="shared" si="3"/>
        <v>8</v>
      </c>
      <c r="F756" s="130" t="s">
        <v>26</v>
      </c>
      <c r="G756" s="131" t="s">
        <v>72</v>
      </c>
      <c r="H756" s="130" t="s">
        <v>124</v>
      </c>
      <c r="I756" s="132">
        <f t="shared" si="15"/>
        <v>12825</v>
      </c>
      <c r="J756" s="133" t="s">
        <v>122</v>
      </c>
      <c r="K756" s="134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0" customHeight="1">
      <c r="A757" s="25"/>
      <c r="B757" s="126">
        <v>44615.0</v>
      </c>
      <c r="C757" s="127">
        <f t="shared" si="1"/>
        <v>44593</v>
      </c>
      <c r="D757" s="128">
        <f t="shared" si="2"/>
        <v>44615</v>
      </c>
      <c r="E757" s="129">
        <f t="shared" si="3"/>
        <v>9</v>
      </c>
      <c r="F757" s="130" t="s">
        <v>26</v>
      </c>
      <c r="G757" s="131" t="s">
        <v>72</v>
      </c>
      <c r="H757" s="130" t="s">
        <v>124</v>
      </c>
      <c r="I757" s="132">
        <f t="shared" si="15"/>
        <v>12825</v>
      </c>
      <c r="J757" s="133" t="s">
        <v>122</v>
      </c>
      <c r="K757" s="134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0" customHeight="1">
      <c r="A758" s="25"/>
      <c r="B758" s="126">
        <v>44643.0</v>
      </c>
      <c r="C758" s="127">
        <f t="shared" si="1"/>
        <v>44621</v>
      </c>
      <c r="D758" s="128">
        <f t="shared" si="2"/>
        <v>44643</v>
      </c>
      <c r="E758" s="129">
        <f t="shared" si="3"/>
        <v>13</v>
      </c>
      <c r="F758" s="130" t="s">
        <v>26</v>
      </c>
      <c r="G758" s="131" t="s">
        <v>72</v>
      </c>
      <c r="H758" s="130" t="s">
        <v>124</v>
      </c>
      <c r="I758" s="132">
        <f t="shared" si="15"/>
        <v>12825</v>
      </c>
      <c r="J758" s="133" t="s">
        <v>122</v>
      </c>
      <c r="K758" s="134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0" customHeight="1">
      <c r="A759" s="25"/>
      <c r="B759" s="126">
        <v>44798.0</v>
      </c>
      <c r="C759" s="127">
        <f t="shared" si="1"/>
        <v>44774</v>
      </c>
      <c r="D759" s="128">
        <f t="shared" si="2"/>
        <v>44798</v>
      </c>
      <c r="E759" s="129">
        <f t="shared" si="3"/>
        <v>35</v>
      </c>
      <c r="F759" s="130" t="s">
        <v>26</v>
      </c>
      <c r="G759" s="131" t="s">
        <v>72</v>
      </c>
      <c r="H759" s="130" t="s">
        <v>124</v>
      </c>
      <c r="I759" s="132">
        <f t="shared" si="15"/>
        <v>12825</v>
      </c>
      <c r="J759" s="133" t="s">
        <v>122</v>
      </c>
      <c r="K759" s="134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0" customHeight="1">
      <c r="A760" s="25"/>
      <c r="B760" s="126">
        <v>44717.0</v>
      </c>
      <c r="C760" s="127">
        <f t="shared" si="1"/>
        <v>44713</v>
      </c>
      <c r="D760" s="128">
        <f t="shared" si="2"/>
        <v>44717</v>
      </c>
      <c r="E760" s="129">
        <f t="shared" si="3"/>
        <v>24</v>
      </c>
      <c r="F760" s="130" t="s">
        <v>26</v>
      </c>
      <c r="G760" s="131" t="s">
        <v>73</v>
      </c>
      <c r="H760" s="130" t="s">
        <v>124</v>
      </c>
      <c r="I760" s="132">
        <f>38000-25200</f>
        <v>12800</v>
      </c>
      <c r="J760" s="133" t="s">
        <v>122</v>
      </c>
      <c r="K760" s="134" t="s">
        <v>606</v>
      </c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0" customHeight="1">
      <c r="A761" s="25"/>
      <c r="B761" s="126">
        <v>44666.0</v>
      </c>
      <c r="C761" s="127">
        <f t="shared" si="1"/>
        <v>44652</v>
      </c>
      <c r="D761" s="128">
        <f t="shared" si="2"/>
        <v>44666</v>
      </c>
      <c r="E761" s="129">
        <f t="shared" si="3"/>
        <v>16</v>
      </c>
      <c r="F761" s="130" t="s">
        <v>26</v>
      </c>
      <c r="G761" s="131" t="s">
        <v>76</v>
      </c>
      <c r="H761" s="130" t="s">
        <v>124</v>
      </c>
      <c r="I761" s="132">
        <f>12780</f>
        <v>12780</v>
      </c>
      <c r="J761" s="133" t="s">
        <v>122</v>
      </c>
      <c r="K761" s="134" t="s">
        <v>607</v>
      </c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0" customHeight="1">
      <c r="A762" s="25"/>
      <c r="B762" s="126">
        <v>44649.0</v>
      </c>
      <c r="C762" s="127">
        <f t="shared" si="1"/>
        <v>44621</v>
      </c>
      <c r="D762" s="128">
        <f t="shared" si="2"/>
        <v>44649</v>
      </c>
      <c r="E762" s="129">
        <f t="shared" si="3"/>
        <v>14</v>
      </c>
      <c r="F762" s="130" t="s">
        <v>26</v>
      </c>
      <c r="G762" s="131" t="s">
        <v>70</v>
      </c>
      <c r="H762" s="130" t="s">
        <v>124</v>
      </c>
      <c r="I762" s="132">
        <v>12580.0</v>
      </c>
      <c r="J762" s="133" t="s">
        <v>125</v>
      </c>
      <c r="K762" s="134" t="s">
        <v>608</v>
      </c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0" customHeight="1">
      <c r="A763" s="25"/>
      <c r="B763" s="126">
        <v>44706.0</v>
      </c>
      <c r="C763" s="127">
        <f t="shared" si="1"/>
        <v>44682</v>
      </c>
      <c r="D763" s="128">
        <f t="shared" si="2"/>
        <v>44706</v>
      </c>
      <c r="E763" s="129">
        <f t="shared" si="3"/>
        <v>22</v>
      </c>
      <c r="F763" s="130" t="s">
        <v>26</v>
      </c>
      <c r="G763" s="131" t="s">
        <v>76</v>
      </c>
      <c r="H763" s="130" t="s">
        <v>124</v>
      </c>
      <c r="I763" s="132">
        <v>12576.0</v>
      </c>
      <c r="J763" s="133" t="s">
        <v>125</v>
      </c>
      <c r="K763" s="134" t="s">
        <v>609</v>
      </c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0" customHeight="1">
      <c r="A764" s="25"/>
      <c r="B764" s="126">
        <v>44574.0</v>
      </c>
      <c r="C764" s="127">
        <f t="shared" si="1"/>
        <v>44562</v>
      </c>
      <c r="D764" s="128">
        <f t="shared" si="2"/>
        <v>44574</v>
      </c>
      <c r="E764" s="129">
        <f t="shared" si="3"/>
        <v>3</v>
      </c>
      <c r="F764" s="130" t="s">
        <v>24</v>
      </c>
      <c r="G764" s="131" t="s">
        <v>61</v>
      </c>
      <c r="H764" s="130" t="s">
        <v>124</v>
      </c>
      <c r="I764" s="132">
        <v>12500.0</v>
      </c>
      <c r="J764" s="133" t="s">
        <v>122</v>
      </c>
      <c r="K764" s="134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0" customHeight="1">
      <c r="A765" s="25"/>
      <c r="B765" s="126">
        <v>44812.0</v>
      </c>
      <c r="C765" s="127">
        <f t="shared" si="1"/>
        <v>44805</v>
      </c>
      <c r="D765" s="128">
        <f t="shared" si="2"/>
        <v>44812</v>
      </c>
      <c r="E765" s="129">
        <f t="shared" si="3"/>
        <v>37</v>
      </c>
      <c r="F765" s="130" t="s">
        <v>26</v>
      </c>
      <c r="G765" s="131" t="s">
        <v>70</v>
      </c>
      <c r="H765" s="130" t="s">
        <v>124</v>
      </c>
      <c r="I765" s="132">
        <v>12428.0</v>
      </c>
      <c r="J765" s="133" t="s">
        <v>122</v>
      </c>
      <c r="K765" s="134" t="s">
        <v>610</v>
      </c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0" customHeight="1">
      <c r="A766" s="25"/>
      <c r="B766" s="126">
        <v>44857.0</v>
      </c>
      <c r="C766" s="127">
        <f t="shared" si="1"/>
        <v>44835</v>
      </c>
      <c r="D766" s="128">
        <f t="shared" si="2"/>
        <v>44857</v>
      </c>
      <c r="E766" s="129">
        <f t="shared" si="3"/>
        <v>44</v>
      </c>
      <c r="F766" s="130" t="s">
        <v>26</v>
      </c>
      <c r="G766" s="131" t="s">
        <v>70</v>
      </c>
      <c r="H766" s="130" t="s">
        <v>124</v>
      </c>
      <c r="I766" s="132">
        <v>12320.0</v>
      </c>
      <c r="J766" s="133" t="s">
        <v>125</v>
      </c>
      <c r="K766" s="134" t="s">
        <v>611</v>
      </c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0" customHeight="1">
      <c r="A767" s="25"/>
      <c r="B767" s="126">
        <v>44564.0</v>
      </c>
      <c r="C767" s="127">
        <f t="shared" si="1"/>
        <v>44562</v>
      </c>
      <c r="D767" s="128">
        <f t="shared" si="2"/>
        <v>44564</v>
      </c>
      <c r="E767" s="129">
        <f t="shared" si="3"/>
        <v>2</v>
      </c>
      <c r="F767" s="130" t="s">
        <v>26</v>
      </c>
      <c r="G767" s="131" t="s">
        <v>72</v>
      </c>
      <c r="H767" s="130" t="s">
        <v>121</v>
      </c>
      <c r="I767" s="132">
        <f t="shared" ref="I767:I790" si="16">13500*0.9</f>
        <v>12150</v>
      </c>
      <c r="J767" s="133" t="s">
        <v>122</v>
      </c>
      <c r="K767" s="134" t="s">
        <v>560</v>
      </c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0" customHeight="1">
      <c r="A768" s="25"/>
      <c r="B768" s="126">
        <v>44575.0</v>
      </c>
      <c r="C768" s="127">
        <f t="shared" si="1"/>
        <v>44562</v>
      </c>
      <c r="D768" s="128">
        <f t="shared" si="2"/>
        <v>44575</v>
      </c>
      <c r="E768" s="129">
        <f t="shared" si="3"/>
        <v>3</v>
      </c>
      <c r="F768" s="130" t="s">
        <v>26</v>
      </c>
      <c r="G768" s="131" t="s">
        <v>72</v>
      </c>
      <c r="H768" s="130" t="s">
        <v>121</v>
      </c>
      <c r="I768" s="132">
        <f t="shared" si="16"/>
        <v>12150</v>
      </c>
      <c r="J768" s="133" t="s">
        <v>122</v>
      </c>
      <c r="K768" s="134" t="s">
        <v>560</v>
      </c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0" customHeight="1">
      <c r="A769" s="25"/>
      <c r="B769" s="126">
        <v>44577.0</v>
      </c>
      <c r="C769" s="127">
        <f t="shared" si="1"/>
        <v>44562</v>
      </c>
      <c r="D769" s="128">
        <f t="shared" si="2"/>
        <v>44577</v>
      </c>
      <c r="E769" s="129">
        <f t="shared" si="3"/>
        <v>4</v>
      </c>
      <c r="F769" s="130" t="s">
        <v>26</v>
      </c>
      <c r="G769" s="131" t="s">
        <v>72</v>
      </c>
      <c r="H769" s="130" t="s">
        <v>121</v>
      </c>
      <c r="I769" s="132">
        <f t="shared" si="16"/>
        <v>12150</v>
      </c>
      <c r="J769" s="133" t="s">
        <v>122</v>
      </c>
      <c r="K769" s="134" t="s">
        <v>612</v>
      </c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0" customHeight="1">
      <c r="A770" s="25"/>
      <c r="B770" s="126">
        <v>44622.0</v>
      </c>
      <c r="C770" s="127">
        <f t="shared" si="1"/>
        <v>44621</v>
      </c>
      <c r="D770" s="128">
        <f t="shared" si="2"/>
        <v>44622</v>
      </c>
      <c r="E770" s="129">
        <f t="shared" si="3"/>
        <v>10</v>
      </c>
      <c r="F770" s="130" t="s">
        <v>26</v>
      </c>
      <c r="G770" s="131" t="s">
        <v>72</v>
      </c>
      <c r="H770" s="130" t="s">
        <v>121</v>
      </c>
      <c r="I770" s="132">
        <f t="shared" si="16"/>
        <v>12150</v>
      </c>
      <c r="J770" s="133" t="s">
        <v>122</v>
      </c>
      <c r="K770" s="134" t="s">
        <v>560</v>
      </c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0" customHeight="1">
      <c r="A771" s="25"/>
      <c r="B771" s="126">
        <v>44628.0</v>
      </c>
      <c r="C771" s="127">
        <f t="shared" si="1"/>
        <v>44621</v>
      </c>
      <c r="D771" s="128">
        <f t="shared" si="2"/>
        <v>44628</v>
      </c>
      <c r="E771" s="129">
        <f t="shared" si="3"/>
        <v>11</v>
      </c>
      <c r="F771" s="130" t="s">
        <v>26</v>
      </c>
      <c r="G771" s="131" t="s">
        <v>72</v>
      </c>
      <c r="H771" s="130" t="s">
        <v>121</v>
      </c>
      <c r="I771" s="132">
        <f t="shared" si="16"/>
        <v>12150</v>
      </c>
      <c r="J771" s="133" t="s">
        <v>122</v>
      </c>
      <c r="K771" s="134" t="s">
        <v>560</v>
      </c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0" customHeight="1">
      <c r="A772" s="25"/>
      <c r="B772" s="126">
        <v>44634.0</v>
      </c>
      <c r="C772" s="127">
        <f t="shared" si="1"/>
        <v>44621</v>
      </c>
      <c r="D772" s="128">
        <f t="shared" si="2"/>
        <v>44634</v>
      </c>
      <c r="E772" s="129">
        <f t="shared" si="3"/>
        <v>12</v>
      </c>
      <c r="F772" s="130" t="s">
        <v>26</v>
      </c>
      <c r="G772" s="131" t="s">
        <v>72</v>
      </c>
      <c r="H772" s="130" t="s">
        <v>124</v>
      </c>
      <c r="I772" s="132">
        <f t="shared" si="16"/>
        <v>12150</v>
      </c>
      <c r="J772" s="133" t="s">
        <v>122</v>
      </c>
      <c r="K772" s="134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0" customHeight="1">
      <c r="A773" s="25"/>
      <c r="B773" s="126">
        <v>44637.0</v>
      </c>
      <c r="C773" s="127">
        <f t="shared" si="1"/>
        <v>44621</v>
      </c>
      <c r="D773" s="128">
        <f t="shared" si="2"/>
        <v>44637</v>
      </c>
      <c r="E773" s="129">
        <f t="shared" si="3"/>
        <v>12</v>
      </c>
      <c r="F773" s="130" t="s">
        <v>26</v>
      </c>
      <c r="G773" s="131" t="s">
        <v>72</v>
      </c>
      <c r="H773" s="130" t="s">
        <v>121</v>
      </c>
      <c r="I773" s="132">
        <f t="shared" si="16"/>
        <v>12150</v>
      </c>
      <c r="J773" s="133" t="s">
        <v>122</v>
      </c>
      <c r="K773" s="134" t="s">
        <v>560</v>
      </c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0" customHeight="1">
      <c r="A774" s="25"/>
      <c r="B774" s="126">
        <v>44648.0</v>
      </c>
      <c r="C774" s="127">
        <f t="shared" si="1"/>
        <v>44621</v>
      </c>
      <c r="D774" s="128">
        <f t="shared" si="2"/>
        <v>44648</v>
      </c>
      <c r="E774" s="129">
        <f t="shared" si="3"/>
        <v>14</v>
      </c>
      <c r="F774" s="130" t="s">
        <v>26</v>
      </c>
      <c r="G774" s="131" t="s">
        <v>72</v>
      </c>
      <c r="H774" s="130" t="s">
        <v>121</v>
      </c>
      <c r="I774" s="132">
        <f t="shared" si="16"/>
        <v>12150</v>
      </c>
      <c r="J774" s="133" t="s">
        <v>122</v>
      </c>
      <c r="K774" s="134" t="s">
        <v>560</v>
      </c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0" customHeight="1">
      <c r="A775" s="25"/>
      <c r="B775" s="126">
        <v>44662.0</v>
      </c>
      <c r="C775" s="127">
        <f t="shared" si="1"/>
        <v>44652</v>
      </c>
      <c r="D775" s="128">
        <f t="shared" si="2"/>
        <v>44662</v>
      </c>
      <c r="E775" s="129">
        <f t="shared" si="3"/>
        <v>16</v>
      </c>
      <c r="F775" s="130" t="s">
        <v>26</v>
      </c>
      <c r="G775" s="131" t="s">
        <v>72</v>
      </c>
      <c r="H775" s="130" t="s">
        <v>121</v>
      </c>
      <c r="I775" s="132">
        <f t="shared" si="16"/>
        <v>12150</v>
      </c>
      <c r="J775" s="133" t="s">
        <v>122</v>
      </c>
      <c r="K775" s="134" t="s">
        <v>560</v>
      </c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0" customHeight="1">
      <c r="A776" s="25"/>
      <c r="B776" s="126">
        <v>44669.0</v>
      </c>
      <c r="C776" s="127">
        <f t="shared" si="1"/>
        <v>44652</v>
      </c>
      <c r="D776" s="128">
        <f t="shared" si="2"/>
        <v>44669</v>
      </c>
      <c r="E776" s="129">
        <f t="shared" si="3"/>
        <v>17</v>
      </c>
      <c r="F776" s="130" t="s">
        <v>26</v>
      </c>
      <c r="G776" s="131" t="s">
        <v>72</v>
      </c>
      <c r="H776" s="130" t="s">
        <v>121</v>
      </c>
      <c r="I776" s="132">
        <f t="shared" si="16"/>
        <v>12150</v>
      </c>
      <c r="J776" s="133" t="s">
        <v>122</v>
      </c>
      <c r="K776" s="134" t="s">
        <v>560</v>
      </c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0" customHeight="1">
      <c r="A777" s="25"/>
      <c r="B777" s="126">
        <v>44692.0</v>
      </c>
      <c r="C777" s="127">
        <f t="shared" si="1"/>
        <v>44682</v>
      </c>
      <c r="D777" s="128">
        <f t="shared" si="2"/>
        <v>44692</v>
      </c>
      <c r="E777" s="129">
        <f t="shared" si="3"/>
        <v>20</v>
      </c>
      <c r="F777" s="130" t="s">
        <v>26</v>
      </c>
      <c r="G777" s="131" t="s">
        <v>72</v>
      </c>
      <c r="H777" s="130" t="s">
        <v>121</v>
      </c>
      <c r="I777" s="132">
        <f t="shared" si="16"/>
        <v>12150</v>
      </c>
      <c r="J777" s="133" t="s">
        <v>122</v>
      </c>
      <c r="K777" s="134" t="s">
        <v>560</v>
      </c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0" customHeight="1">
      <c r="A778" s="25"/>
      <c r="B778" s="126">
        <v>44697.0</v>
      </c>
      <c r="C778" s="127">
        <f t="shared" si="1"/>
        <v>44682</v>
      </c>
      <c r="D778" s="128">
        <f t="shared" si="2"/>
        <v>44697</v>
      </c>
      <c r="E778" s="129">
        <f t="shared" si="3"/>
        <v>21</v>
      </c>
      <c r="F778" s="130" t="s">
        <v>26</v>
      </c>
      <c r="G778" s="131" t="s">
        <v>72</v>
      </c>
      <c r="H778" s="130" t="s">
        <v>121</v>
      </c>
      <c r="I778" s="132">
        <f t="shared" si="16"/>
        <v>12150</v>
      </c>
      <c r="J778" s="133" t="s">
        <v>122</v>
      </c>
      <c r="K778" s="134" t="s">
        <v>560</v>
      </c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0" customHeight="1">
      <c r="A779" s="25"/>
      <c r="B779" s="126">
        <v>44704.0</v>
      </c>
      <c r="C779" s="127">
        <f t="shared" si="1"/>
        <v>44682</v>
      </c>
      <c r="D779" s="128">
        <f t="shared" si="2"/>
        <v>44704</v>
      </c>
      <c r="E779" s="129">
        <f t="shared" si="3"/>
        <v>22</v>
      </c>
      <c r="F779" s="130" t="s">
        <v>26</v>
      </c>
      <c r="G779" s="131" t="s">
        <v>72</v>
      </c>
      <c r="H779" s="130" t="s">
        <v>121</v>
      </c>
      <c r="I779" s="132">
        <f t="shared" si="16"/>
        <v>12150</v>
      </c>
      <c r="J779" s="133" t="s">
        <v>122</v>
      </c>
      <c r="K779" s="134" t="s">
        <v>560</v>
      </c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0" customHeight="1">
      <c r="A780" s="25"/>
      <c r="B780" s="126">
        <v>44712.0</v>
      </c>
      <c r="C780" s="127">
        <f t="shared" si="1"/>
        <v>44682</v>
      </c>
      <c r="D780" s="128">
        <f t="shared" si="2"/>
        <v>44712</v>
      </c>
      <c r="E780" s="129">
        <f t="shared" si="3"/>
        <v>23</v>
      </c>
      <c r="F780" s="130" t="s">
        <v>26</v>
      </c>
      <c r="G780" s="131" t="s">
        <v>72</v>
      </c>
      <c r="H780" s="130" t="s">
        <v>121</v>
      </c>
      <c r="I780" s="132">
        <f t="shared" si="16"/>
        <v>12150</v>
      </c>
      <c r="J780" s="133" t="s">
        <v>122</v>
      </c>
      <c r="K780" s="134" t="s">
        <v>560</v>
      </c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0" customHeight="1">
      <c r="A781" s="25"/>
      <c r="B781" s="126">
        <v>44720.0</v>
      </c>
      <c r="C781" s="127">
        <f t="shared" si="1"/>
        <v>44713</v>
      </c>
      <c r="D781" s="128">
        <f t="shared" si="2"/>
        <v>44720</v>
      </c>
      <c r="E781" s="129">
        <f t="shared" si="3"/>
        <v>24</v>
      </c>
      <c r="F781" s="130" t="s">
        <v>26</v>
      </c>
      <c r="G781" s="131" t="s">
        <v>72</v>
      </c>
      <c r="H781" s="130" t="s">
        <v>121</v>
      </c>
      <c r="I781" s="132">
        <f t="shared" si="16"/>
        <v>12150</v>
      </c>
      <c r="J781" s="133" t="s">
        <v>122</v>
      </c>
      <c r="K781" s="134" t="s">
        <v>560</v>
      </c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0" customHeight="1">
      <c r="A782" s="25"/>
      <c r="B782" s="126">
        <v>44725.0</v>
      </c>
      <c r="C782" s="127">
        <f t="shared" si="1"/>
        <v>44713</v>
      </c>
      <c r="D782" s="128">
        <f t="shared" si="2"/>
        <v>44725</v>
      </c>
      <c r="E782" s="129">
        <f t="shared" si="3"/>
        <v>25</v>
      </c>
      <c r="F782" s="130" t="s">
        <v>26</v>
      </c>
      <c r="G782" s="131" t="s">
        <v>72</v>
      </c>
      <c r="H782" s="130" t="s">
        <v>121</v>
      </c>
      <c r="I782" s="132">
        <f t="shared" si="16"/>
        <v>12150</v>
      </c>
      <c r="J782" s="133" t="s">
        <v>122</v>
      </c>
      <c r="K782" s="134" t="s">
        <v>560</v>
      </c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0" customHeight="1">
      <c r="A783" s="25"/>
      <c r="B783" s="126">
        <v>44732.0</v>
      </c>
      <c r="C783" s="127">
        <f t="shared" si="1"/>
        <v>44713</v>
      </c>
      <c r="D783" s="128">
        <f t="shared" si="2"/>
        <v>44732</v>
      </c>
      <c r="E783" s="129">
        <f t="shared" si="3"/>
        <v>26</v>
      </c>
      <c r="F783" s="130" t="s">
        <v>26</v>
      </c>
      <c r="G783" s="131" t="s">
        <v>72</v>
      </c>
      <c r="H783" s="130" t="s">
        <v>121</v>
      </c>
      <c r="I783" s="132">
        <f t="shared" si="16"/>
        <v>12150</v>
      </c>
      <c r="J783" s="133" t="s">
        <v>122</v>
      </c>
      <c r="K783" s="134" t="s">
        <v>560</v>
      </c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0" customHeight="1">
      <c r="A784" s="25"/>
      <c r="B784" s="126">
        <v>44734.0</v>
      </c>
      <c r="C784" s="127">
        <f t="shared" si="1"/>
        <v>44713</v>
      </c>
      <c r="D784" s="128">
        <f t="shared" si="2"/>
        <v>44734</v>
      </c>
      <c r="E784" s="129">
        <f t="shared" si="3"/>
        <v>26</v>
      </c>
      <c r="F784" s="130" t="s">
        <v>26</v>
      </c>
      <c r="G784" s="131" t="s">
        <v>72</v>
      </c>
      <c r="H784" s="130" t="s">
        <v>121</v>
      </c>
      <c r="I784" s="132">
        <f t="shared" si="16"/>
        <v>12150</v>
      </c>
      <c r="J784" s="133" t="s">
        <v>122</v>
      </c>
      <c r="K784" s="134" t="s">
        <v>560</v>
      </c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0" customHeight="1">
      <c r="A785" s="25"/>
      <c r="B785" s="126">
        <v>44740.0</v>
      </c>
      <c r="C785" s="127">
        <f t="shared" si="1"/>
        <v>44713</v>
      </c>
      <c r="D785" s="128">
        <f t="shared" si="2"/>
        <v>44740</v>
      </c>
      <c r="E785" s="129">
        <f t="shared" si="3"/>
        <v>27</v>
      </c>
      <c r="F785" s="130" t="s">
        <v>26</v>
      </c>
      <c r="G785" s="131" t="s">
        <v>72</v>
      </c>
      <c r="H785" s="130" t="s">
        <v>121</v>
      </c>
      <c r="I785" s="132">
        <f t="shared" si="16"/>
        <v>12150</v>
      </c>
      <c r="J785" s="133" t="s">
        <v>122</v>
      </c>
      <c r="K785" s="134" t="s">
        <v>560</v>
      </c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0" customHeight="1">
      <c r="A786" s="25"/>
      <c r="B786" s="126">
        <v>44749.0</v>
      </c>
      <c r="C786" s="127">
        <f t="shared" si="1"/>
        <v>44743</v>
      </c>
      <c r="D786" s="128">
        <f t="shared" si="2"/>
        <v>44749</v>
      </c>
      <c r="E786" s="129">
        <f t="shared" si="3"/>
        <v>28</v>
      </c>
      <c r="F786" s="130" t="s">
        <v>26</v>
      </c>
      <c r="G786" s="131" t="s">
        <v>72</v>
      </c>
      <c r="H786" s="130" t="s">
        <v>121</v>
      </c>
      <c r="I786" s="132">
        <f t="shared" si="16"/>
        <v>12150</v>
      </c>
      <c r="J786" s="133" t="s">
        <v>122</v>
      </c>
      <c r="K786" s="134" t="s">
        <v>560</v>
      </c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0" customHeight="1">
      <c r="A787" s="25"/>
      <c r="B787" s="126">
        <v>44801.0</v>
      </c>
      <c r="C787" s="127">
        <f t="shared" si="1"/>
        <v>44774</v>
      </c>
      <c r="D787" s="128">
        <f t="shared" si="2"/>
        <v>44801</v>
      </c>
      <c r="E787" s="129">
        <f t="shared" si="3"/>
        <v>36</v>
      </c>
      <c r="F787" s="130" t="s">
        <v>26</v>
      </c>
      <c r="G787" s="131" t="s">
        <v>72</v>
      </c>
      <c r="H787" s="130" t="s">
        <v>121</v>
      </c>
      <c r="I787" s="132">
        <f t="shared" si="16"/>
        <v>12150</v>
      </c>
      <c r="J787" s="133" t="s">
        <v>125</v>
      </c>
      <c r="K787" s="134" t="s">
        <v>277</v>
      </c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0" customHeight="1">
      <c r="A788" s="25"/>
      <c r="B788" s="126">
        <v>44801.0</v>
      </c>
      <c r="C788" s="127">
        <f t="shared" si="1"/>
        <v>44774</v>
      </c>
      <c r="D788" s="128">
        <f t="shared" si="2"/>
        <v>44801</v>
      </c>
      <c r="E788" s="129">
        <f t="shared" si="3"/>
        <v>36</v>
      </c>
      <c r="F788" s="138" t="s">
        <v>26</v>
      </c>
      <c r="G788" s="131" t="s">
        <v>72</v>
      </c>
      <c r="H788" s="130" t="s">
        <v>121</v>
      </c>
      <c r="I788" s="132">
        <f t="shared" si="16"/>
        <v>12150</v>
      </c>
      <c r="J788" s="133" t="s">
        <v>122</v>
      </c>
      <c r="K788" s="134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0" customHeight="1">
      <c r="A789" s="25"/>
      <c r="B789" s="126">
        <v>44825.0</v>
      </c>
      <c r="C789" s="127">
        <f t="shared" si="1"/>
        <v>44805</v>
      </c>
      <c r="D789" s="128">
        <f t="shared" si="2"/>
        <v>44825</v>
      </c>
      <c r="E789" s="129">
        <f t="shared" si="3"/>
        <v>39</v>
      </c>
      <c r="F789" s="130" t="s">
        <v>26</v>
      </c>
      <c r="G789" s="131" t="s">
        <v>72</v>
      </c>
      <c r="H789" s="130" t="s">
        <v>121</v>
      </c>
      <c r="I789" s="132">
        <f t="shared" si="16"/>
        <v>12150</v>
      </c>
      <c r="J789" s="133" t="s">
        <v>122</v>
      </c>
      <c r="K789" s="134" t="s">
        <v>560</v>
      </c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0" customHeight="1">
      <c r="A790" s="25"/>
      <c r="B790" s="126">
        <v>44915.0</v>
      </c>
      <c r="C790" s="127">
        <f t="shared" si="1"/>
        <v>44896</v>
      </c>
      <c r="D790" s="128">
        <f t="shared" si="2"/>
        <v>44915</v>
      </c>
      <c r="E790" s="129">
        <f t="shared" si="3"/>
        <v>52</v>
      </c>
      <c r="F790" s="130" t="s">
        <v>26</v>
      </c>
      <c r="G790" s="131" t="s">
        <v>72</v>
      </c>
      <c r="H790" s="130" t="s">
        <v>121</v>
      </c>
      <c r="I790" s="132">
        <f t="shared" si="16"/>
        <v>12150</v>
      </c>
      <c r="J790" s="133" t="s">
        <v>125</v>
      </c>
      <c r="K790" s="134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0" customHeight="1">
      <c r="A791" s="25"/>
      <c r="B791" s="126">
        <v>44778.0</v>
      </c>
      <c r="C791" s="127">
        <f t="shared" si="1"/>
        <v>44774</v>
      </c>
      <c r="D791" s="128">
        <f t="shared" si="2"/>
        <v>44778</v>
      </c>
      <c r="E791" s="129">
        <f t="shared" si="3"/>
        <v>32</v>
      </c>
      <c r="F791" s="130" t="s">
        <v>26</v>
      </c>
      <c r="G791" s="131" t="s">
        <v>70</v>
      </c>
      <c r="H791" s="130" t="s">
        <v>124</v>
      </c>
      <c r="I791" s="132">
        <f>14270-2140</f>
        <v>12130</v>
      </c>
      <c r="J791" s="133" t="s">
        <v>125</v>
      </c>
      <c r="K791" s="134" t="s">
        <v>613</v>
      </c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0" customHeight="1">
      <c r="A792" s="25"/>
      <c r="B792" s="126">
        <v>44686.0</v>
      </c>
      <c r="C792" s="127">
        <f t="shared" si="1"/>
        <v>44682</v>
      </c>
      <c r="D792" s="128">
        <f t="shared" si="2"/>
        <v>44686</v>
      </c>
      <c r="E792" s="129">
        <f t="shared" si="3"/>
        <v>19</v>
      </c>
      <c r="F792" s="130" t="s">
        <v>26</v>
      </c>
      <c r="G792" s="131" t="s">
        <v>73</v>
      </c>
      <c r="H792" s="130" t="s">
        <v>124</v>
      </c>
      <c r="I792" s="132">
        <f>12600*0.95</f>
        <v>11970</v>
      </c>
      <c r="J792" s="133" t="s">
        <v>122</v>
      </c>
      <c r="K792" s="134" t="s">
        <v>614</v>
      </c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0" customHeight="1">
      <c r="A793" s="25"/>
      <c r="B793" s="126">
        <v>44849.0</v>
      </c>
      <c r="C793" s="127">
        <f t="shared" si="1"/>
        <v>44835</v>
      </c>
      <c r="D793" s="128">
        <f t="shared" si="2"/>
        <v>44849</v>
      </c>
      <c r="E793" s="129">
        <f t="shared" si="3"/>
        <v>42</v>
      </c>
      <c r="F793" s="130" t="s">
        <v>26</v>
      </c>
      <c r="G793" s="131" t="s">
        <v>79</v>
      </c>
      <c r="H793" s="130" t="s">
        <v>121</v>
      </c>
      <c r="I793" s="132">
        <f>13200*0.9</f>
        <v>11880</v>
      </c>
      <c r="J793" s="133" t="s">
        <v>125</v>
      </c>
      <c r="K793" s="134" t="s">
        <v>615</v>
      </c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0" customHeight="1">
      <c r="A794" s="25"/>
      <c r="B794" s="126">
        <v>44822.0</v>
      </c>
      <c r="C794" s="127">
        <f t="shared" si="1"/>
        <v>44805</v>
      </c>
      <c r="D794" s="128">
        <f t="shared" si="2"/>
        <v>44822</v>
      </c>
      <c r="E794" s="129">
        <f t="shared" si="3"/>
        <v>39</v>
      </c>
      <c r="F794" s="130" t="s">
        <v>26</v>
      </c>
      <c r="G794" s="131" t="s">
        <v>76</v>
      </c>
      <c r="H794" s="130" t="s">
        <v>124</v>
      </c>
      <c r="I794" s="132">
        <v>11820.0</v>
      </c>
      <c r="J794" s="133" t="s">
        <v>125</v>
      </c>
      <c r="K794" s="134" t="s">
        <v>616</v>
      </c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0" customHeight="1">
      <c r="A795" s="25"/>
      <c r="B795" s="126">
        <v>44888.0</v>
      </c>
      <c r="C795" s="127">
        <f t="shared" si="1"/>
        <v>44866</v>
      </c>
      <c r="D795" s="128">
        <f t="shared" si="2"/>
        <v>44888</v>
      </c>
      <c r="E795" s="129">
        <f t="shared" si="3"/>
        <v>48</v>
      </c>
      <c r="F795" s="130" t="s">
        <v>26</v>
      </c>
      <c r="G795" s="131" t="s">
        <v>70</v>
      </c>
      <c r="H795" s="130" t="s">
        <v>124</v>
      </c>
      <c r="I795" s="132">
        <v>11810.0</v>
      </c>
      <c r="J795" s="133" t="s">
        <v>125</v>
      </c>
      <c r="K795" s="134" t="s">
        <v>617</v>
      </c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0" customHeight="1">
      <c r="A796" s="25"/>
      <c r="B796" s="126">
        <v>44813.0</v>
      </c>
      <c r="C796" s="127">
        <f t="shared" si="1"/>
        <v>44805</v>
      </c>
      <c r="D796" s="128">
        <f t="shared" si="2"/>
        <v>44813</v>
      </c>
      <c r="E796" s="129">
        <f t="shared" si="3"/>
        <v>37</v>
      </c>
      <c r="F796" s="130" t="s">
        <v>26</v>
      </c>
      <c r="G796" s="131" t="s">
        <v>79</v>
      </c>
      <c r="H796" s="130" t="s">
        <v>124</v>
      </c>
      <c r="I796" s="132">
        <v>11800.0</v>
      </c>
      <c r="J796" s="133" t="s">
        <v>122</v>
      </c>
      <c r="K796" s="134" t="s">
        <v>618</v>
      </c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0" customHeight="1">
      <c r="A797" s="25"/>
      <c r="B797" s="126">
        <v>44609.0</v>
      </c>
      <c r="C797" s="127">
        <f t="shared" si="1"/>
        <v>44593</v>
      </c>
      <c r="D797" s="128">
        <f t="shared" si="2"/>
        <v>44609</v>
      </c>
      <c r="E797" s="129">
        <f t="shared" si="3"/>
        <v>8</v>
      </c>
      <c r="F797" s="130" t="s">
        <v>26</v>
      </c>
      <c r="G797" s="131" t="s">
        <v>76</v>
      </c>
      <c r="H797" s="130" t="s">
        <v>124</v>
      </c>
      <c r="I797" s="132">
        <f>13090-1309</f>
        <v>11781</v>
      </c>
      <c r="J797" s="133" t="s">
        <v>125</v>
      </c>
      <c r="K797" s="134" t="s">
        <v>616</v>
      </c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0" customHeight="1">
      <c r="A798" s="25"/>
      <c r="B798" s="126">
        <v>44752.0</v>
      </c>
      <c r="C798" s="127">
        <f t="shared" si="1"/>
        <v>44743</v>
      </c>
      <c r="D798" s="128">
        <f t="shared" si="2"/>
        <v>44752</v>
      </c>
      <c r="E798" s="129">
        <f t="shared" si="3"/>
        <v>29</v>
      </c>
      <c r="F798" s="130" t="s">
        <v>26</v>
      </c>
      <c r="G798" s="131" t="s">
        <v>79</v>
      </c>
      <c r="H798" s="130" t="s">
        <v>124</v>
      </c>
      <c r="I798" s="132">
        <v>11700.0</v>
      </c>
      <c r="J798" s="133" t="s">
        <v>125</v>
      </c>
      <c r="K798" s="134" t="s">
        <v>619</v>
      </c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0" customHeight="1">
      <c r="A799" s="25"/>
      <c r="B799" s="126">
        <v>44878.0</v>
      </c>
      <c r="C799" s="127">
        <f t="shared" si="1"/>
        <v>44866</v>
      </c>
      <c r="D799" s="128">
        <f t="shared" si="2"/>
        <v>44878</v>
      </c>
      <c r="E799" s="129">
        <f t="shared" si="3"/>
        <v>47</v>
      </c>
      <c r="F799" s="130" t="s">
        <v>26</v>
      </c>
      <c r="G799" s="131" t="s">
        <v>70</v>
      </c>
      <c r="H799" s="130" t="s">
        <v>124</v>
      </c>
      <c r="I799" s="132">
        <f>12870-1287</f>
        <v>11583</v>
      </c>
      <c r="J799" s="133" t="s">
        <v>125</v>
      </c>
      <c r="K799" s="134" t="s">
        <v>620</v>
      </c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0" customHeight="1">
      <c r="A800" s="25"/>
      <c r="B800" s="126">
        <v>44759.0</v>
      </c>
      <c r="C800" s="127">
        <f t="shared" si="1"/>
        <v>44743</v>
      </c>
      <c r="D800" s="128">
        <f t="shared" si="2"/>
        <v>44759</v>
      </c>
      <c r="E800" s="129">
        <f t="shared" si="3"/>
        <v>30</v>
      </c>
      <c r="F800" s="130" t="s">
        <v>26</v>
      </c>
      <c r="G800" s="131" t="s">
        <v>82</v>
      </c>
      <c r="H800" s="130" t="s">
        <v>124</v>
      </c>
      <c r="I800" s="132">
        <v>11519.0</v>
      </c>
      <c r="J800" s="133" t="s">
        <v>125</v>
      </c>
      <c r="K800" s="134" t="s">
        <v>621</v>
      </c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0" customHeight="1">
      <c r="A801" s="25"/>
      <c r="B801" s="126">
        <v>44814.0</v>
      </c>
      <c r="C801" s="127">
        <f t="shared" si="1"/>
        <v>44805</v>
      </c>
      <c r="D801" s="128">
        <f t="shared" si="2"/>
        <v>44814</v>
      </c>
      <c r="E801" s="129">
        <f t="shared" si="3"/>
        <v>37</v>
      </c>
      <c r="F801" s="130" t="s">
        <v>26</v>
      </c>
      <c r="G801" s="131" t="s">
        <v>87</v>
      </c>
      <c r="H801" s="130" t="s">
        <v>124</v>
      </c>
      <c r="I801" s="132">
        <v>11400.0</v>
      </c>
      <c r="J801" s="133" t="s">
        <v>125</v>
      </c>
      <c r="K801" s="134" t="s">
        <v>622</v>
      </c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0" customHeight="1">
      <c r="A802" s="25"/>
      <c r="B802" s="126">
        <v>44712.0</v>
      </c>
      <c r="C802" s="127">
        <f t="shared" si="1"/>
        <v>44682</v>
      </c>
      <c r="D802" s="128">
        <f t="shared" si="2"/>
        <v>44712</v>
      </c>
      <c r="E802" s="129">
        <f t="shared" si="3"/>
        <v>23</v>
      </c>
      <c r="F802" s="130" t="s">
        <v>24</v>
      </c>
      <c r="G802" s="131" t="s">
        <v>29</v>
      </c>
      <c r="H802" s="130" t="s">
        <v>124</v>
      </c>
      <c r="I802" s="132">
        <f>4400-880+9700-1940</f>
        <v>11280</v>
      </c>
      <c r="J802" s="133" t="s">
        <v>125</v>
      </c>
      <c r="K802" s="134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0" customHeight="1">
      <c r="A803" s="25"/>
      <c r="B803" s="126">
        <v>44767.0</v>
      </c>
      <c r="C803" s="127">
        <f t="shared" si="1"/>
        <v>44743</v>
      </c>
      <c r="D803" s="128">
        <f t="shared" si="2"/>
        <v>44767</v>
      </c>
      <c r="E803" s="129">
        <f t="shared" si="3"/>
        <v>31</v>
      </c>
      <c r="F803" s="130" t="s">
        <v>128</v>
      </c>
      <c r="G803" s="131" t="s">
        <v>129</v>
      </c>
      <c r="H803" s="130" t="s">
        <v>124</v>
      </c>
      <c r="I803" s="132">
        <f>8.66*1300</f>
        <v>11258</v>
      </c>
      <c r="J803" s="133" t="s">
        <v>122</v>
      </c>
      <c r="K803" s="134" t="s">
        <v>623</v>
      </c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0" customHeight="1">
      <c r="A804" s="25"/>
      <c r="B804" s="126">
        <v>44845.0</v>
      </c>
      <c r="C804" s="127">
        <f t="shared" si="1"/>
        <v>44835</v>
      </c>
      <c r="D804" s="128">
        <f t="shared" si="2"/>
        <v>44845</v>
      </c>
      <c r="E804" s="129">
        <f t="shared" si="3"/>
        <v>42</v>
      </c>
      <c r="F804" s="130" t="s">
        <v>26</v>
      </c>
      <c r="G804" s="131" t="s">
        <v>87</v>
      </c>
      <c r="H804" s="130" t="s">
        <v>124</v>
      </c>
      <c r="I804" s="132">
        <f>12500-1250</f>
        <v>11250</v>
      </c>
      <c r="J804" s="133" t="s">
        <v>125</v>
      </c>
      <c r="K804" s="134" t="s">
        <v>624</v>
      </c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0" customHeight="1">
      <c r="A805" s="25"/>
      <c r="B805" s="126">
        <v>44829.0</v>
      </c>
      <c r="C805" s="127">
        <f t="shared" si="1"/>
        <v>44805</v>
      </c>
      <c r="D805" s="128">
        <f t="shared" si="2"/>
        <v>44829</v>
      </c>
      <c r="E805" s="129">
        <f t="shared" si="3"/>
        <v>40</v>
      </c>
      <c r="F805" s="130" t="s">
        <v>26</v>
      </c>
      <c r="G805" s="131" t="s">
        <v>70</v>
      </c>
      <c r="H805" s="130" t="s">
        <v>124</v>
      </c>
      <c r="I805" s="132">
        <v>11210.0</v>
      </c>
      <c r="J805" s="133" t="s">
        <v>122</v>
      </c>
      <c r="K805" s="134" t="s">
        <v>625</v>
      </c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0" customHeight="1">
      <c r="A806" s="25"/>
      <c r="B806" s="126">
        <v>44784.0</v>
      </c>
      <c r="C806" s="127">
        <f t="shared" si="1"/>
        <v>44774</v>
      </c>
      <c r="D806" s="128">
        <f t="shared" si="2"/>
        <v>44784</v>
      </c>
      <c r="E806" s="129">
        <f t="shared" si="3"/>
        <v>33</v>
      </c>
      <c r="F806" s="130" t="s">
        <v>26</v>
      </c>
      <c r="G806" s="131" t="s">
        <v>70</v>
      </c>
      <c r="H806" s="130" t="s">
        <v>124</v>
      </c>
      <c r="I806" s="132">
        <v>11200.0</v>
      </c>
      <c r="J806" s="133" t="s">
        <v>125</v>
      </c>
      <c r="K806" s="134" t="s">
        <v>626</v>
      </c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0" customHeight="1">
      <c r="A807" s="25"/>
      <c r="B807" s="126">
        <v>44718.0</v>
      </c>
      <c r="C807" s="127">
        <f t="shared" si="1"/>
        <v>44713</v>
      </c>
      <c r="D807" s="128">
        <f t="shared" si="2"/>
        <v>44718</v>
      </c>
      <c r="E807" s="129">
        <f t="shared" si="3"/>
        <v>24</v>
      </c>
      <c r="F807" s="130" t="s">
        <v>26</v>
      </c>
      <c r="G807" s="131" t="s">
        <v>76</v>
      </c>
      <c r="H807" s="130" t="s">
        <v>124</v>
      </c>
      <c r="I807" s="132">
        <v>11180.0</v>
      </c>
      <c r="J807" s="133" t="s">
        <v>125</v>
      </c>
      <c r="K807" s="134" t="s">
        <v>167</v>
      </c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0" customHeight="1">
      <c r="A808" s="25"/>
      <c r="B808" s="126">
        <v>44865.0</v>
      </c>
      <c r="C808" s="127">
        <f t="shared" si="1"/>
        <v>44835</v>
      </c>
      <c r="D808" s="128">
        <f t="shared" si="2"/>
        <v>44865</v>
      </c>
      <c r="E808" s="129">
        <f t="shared" si="3"/>
        <v>45</v>
      </c>
      <c r="F808" s="130" t="s">
        <v>24</v>
      </c>
      <c r="G808" s="131" t="s">
        <v>54</v>
      </c>
      <c r="H808" s="130" t="s">
        <v>124</v>
      </c>
      <c r="I808" s="132">
        <v>11100.0</v>
      </c>
      <c r="J808" s="133" t="s">
        <v>122</v>
      </c>
      <c r="K808" s="134" t="s">
        <v>627</v>
      </c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0" customHeight="1">
      <c r="A809" s="25"/>
      <c r="B809" s="126">
        <v>44603.0</v>
      </c>
      <c r="C809" s="127">
        <f t="shared" si="1"/>
        <v>44593</v>
      </c>
      <c r="D809" s="128">
        <f t="shared" si="2"/>
        <v>44603</v>
      </c>
      <c r="E809" s="129">
        <f t="shared" si="3"/>
        <v>7</v>
      </c>
      <c r="F809" s="130" t="s">
        <v>26</v>
      </c>
      <c r="G809" s="131" t="s">
        <v>70</v>
      </c>
      <c r="H809" s="130" t="s">
        <v>124</v>
      </c>
      <c r="I809" s="132">
        <v>11060.0</v>
      </c>
      <c r="J809" s="133" t="s">
        <v>125</v>
      </c>
      <c r="K809" s="134" t="s">
        <v>628</v>
      </c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0" customHeight="1">
      <c r="A810" s="25"/>
      <c r="B810" s="126">
        <v>44674.0</v>
      </c>
      <c r="C810" s="127">
        <f t="shared" si="1"/>
        <v>44652</v>
      </c>
      <c r="D810" s="128">
        <f t="shared" si="2"/>
        <v>44674</v>
      </c>
      <c r="E810" s="129">
        <f t="shared" si="3"/>
        <v>17</v>
      </c>
      <c r="F810" s="130" t="s">
        <v>128</v>
      </c>
      <c r="G810" s="131" t="s">
        <v>172</v>
      </c>
      <c r="H810" s="130" t="s">
        <v>124</v>
      </c>
      <c r="I810" s="132">
        <f>13800*0.8</f>
        <v>11040</v>
      </c>
      <c r="J810" s="133" t="s">
        <v>125</v>
      </c>
      <c r="K810" s="134" t="s">
        <v>629</v>
      </c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0" customHeight="1">
      <c r="A811" s="25"/>
      <c r="B811" s="126">
        <v>44839.0</v>
      </c>
      <c r="C811" s="127">
        <f t="shared" si="1"/>
        <v>44835</v>
      </c>
      <c r="D811" s="128">
        <f t="shared" si="2"/>
        <v>44839</v>
      </c>
      <c r="E811" s="129">
        <f t="shared" si="3"/>
        <v>41</v>
      </c>
      <c r="F811" s="130" t="s">
        <v>26</v>
      </c>
      <c r="G811" s="131" t="s">
        <v>79</v>
      </c>
      <c r="H811" s="130" t="s">
        <v>124</v>
      </c>
      <c r="I811" s="132">
        <v>11000.0</v>
      </c>
      <c r="J811" s="133" t="s">
        <v>125</v>
      </c>
      <c r="K811" s="134" t="s">
        <v>630</v>
      </c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0" customHeight="1">
      <c r="A812" s="25"/>
      <c r="B812" s="126">
        <v>44571.0</v>
      </c>
      <c r="C812" s="127">
        <f t="shared" si="1"/>
        <v>44562</v>
      </c>
      <c r="D812" s="128">
        <f t="shared" si="2"/>
        <v>44571</v>
      </c>
      <c r="E812" s="129">
        <f t="shared" si="3"/>
        <v>3</v>
      </c>
      <c r="F812" s="130" t="s">
        <v>24</v>
      </c>
      <c r="G812" s="131" t="s">
        <v>32</v>
      </c>
      <c r="H812" s="130" t="s">
        <v>124</v>
      </c>
      <c r="I812" s="132">
        <f>20900-10000</f>
        <v>10900</v>
      </c>
      <c r="J812" s="133" t="s">
        <v>125</v>
      </c>
      <c r="K812" s="134" t="s">
        <v>631</v>
      </c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0" customHeight="1">
      <c r="A813" s="25"/>
      <c r="B813" s="126">
        <v>44602.0</v>
      </c>
      <c r="C813" s="127">
        <f t="shared" si="1"/>
        <v>44593</v>
      </c>
      <c r="D813" s="128">
        <f t="shared" si="2"/>
        <v>44602</v>
      </c>
      <c r="E813" s="129">
        <f t="shared" si="3"/>
        <v>7</v>
      </c>
      <c r="F813" s="130" t="s">
        <v>24</v>
      </c>
      <c r="G813" s="131" t="s">
        <v>32</v>
      </c>
      <c r="H813" s="130" t="s">
        <v>124</v>
      </c>
      <c r="I813" s="132">
        <v>10900.0</v>
      </c>
      <c r="J813" s="133" t="s">
        <v>125</v>
      </c>
      <c r="K813" s="134" t="s">
        <v>631</v>
      </c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0" customHeight="1">
      <c r="A814" s="25"/>
      <c r="B814" s="126">
        <v>44630.0</v>
      </c>
      <c r="C814" s="127">
        <f t="shared" si="1"/>
        <v>44621</v>
      </c>
      <c r="D814" s="128">
        <f t="shared" si="2"/>
        <v>44630</v>
      </c>
      <c r="E814" s="129">
        <f t="shared" si="3"/>
        <v>11</v>
      </c>
      <c r="F814" s="130" t="s">
        <v>24</v>
      </c>
      <c r="G814" s="131" t="s">
        <v>32</v>
      </c>
      <c r="H814" s="130" t="s">
        <v>124</v>
      </c>
      <c r="I814" s="132">
        <f t="shared" ref="I814:I815" si="17">20900-10000</f>
        <v>10900</v>
      </c>
      <c r="J814" s="133" t="s">
        <v>125</v>
      </c>
      <c r="K814" s="134" t="s">
        <v>631</v>
      </c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0" customHeight="1">
      <c r="A815" s="25"/>
      <c r="B815" s="126">
        <v>44662.0</v>
      </c>
      <c r="C815" s="127">
        <f t="shared" si="1"/>
        <v>44652</v>
      </c>
      <c r="D815" s="128">
        <f t="shared" si="2"/>
        <v>44662</v>
      </c>
      <c r="E815" s="129">
        <f t="shared" si="3"/>
        <v>16</v>
      </c>
      <c r="F815" s="130" t="s">
        <v>24</v>
      </c>
      <c r="G815" s="131" t="s">
        <v>32</v>
      </c>
      <c r="H815" s="130" t="s">
        <v>124</v>
      </c>
      <c r="I815" s="132">
        <f t="shared" si="17"/>
        <v>10900</v>
      </c>
      <c r="J815" s="133" t="s">
        <v>125</v>
      </c>
      <c r="K815" s="134" t="s">
        <v>631</v>
      </c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0" customHeight="1">
      <c r="A816" s="25"/>
      <c r="B816" s="126">
        <v>44691.0</v>
      </c>
      <c r="C816" s="127">
        <f t="shared" si="1"/>
        <v>44682</v>
      </c>
      <c r="D816" s="128">
        <f t="shared" si="2"/>
        <v>44691</v>
      </c>
      <c r="E816" s="129">
        <f t="shared" si="3"/>
        <v>20</v>
      </c>
      <c r="F816" s="130" t="s">
        <v>24</v>
      </c>
      <c r="G816" s="131" t="s">
        <v>32</v>
      </c>
      <c r="H816" s="130" t="s">
        <v>124</v>
      </c>
      <c r="I816" s="132">
        <v>10900.0</v>
      </c>
      <c r="J816" s="133" t="s">
        <v>125</v>
      </c>
      <c r="K816" s="134" t="s">
        <v>631</v>
      </c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0" customHeight="1">
      <c r="A817" s="25"/>
      <c r="B817" s="126">
        <v>44722.0</v>
      </c>
      <c r="C817" s="127">
        <f t="shared" si="1"/>
        <v>44713</v>
      </c>
      <c r="D817" s="128">
        <f t="shared" si="2"/>
        <v>44722</v>
      </c>
      <c r="E817" s="129">
        <f t="shared" si="3"/>
        <v>24</v>
      </c>
      <c r="F817" s="130" t="s">
        <v>24</v>
      </c>
      <c r="G817" s="131" t="s">
        <v>32</v>
      </c>
      <c r="H817" s="130" t="s">
        <v>124</v>
      </c>
      <c r="I817" s="132">
        <f t="shared" ref="I817:I818" si="18">20900-10000</f>
        <v>10900</v>
      </c>
      <c r="J817" s="133" t="s">
        <v>125</v>
      </c>
      <c r="K817" s="134" t="s">
        <v>631</v>
      </c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0" customHeight="1">
      <c r="A818" s="25"/>
      <c r="B818" s="126">
        <v>44753.0</v>
      </c>
      <c r="C818" s="127">
        <f t="shared" si="1"/>
        <v>44743</v>
      </c>
      <c r="D818" s="128">
        <f t="shared" si="2"/>
        <v>44753</v>
      </c>
      <c r="E818" s="129">
        <f t="shared" si="3"/>
        <v>29</v>
      </c>
      <c r="F818" s="130" t="s">
        <v>24</v>
      </c>
      <c r="G818" s="131" t="s">
        <v>32</v>
      </c>
      <c r="H818" s="130" t="s">
        <v>124</v>
      </c>
      <c r="I818" s="132">
        <f t="shared" si="18"/>
        <v>10900</v>
      </c>
      <c r="J818" s="133" t="s">
        <v>125</v>
      </c>
      <c r="K818" s="134" t="s">
        <v>631</v>
      </c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0" customHeight="1">
      <c r="A819" s="25"/>
      <c r="B819" s="126">
        <v>44916.0</v>
      </c>
      <c r="C819" s="127">
        <f t="shared" si="1"/>
        <v>44896</v>
      </c>
      <c r="D819" s="128">
        <f t="shared" si="2"/>
        <v>44916</v>
      </c>
      <c r="E819" s="129">
        <f t="shared" si="3"/>
        <v>52</v>
      </c>
      <c r="F819" s="130" t="s">
        <v>26</v>
      </c>
      <c r="G819" s="131" t="s">
        <v>70</v>
      </c>
      <c r="H819" s="130" t="s">
        <v>124</v>
      </c>
      <c r="I819" s="132">
        <f>11370-568</f>
        <v>10802</v>
      </c>
      <c r="J819" s="133" t="s">
        <v>125</v>
      </c>
      <c r="K819" s="134" t="s">
        <v>632</v>
      </c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0" customHeight="1">
      <c r="A820" s="25"/>
      <c r="B820" s="126">
        <v>44563.0</v>
      </c>
      <c r="C820" s="127">
        <f t="shared" si="1"/>
        <v>44562</v>
      </c>
      <c r="D820" s="128">
        <f t="shared" si="2"/>
        <v>44563</v>
      </c>
      <c r="E820" s="129">
        <f t="shared" si="3"/>
        <v>2</v>
      </c>
      <c r="F820" s="130" t="s">
        <v>26</v>
      </c>
      <c r="G820" s="131" t="s">
        <v>79</v>
      </c>
      <c r="H820" s="130" t="s">
        <v>124</v>
      </c>
      <c r="I820" s="132">
        <v>10800.0</v>
      </c>
      <c r="J820" s="133" t="s">
        <v>125</v>
      </c>
      <c r="K820" s="134" t="s">
        <v>633</v>
      </c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0" customHeight="1">
      <c r="A821" s="25"/>
      <c r="B821" s="126">
        <v>44897.0</v>
      </c>
      <c r="C821" s="127">
        <f t="shared" si="1"/>
        <v>44896</v>
      </c>
      <c r="D821" s="128">
        <f t="shared" si="2"/>
        <v>44897</v>
      </c>
      <c r="E821" s="129">
        <f t="shared" si="3"/>
        <v>49</v>
      </c>
      <c r="F821" s="130" t="s">
        <v>26</v>
      </c>
      <c r="G821" s="131" t="s">
        <v>76</v>
      </c>
      <c r="H821" s="130" t="s">
        <v>124</v>
      </c>
      <c r="I821" s="132">
        <f>11930-1193</f>
        <v>10737</v>
      </c>
      <c r="J821" s="133" t="s">
        <v>125</v>
      </c>
      <c r="K821" s="134" t="s">
        <v>634</v>
      </c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0" customHeight="1">
      <c r="A822" s="25"/>
      <c r="B822" s="126">
        <v>44592.0</v>
      </c>
      <c r="C822" s="127">
        <f t="shared" si="1"/>
        <v>44562</v>
      </c>
      <c r="D822" s="128">
        <f t="shared" si="2"/>
        <v>44592</v>
      </c>
      <c r="E822" s="129">
        <f t="shared" si="3"/>
        <v>6</v>
      </c>
      <c r="F822" s="130" t="s">
        <v>26</v>
      </c>
      <c r="G822" s="131" t="s">
        <v>87</v>
      </c>
      <c r="H822" s="130" t="s">
        <v>124</v>
      </c>
      <c r="I822" s="132">
        <v>10700.0</v>
      </c>
      <c r="J822" s="133" t="s">
        <v>125</v>
      </c>
      <c r="K822" s="134" t="s">
        <v>635</v>
      </c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0" customHeight="1">
      <c r="A823" s="25"/>
      <c r="B823" s="126">
        <v>44781.0</v>
      </c>
      <c r="C823" s="127">
        <f t="shared" si="1"/>
        <v>44774</v>
      </c>
      <c r="D823" s="128">
        <f t="shared" si="2"/>
        <v>44781</v>
      </c>
      <c r="E823" s="129">
        <f t="shared" si="3"/>
        <v>33</v>
      </c>
      <c r="F823" s="130" t="s">
        <v>24</v>
      </c>
      <c r="G823" s="131" t="s">
        <v>54</v>
      </c>
      <c r="H823" s="130" t="s">
        <v>124</v>
      </c>
      <c r="I823" s="132">
        <v>10600.0</v>
      </c>
      <c r="J823" s="133" t="s">
        <v>122</v>
      </c>
      <c r="K823" s="134" t="s">
        <v>636</v>
      </c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0" customHeight="1">
      <c r="A824" s="25"/>
      <c r="B824" s="126">
        <v>44760.0</v>
      </c>
      <c r="C824" s="127">
        <f t="shared" si="1"/>
        <v>44743</v>
      </c>
      <c r="D824" s="128">
        <f t="shared" si="2"/>
        <v>44760</v>
      </c>
      <c r="E824" s="129">
        <f t="shared" si="3"/>
        <v>30</v>
      </c>
      <c r="F824" s="130" t="s">
        <v>26</v>
      </c>
      <c r="G824" s="131" t="s">
        <v>82</v>
      </c>
      <c r="H824" s="130" t="s">
        <v>124</v>
      </c>
      <c r="I824" s="132">
        <v>10570.0</v>
      </c>
      <c r="J824" s="133" t="s">
        <v>125</v>
      </c>
      <c r="K824" s="134" t="s">
        <v>637</v>
      </c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0" customHeight="1">
      <c r="A825" s="25"/>
      <c r="B825" s="126">
        <v>44880.0</v>
      </c>
      <c r="C825" s="127">
        <f t="shared" si="1"/>
        <v>44866</v>
      </c>
      <c r="D825" s="128">
        <f t="shared" si="2"/>
        <v>44880</v>
      </c>
      <c r="E825" s="129">
        <f t="shared" si="3"/>
        <v>47</v>
      </c>
      <c r="F825" s="130" t="s">
        <v>26</v>
      </c>
      <c r="G825" s="131" t="s">
        <v>82</v>
      </c>
      <c r="H825" s="130" t="s">
        <v>124</v>
      </c>
      <c r="I825" s="132">
        <v>10538.0</v>
      </c>
      <c r="J825" s="133" t="s">
        <v>125</v>
      </c>
      <c r="K825" s="134" t="s">
        <v>638</v>
      </c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0" customHeight="1">
      <c r="A826" s="25"/>
      <c r="B826" s="126">
        <v>44674.0</v>
      </c>
      <c r="C826" s="127">
        <f t="shared" si="1"/>
        <v>44652</v>
      </c>
      <c r="D826" s="128">
        <f t="shared" si="2"/>
        <v>44674</v>
      </c>
      <c r="E826" s="129">
        <f t="shared" si="3"/>
        <v>17</v>
      </c>
      <c r="F826" s="130" t="s">
        <v>128</v>
      </c>
      <c r="G826" s="131" t="s">
        <v>172</v>
      </c>
      <c r="H826" s="130" t="s">
        <v>124</v>
      </c>
      <c r="I826" s="132">
        <v>10500.0</v>
      </c>
      <c r="J826" s="133" t="s">
        <v>125</v>
      </c>
      <c r="K826" s="134" t="s">
        <v>639</v>
      </c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0" customHeight="1">
      <c r="A827" s="25"/>
      <c r="B827" s="126">
        <v>44792.0</v>
      </c>
      <c r="C827" s="127">
        <f t="shared" si="1"/>
        <v>44774</v>
      </c>
      <c r="D827" s="128">
        <f t="shared" si="2"/>
        <v>44792</v>
      </c>
      <c r="E827" s="129">
        <f t="shared" si="3"/>
        <v>34</v>
      </c>
      <c r="F827" s="130" t="s">
        <v>24</v>
      </c>
      <c r="G827" s="131" t="s">
        <v>38</v>
      </c>
      <c r="H827" s="130" t="s">
        <v>124</v>
      </c>
      <c r="I827" s="132">
        <v>10500.0</v>
      </c>
      <c r="J827" s="133" t="s">
        <v>122</v>
      </c>
      <c r="K827" s="134" t="s">
        <v>640</v>
      </c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0" customHeight="1">
      <c r="A828" s="25"/>
      <c r="B828" s="126">
        <v>44687.0</v>
      </c>
      <c r="C828" s="127">
        <f t="shared" si="1"/>
        <v>44682</v>
      </c>
      <c r="D828" s="128">
        <f t="shared" si="2"/>
        <v>44687</v>
      </c>
      <c r="E828" s="129">
        <f t="shared" si="3"/>
        <v>19</v>
      </c>
      <c r="F828" s="130" t="s">
        <v>24</v>
      </c>
      <c r="G828" s="131" t="s">
        <v>34</v>
      </c>
      <c r="H828" s="130" t="s">
        <v>124</v>
      </c>
      <c r="I828" s="132">
        <f t="shared" ref="I828:I829" si="19">11000*0.95</f>
        <v>10450</v>
      </c>
      <c r="J828" s="133" t="s">
        <v>122</v>
      </c>
      <c r="K828" s="134" t="s">
        <v>641</v>
      </c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0" customHeight="1">
      <c r="A829" s="25"/>
      <c r="B829" s="126">
        <v>44843.0</v>
      </c>
      <c r="C829" s="127">
        <f t="shared" si="1"/>
        <v>44835</v>
      </c>
      <c r="D829" s="128">
        <f t="shared" si="2"/>
        <v>44843</v>
      </c>
      <c r="E829" s="129">
        <f t="shared" si="3"/>
        <v>42</v>
      </c>
      <c r="F829" s="130" t="s">
        <v>24</v>
      </c>
      <c r="G829" s="131" t="s">
        <v>34</v>
      </c>
      <c r="H829" s="130" t="s">
        <v>124</v>
      </c>
      <c r="I829" s="132">
        <f t="shared" si="19"/>
        <v>10450</v>
      </c>
      <c r="J829" s="133" t="s">
        <v>122</v>
      </c>
      <c r="K829" s="134" t="s">
        <v>642</v>
      </c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0" customHeight="1">
      <c r="A830" s="25"/>
      <c r="B830" s="126">
        <v>44816.0</v>
      </c>
      <c r="C830" s="127">
        <f t="shared" si="1"/>
        <v>44805</v>
      </c>
      <c r="D830" s="128">
        <f t="shared" si="2"/>
        <v>44816</v>
      </c>
      <c r="E830" s="129">
        <f t="shared" si="3"/>
        <v>38</v>
      </c>
      <c r="F830" s="130" t="s">
        <v>26</v>
      </c>
      <c r="G830" s="131" t="s">
        <v>79</v>
      </c>
      <c r="H830" s="130" t="s">
        <v>124</v>
      </c>
      <c r="I830" s="132">
        <v>10440.0</v>
      </c>
      <c r="J830" s="133" t="s">
        <v>125</v>
      </c>
      <c r="K830" s="134" t="s">
        <v>643</v>
      </c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0" customHeight="1">
      <c r="A831" s="25"/>
      <c r="B831" s="126">
        <v>44920.0</v>
      </c>
      <c r="C831" s="127">
        <f t="shared" si="1"/>
        <v>44896</v>
      </c>
      <c r="D831" s="128">
        <f t="shared" si="2"/>
        <v>44920</v>
      </c>
      <c r="E831" s="129">
        <f t="shared" si="3"/>
        <v>53</v>
      </c>
      <c r="F831" s="130" t="s">
        <v>26</v>
      </c>
      <c r="G831" s="131" t="s">
        <v>87</v>
      </c>
      <c r="H831" s="130" t="s">
        <v>124</v>
      </c>
      <c r="I831" s="132">
        <f>11600-1160</f>
        <v>10440</v>
      </c>
      <c r="J831" s="133" t="s">
        <v>125</v>
      </c>
      <c r="K831" s="134" t="s">
        <v>644</v>
      </c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0" customHeight="1">
      <c r="A832" s="25"/>
      <c r="B832" s="126">
        <v>44702.0</v>
      </c>
      <c r="C832" s="127">
        <f t="shared" si="1"/>
        <v>44682</v>
      </c>
      <c r="D832" s="128">
        <f t="shared" si="2"/>
        <v>44702</v>
      </c>
      <c r="E832" s="129">
        <f t="shared" si="3"/>
        <v>21</v>
      </c>
      <c r="F832" s="130" t="s">
        <v>26</v>
      </c>
      <c r="G832" s="131" t="s">
        <v>70</v>
      </c>
      <c r="H832" s="130" t="s">
        <v>124</v>
      </c>
      <c r="I832" s="132">
        <v>10270.0</v>
      </c>
      <c r="J832" s="133" t="s">
        <v>122</v>
      </c>
      <c r="K832" s="134" t="s">
        <v>645</v>
      </c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0" customHeight="1">
      <c r="A833" s="25"/>
      <c r="B833" s="126">
        <v>44598.0</v>
      </c>
      <c r="C833" s="127">
        <f t="shared" si="1"/>
        <v>44593</v>
      </c>
      <c r="D833" s="128">
        <f t="shared" si="2"/>
        <v>44598</v>
      </c>
      <c r="E833" s="129">
        <f t="shared" si="3"/>
        <v>7</v>
      </c>
      <c r="F833" s="130" t="s">
        <v>26</v>
      </c>
      <c r="G833" s="131" t="s">
        <v>70</v>
      </c>
      <c r="H833" s="130" t="s">
        <v>124</v>
      </c>
      <c r="I833" s="132">
        <f>3600*3*0.95</f>
        <v>10260</v>
      </c>
      <c r="J833" s="133" t="s">
        <v>122</v>
      </c>
      <c r="K833" s="134" t="s">
        <v>646</v>
      </c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0" customHeight="1">
      <c r="A834" s="25"/>
      <c r="B834" s="126">
        <v>44791.0</v>
      </c>
      <c r="C834" s="127">
        <f t="shared" si="1"/>
        <v>44774</v>
      </c>
      <c r="D834" s="128">
        <f t="shared" si="2"/>
        <v>44791</v>
      </c>
      <c r="E834" s="129">
        <f t="shared" si="3"/>
        <v>34</v>
      </c>
      <c r="F834" s="130" t="s">
        <v>26</v>
      </c>
      <c r="G834" s="131" t="s">
        <v>70</v>
      </c>
      <c r="H834" s="130" t="s">
        <v>124</v>
      </c>
      <c r="I834" s="132">
        <f>10800-540</f>
        <v>10260</v>
      </c>
      <c r="J834" s="133" t="s">
        <v>125</v>
      </c>
      <c r="K834" s="134" t="s">
        <v>647</v>
      </c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0" customHeight="1">
      <c r="A835" s="25"/>
      <c r="B835" s="126">
        <v>44591.0</v>
      </c>
      <c r="C835" s="127">
        <f t="shared" si="1"/>
        <v>44562</v>
      </c>
      <c r="D835" s="128">
        <f t="shared" si="2"/>
        <v>44591</v>
      </c>
      <c r="E835" s="129">
        <f t="shared" si="3"/>
        <v>6</v>
      </c>
      <c r="F835" s="130" t="s">
        <v>26</v>
      </c>
      <c r="G835" s="131" t="s">
        <v>87</v>
      </c>
      <c r="H835" s="130" t="s">
        <v>124</v>
      </c>
      <c r="I835" s="132">
        <v>10100.0</v>
      </c>
      <c r="J835" s="133" t="s">
        <v>125</v>
      </c>
      <c r="K835" s="134" t="s">
        <v>635</v>
      </c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0" customHeight="1">
      <c r="A836" s="25"/>
      <c r="B836" s="126">
        <v>44867.0</v>
      </c>
      <c r="C836" s="127">
        <f t="shared" si="1"/>
        <v>44866</v>
      </c>
      <c r="D836" s="128">
        <f t="shared" si="2"/>
        <v>44867</v>
      </c>
      <c r="E836" s="129">
        <f t="shared" si="3"/>
        <v>45</v>
      </c>
      <c r="F836" s="130" t="s">
        <v>26</v>
      </c>
      <c r="G836" s="131" t="s">
        <v>70</v>
      </c>
      <c r="H836" s="130" t="s">
        <v>124</v>
      </c>
      <c r="I836" s="132">
        <f>11190-1119</f>
        <v>10071</v>
      </c>
      <c r="J836" s="133" t="s">
        <v>125</v>
      </c>
      <c r="K836" s="134" t="s">
        <v>648</v>
      </c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0" customHeight="1">
      <c r="A837" s="25"/>
      <c r="B837" s="126">
        <v>44632.0</v>
      </c>
      <c r="C837" s="127">
        <f t="shared" si="1"/>
        <v>44621</v>
      </c>
      <c r="D837" s="128">
        <f t="shared" si="2"/>
        <v>44632</v>
      </c>
      <c r="E837" s="129">
        <f t="shared" si="3"/>
        <v>11</v>
      </c>
      <c r="F837" s="130" t="s">
        <v>24</v>
      </c>
      <c r="G837" s="131" t="s">
        <v>34</v>
      </c>
      <c r="H837" s="130" t="s">
        <v>121</v>
      </c>
      <c r="I837" s="132">
        <v>10000.0</v>
      </c>
      <c r="J837" s="133" t="s">
        <v>125</v>
      </c>
      <c r="K837" s="134" t="s">
        <v>649</v>
      </c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0" customHeight="1">
      <c r="A838" s="25"/>
      <c r="B838" s="126">
        <v>44673.0</v>
      </c>
      <c r="C838" s="127">
        <f t="shared" si="1"/>
        <v>44652</v>
      </c>
      <c r="D838" s="128">
        <f t="shared" si="2"/>
        <v>44673</v>
      </c>
      <c r="E838" s="129">
        <f t="shared" si="3"/>
        <v>17</v>
      </c>
      <c r="F838" s="130" t="s">
        <v>128</v>
      </c>
      <c r="G838" s="131" t="s">
        <v>172</v>
      </c>
      <c r="H838" s="130" t="s">
        <v>124</v>
      </c>
      <c r="I838" s="132">
        <v>10000.0</v>
      </c>
      <c r="J838" s="133" t="s">
        <v>122</v>
      </c>
      <c r="K838" s="134" t="s">
        <v>650</v>
      </c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0" customHeight="1">
      <c r="A839" s="25"/>
      <c r="B839" s="126">
        <v>44761.0</v>
      </c>
      <c r="C839" s="127">
        <f t="shared" si="1"/>
        <v>44743</v>
      </c>
      <c r="D839" s="128">
        <f t="shared" si="2"/>
        <v>44761</v>
      </c>
      <c r="E839" s="129">
        <f t="shared" si="3"/>
        <v>30</v>
      </c>
      <c r="F839" s="130" t="s">
        <v>128</v>
      </c>
      <c r="G839" s="131" t="s">
        <v>129</v>
      </c>
      <c r="H839" s="130" t="s">
        <v>121</v>
      </c>
      <c r="I839" s="132">
        <v>10000.0</v>
      </c>
      <c r="J839" s="133" t="s">
        <v>125</v>
      </c>
      <c r="K839" s="134" t="s">
        <v>651</v>
      </c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0" customHeight="1">
      <c r="A840" s="25"/>
      <c r="B840" s="126">
        <v>44802.0</v>
      </c>
      <c r="C840" s="127">
        <f t="shared" si="1"/>
        <v>44774</v>
      </c>
      <c r="D840" s="128">
        <f t="shared" si="2"/>
        <v>44802</v>
      </c>
      <c r="E840" s="129">
        <f t="shared" si="3"/>
        <v>36</v>
      </c>
      <c r="F840" s="130" t="s">
        <v>26</v>
      </c>
      <c r="G840" s="131" t="s">
        <v>79</v>
      </c>
      <c r="H840" s="130" t="s">
        <v>124</v>
      </c>
      <c r="I840" s="132">
        <v>10000.0</v>
      </c>
      <c r="J840" s="133" t="s">
        <v>125</v>
      </c>
      <c r="K840" s="134" t="s">
        <v>652</v>
      </c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0" customHeight="1">
      <c r="A841" s="25"/>
      <c r="B841" s="126">
        <v>44880.0</v>
      </c>
      <c r="C841" s="127">
        <f t="shared" si="1"/>
        <v>44866</v>
      </c>
      <c r="D841" s="128">
        <f t="shared" si="2"/>
        <v>44880</v>
      </c>
      <c r="E841" s="129">
        <f t="shared" si="3"/>
        <v>47</v>
      </c>
      <c r="F841" s="130" t="s">
        <v>26</v>
      </c>
      <c r="G841" s="131" t="s">
        <v>70</v>
      </c>
      <c r="H841" s="130" t="s">
        <v>121</v>
      </c>
      <c r="I841" s="132">
        <v>10000.0</v>
      </c>
      <c r="J841" s="133" t="s">
        <v>122</v>
      </c>
      <c r="K841" s="134" t="s">
        <v>653</v>
      </c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0" customHeight="1">
      <c r="A842" s="25"/>
      <c r="B842" s="126">
        <v>44886.0</v>
      </c>
      <c r="C842" s="127">
        <f t="shared" si="1"/>
        <v>44866</v>
      </c>
      <c r="D842" s="128">
        <f t="shared" si="2"/>
        <v>44886</v>
      </c>
      <c r="E842" s="129">
        <f t="shared" si="3"/>
        <v>48</v>
      </c>
      <c r="F842" s="130" t="s">
        <v>26</v>
      </c>
      <c r="G842" s="131" t="s">
        <v>79</v>
      </c>
      <c r="H842" s="130" t="s">
        <v>124</v>
      </c>
      <c r="I842" s="132">
        <v>10000.0</v>
      </c>
      <c r="J842" s="133" t="s">
        <v>122</v>
      </c>
      <c r="K842" s="134" t="s">
        <v>654</v>
      </c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0" customHeight="1">
      <c r="A843" s="25"/>
      <c r="B843" s="126">
        <v>44703.0</v>
      </c>
      <c r="C843" s="127">
        <f t="shared" si="1"/>
        <v>44682</v>
      </c>
      <c r="D843" s="128">
        <f t="shared" si="2"/>
        <v>44703</v>
      </c>
      <c r="E843" s="129">
        <f t="shared" si="3"/>
        <v>22</v>
      </c>
      <c r="F843" s="130" t="s">
        <v>26</v>
      </c>
      <c r="G843" s="131" t="s">
        <v>70</v>
      </c>
      <c r="H843" s="130" t="s">
        <v>121</v>
      </c>
      <c r="I843" s="132">
        <f>11000*0.9</f>
        <v>9900</v>
      </c>
      <c r="J843" s="133" t="s">
        <v>125</v>
      </c>
      <c r="K843" s="134" t="s">
        <v>655</v>
      </c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0" customHeight="1">
      <c r="A844" s="25"/>
      <c r="B844" s="126">
        <v>44733.0</v>
      </c>
      <c r="C844" s="127">
        <f t="shared" si="1"/>
        <v>44713</v>
      </c>
      <c r="D844" s="128">
        <f t="shared" si="2"/>
        <v>44733</v>
      </c>
      <c r="E844" s="129">
        <f t="shared" si="3"/>
        <v>26</v>
      </c>
      <c r="F844" s="130" t="s">
        <v>26</v>
      </c>
      <c r="G844" s="131" t="s">
        <v>79</v>
      </c>
      <c r="H844" s="130" t="s">
        <v>124</v>
      </c>
      <c r="I844" s="132">
        <v>9900.0</v>
      </c>
      <c r="J844" s="133" t="s">
        <v>125</v>
      </c>
      <c r="K844" s="134" t="s">
        <v>656</v>
      </c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0" customHeight="1">
      <c r="A845" s="25"/>
      <c r="B845" s="126">
        <v>44839.0</v>
      </c>
      <c r="C845" s="127">
        <f t="shared" si="1"/>
        <v>44835</v>
      </c>
      <c r="D845" s="128">
        <f t="shared" si="2"/>
        <v>44839</v>
      </c>
      <c r="E845" s="129">
        <f t="shared" si="3"/>
        <v>41</v>
      </c>
      <c r="F845" s="130" t="s">
        <v>26</v>
      </c>
      <c r="G845" s="131" t="s">
        <v>79</v>
      </c>
      <c r="H845" s="130" t="s">
        <v>121</v>
      </c>
      <c r="I845" s="132">
        <f>11000*0.9</f>
        <v>9900</v>
      </c>
      <c r="J845" s="133" t="s">
        <v>125</v>
      </c>
      <c r="K845" s="134" t="s">
        <v>657</v>
      </c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0" customHeight="1">
      <c r="A846" s="25"/>
      <c r="B846" s="126">
        <v>44759.0</v>
      </c>
      <c r="C846" s="127">
        <f t="shared" si="1"/>
        <v>44743</v>
      </c>
      <c r="D846" s="128">
        <f t="shared" si="2"/>
        <v>44759</v>
      </c>
      <c r="E846" s="129">
        <f t="shared" si="3"/>
        <v>30</v>
      </c>
      <c r="F846" s="130" t="s">
        <v>26</v>
      </c>
      <c r="G846" s="131" t="s">
        <v>87</v>
      </c>
      <c r="H846" s="130" t="s">
        <v>124</v>
      </c>
      <c r="I846" s="132">
        <f>19700-9850</f>
        <v>9850</v>
      </c>
      <c r="J846" s="133" t="s">
        <v>125</v>
      </c>
      <c r="K846" s="134" t="s">
        <v>658</v>
      </c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0" customHeight="1">
      <c r="A847" s="25"/>
      <c r="B847" s="126">
        <v>44717.0</v>
      </c>
      <c r="C847" s="127">
        <f t="shared" si="1"/>
        <v>44713</v>
      </c>
      <c r="D847" s="128">
        <f t="shared" si="2"/>
        <v>44717</v>
      </c>
      <c r="E847" s="129">
        <f t="shared" si="3"/>
        <v>24</v>
      </c>
      <c r="F847" s="130" t="s">
        <v>26</v>
      </c>
      <c r="G847" s="131" t="s">
        <v>73</v>
      </c>
      <c r="H847" s="130" t="s">
        <v>124</v>
      </c>
      <c r="I847" s="132">
        <f>29000-19200</f>
        <v>9800</v>
      </c>
      <c r="J847" s="133" t="s">
        <v>122</v>
      </c>
      <c r="K847" s="134" t="s">
        <v>659</v>
      </c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0" customHeight="1">
      <c r="A848" s="25"/>
      <c r="B848" s="126">
        <v>44811.0</v>
      </c>
      <c r="C848" s="127">
        <f t="shared" si="1"/>
        <v>44805</v>
      </c>
      <c r="D848" s="128">
        <f t="shared" si="2"/>
        <v>44811</v>
      </c>
      <c r="E848" s="129">
        <f t="shared" si="3"/>
        <v>37</v>
      </c>
      <c r="F848" s="130" t="s">
        <v>24</v>
      </c>
      <c r="G848" s="131" t="s">
        <v>54</v>
      </c>
      <c r="H848" s="130" t="s">
        <v>124</v>
      </c>
      <c r="I848" s="132">
        <v>9750.0</v>
      </c>
      <c r="J848" s="133" t="s">
        <v>122</v>
      </c>
      <c r="K848" s="134" t="s">
        <v>660</v>
      </c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0" customHeight="1">
      <c r="A849" s="25"/>
      <c r="B849" s="126">
        <v>44739.0</v>
      </c>
      <c r="C849" s="127">
        <f t="shared" si="1"/>
        <v>44713</v>
      </c>
      <c r="D849" s="128">
        <f t="shared" si="2"/>
        <v>44739</v>
      </c>
      <c r="E849" s="129">
        <f t="shared" si="3"/>
        <v>27</v>
      </c>
      <c r="F849" s="130" t="s">
        <v>24</v>
      </c>
      <c r="G849" s="131" t="s">
        <v>52</v>
      </c>
      <c r="H849" s="130" t="s">
        <v>124</v>
      </c>
      <c r="I849" s="132">
        <v>9716.0</v>
      </c>
      <c r="J849" s="133" t="s">
        <v>122</v>
      </c>
      <c r="K849" s="134" t="s">
        <v>661</v>
      </c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0" customHeight="1">
      <c r="A850" s="25"/>
      <c r="B850" s="126">
        <v>44635.0</v>
      </c>
      <c r="C850" s="127">
        <f t="shared" si="1"/>
        <v>44621</v>
      </c>
      <c r="D850" s="128">
        <f t="shared" si="2"/>
        <v>44635</v>
      </c>
      <c r="E850" s="129">
        <f t="shared" si="3"/>
        <v>12</v>
      </c>
      <c r="F850" s="130" t="s">
        <v>26</v>
      </c>
      <c r="G850" s="131" t="s">
        <v>70</v>
      </c>
      <c r="H850" s="130" t="s">
        <v>124</v>
      </c>
      <c r="I850" s="132">
        <v>9680.0</v>
      </c>
      <c r="J850" s="133" t="s">
        <v>122</v>
      </c>
      <c r="K850" s="134" t="s">
        <v>662</v>
      </c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0" customHeight="1">
      <c r="A851" s="25"/>
      <c r="B851" s="126">
        <v>44566.0</v>
      </c>
      <c r="C851" s="127">
        <f t="shared" si="1"/>
        <v>44562</v>
      </c>
      <c r="D851" s="128">
        <f t="shared" si="2"/>
        <v>44566</v>
      </c>
      <c r="E851" s="129">
        <f t="shared" si="3"/>
        <v>2</v>
      </c>
      <c r="F851" s="130" t="s">
        <v>24</v>
      </c>
      <c r="G851" s="131" t="s">
        <v>41</v>
      </c>
      <c r="H851" s="130" t="s">
        <v>121</v>
      </c>
      <c r="I851" s="132">
        <v>9600.0</v>
      </c>
      <c r="J851" s="133" t="s">
        <v>122</v>
      </c>
      <c r="K851" s="134" t="s">
        <v>663</v>
      </c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0" customHeight="1">
      <c r="A852" s="25"/>
      <c r="B852" s="126">
        <v>44599.0</v>
      </c>
      <c r="C852" s="127">
        <f t="shared" si="1"/>
        <v>44593</v>
      </c>
      <c r="D852" s="128">
        <f t="shared" si="2"/>
        <v>44599</v>
      </c>
      <c r="E852" s="129">
        <f t="shared" si="3"/>
        <v>7</v>
      </c>
      <c r="F852" s="130" t="s">
        <v>24</v>
      </c>
      <c r="G852" s="131" t="s">
        <v>41</v>
      </c>
      <c r="H852" s="130" t="s">
        <v>124</v>
      </c>
      <c r="I852" s="132">
        <v>9600.0</v>
      </c>
      <c r="J852" s="133" t="s">
        <v>122</v>
      </c>
      <c r="K852" s="134" t="s">
        <v>663</v>
      </c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0" customHeight="1">
      <c r="A853" s="25"/>
      <c r="B853" s="126">
        <v>44627.0</v>
      </c>
      <c r="C853" s="127">
        <f t="shared" si="1"/>
        <v>44621</v>
      </c>
      <c r="D853" s="128">
        <f t="shared" si="2"/>
        <v>44627</v>
      </c>
      <c r="E853" s="129">
        <f t="shared" si="3"/>
        <v>11</v>
      </c>
      <c r="F853" s="130" t="s">
        <v>24</v>
      </c>
      <c r="G853" s="131" t="s">
        <v>41</v>
      </c>
      <c r="H853" s="130" t="s">
        <v>121</v>
      </c>
      <c r="I853" s="132">
        <v>9600.0</v>
      </c>
      <c r="J853" s="133" t="s">
        <v>122</v>
      </c>
      <c r="K853" s="134" t="s">
        <v>663</v>
      </c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0" customHeight="1">
      <c r="A854" s="25"/>
      <c r="B854" s="126">
        <v>44656.0</v>
      </c>
      <c r="C854" s="127">
        <f t="shared" si="1"/>
        <v>44652</v>
      </c>
      <c r="D854" s="128">
        <f t="shared" si="2"/>
        <v>44656</v>
      </c>
      <c r="E854" s="129">
        <f t="shared" si="3"/>
        <v>15</v>
      </c>
      <c r="F854" s="130" t="s">
        <v>24</v>
      </c>
      <c r="G854" s="131" t="s">
        <v>41</v>
      </c>
      <c r="H854" s="130" t="s">
        <v>121</v>
      </c>
      <c r="I854" s="132">
        <v>9600.0</v>
      </c>
      <c r="J854" s="133" t="s">
        <v>122</v>
      </c>
      <c r="K854" s="134" t="s">
        <v>663</v>
      </c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0" customHeight="1">
      <c r="A855" s="25"/>
      <c r="B855" s="126">
        <v>44687.0</v>
      </c>
      <c r="C855" s="127">
        <f t="shared" si="1"/>
        <v>44682</v>
      </c>
      <c r="D855" s="128">
        <f t="shared" si="2"/>
        <v>44687</v>
      </c>
      <c r="E855" s="129">
        <f t="shared" si="3"/>
        <v>19</v>
      </c>
      <c r="F855" s="130" t="s">
        <v>24</v>
      </c>
      <c r="G855" s="131" t="s">
        <v>41</v>
      </c>
      <c r="H855" s="130" t="s">
        <v>121</v>
      </c>
      <c r="I855" s="132">
        <v>9600.0</v>
      </c>
      <c r="J855" s="133" t="s">
        <v>122</v>
      </c>
      <c r="K855" s="134" t="s">
        <v>663</v>
      </c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0" customHeight="1">
      <c r="A856" s="25"/>
      <c r="B856" s="126">
        <v>44719.0</v>
      </c>
      <c r="C856" s="127">
        <f t="shared" si="1"/>
        <v>44713</v>
      </c>
      <c r="D856" s="128">
        <f t="shared" si="2"/>
        <v>44719</v>
      </c>
      <c r="E856" s="129">
        <f t="shared" si="3"/>
        <v>24</v>
      </c>
      <c r="F856" s="130" t="s">
        <v>24</v>
      </c>
      <c r="G856" s="131" t="s">
        <v>41</v>
      </c>
      <c r="H856" s="130" t="s">
        <v>121</v>
      </c>
      <c r="I856" s="132">
        <v>9600.0</v>
      </c>
      <c r="J856" s="133" t="s">
        <v>122</v>
      </c>
      <c r="K856" s="134" t="s">
        <v>663</v>
      </c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0" customHeight="1">
      <c r="A857" s="25"/>
      <c r="B857" s="126">
        <v>44747.0</v>
      </c>
      <c r="C857" s="127">
        <f t="shared" si="1"/>
        <v>44743</v>
      </c>
      <c r="D857" s="128">
        <f t="shared" si="2"/>
        <v>44747</v>
      </c>
      <c r="E857" s="129">
        <f t="shared" si="3"/>
        <v>28</v>
      </c>
      <c r="F857" s="130" t="s">
        <v>24</v>
      </c>
      <c r="G857" s="131" t="s">
        <v>41</v>
      </c>
      <c r="H857" s="130" t="s">
        <v>121</v>
      </c>
      <c r="I857" s="132">
        <v>9600.0</v>
      </c>
      <c r="J857" s="133" t="s">
        <v>122</v>
      </c>
      <c r="K857" s="134" t="s">
        <v>663</v>
      </c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0" customHeight="1">
      <c r="A858" s="25"/>
      <c r="B858" s="126">
        <v>44778.0</v>
      </c>
      <c r="C858" s="127">
        <f t="shared" si="1"/>
        <v>44774</v>
      </c>
      <c r="D858" s="128">
        <f t="shared" si="2"/>
        <v>44778</v>
      </c>
      <c r="E858" s="129">
        <f t="shared" si="3"/>
        <v>32</v>
      </c>
      <c r="F858" s="130" t="s">
        <v>24</v>
      </c>
      <c r="G858" s="131" t="s">
        <v>41</v>
      </c>
      <c r="H858" s="130" t="s">
        <v>121</v>
      </c>
      <c r="I858" s="132">
        <v>9600.0</v>
      </c>
      <c r="J858" s="133" t="s">
        <v>122</v>
      </c>
      <c r="K858" s="134" t="s">
        <v>663</v>
      </c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0" customHeight="1">
      <c r="A859" s="25"/>
      <c r="B859" s="126">
        <v>44809.0</v>
      </c>
      <c r="C859" s="127">
        <f t="shared" si="1"/>
        <v>44805</v>
      </c>
      <c r="D859" s="128">
        <f t="shared" si="2"/>
        <v>44809</v>
      </c>
      <c r="E859" s="129">
        <f t="shared" si="3"/>
        <v>37</v>
      </c>
      <c r="F859" s="130" t="s">
        <v>24</v>
      </c>
      <c r="G859" s="131" t="s">
        <v>41</v>
      </c>
      <c r="H859" s="130" t="s">
        <v>121</v>
      </c>
      <c r="I859" s="132">
        <v>9600.0</v>
      </c>
      <c r="J859" s="133" t="s">
        <v>122</v>
      </c>
      <c r="K859" s="134" t="s">
        <v>663</v>
      </c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0" customHeight="1">
      <c r="A860" s="25"/>
      <c r="B860" s="126">
        <v>44839.0</v>
      </c>
      <c r="C860" s="127">
        <f t="shared" si="1"/>
        <v>44835</v>
      </c>
      <c r="D860" s="128">
        <f t="shared" si="2"/>
        <v>44839</v>
      </c>
      <c r="E860" s="129">
        <f t="shared" si="3"/>
        <v>41</v>
      </c>
      <c r="F860" s="130" t="s">
        <v>24</v>
      </c>
      <c r="G860" s="131" t="s">
        <v>41</v>
      </c>
      <c r="H860" s="130" t="s">
        <v>121</v>
      </c>
      <c r="I860" s="132">
        <v>9600.0</v>
      </c>
      <c r="J860" s="133" t="s">
        <v>122</v>
      </c>
      <c r="K860" s="134" t="s">
        <v>663</v>
      </c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0" customHeight="1">
      <c r="A861" s="25"/>
      <c r="B861" s="126">
        <v>44872.0</v>
      </c>
      <c r="C861" s="127">
        <f t="shared" si="1"/>
        <v>44866</v>
      </c>
      <c r="D861" s="128">
        <f t="shared" si="2"/>
        <v>44872</v>
      </c>
      <c r="E861" s="129">
        <f t="shared" si="3"/>
        <v>46</v>
      </c>
      <c r="F861" s="130" t="s">
        <v>24</v>
      </c>
      <c r="G861" s="131" t="s">
        <v>41</v>
      </c>
      <c r="H861" s="130" t="s">
        <v>121</v>
      </c>
      <c r="I861" s="132">
        <v>9600.0</v>
      </c>
      <c r="J861" s="133" t="s">
        <v>122</v>
      </c>
      <c r="K861" s="134" t="s">
        <v>663</v>
      </c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0" customHeight="1">
      <c r="A862" s="25"/>
      <c r="B862" s="126">
        <v>44900.0</v>
      </c>
      <c r="C862" s="127">
        <f t="shared" si="1"/>
        <v>44896</v>
      </c>
      <c r="D862" s="128">
        <f t="shared" si="2"/>
        <v>44900</v>
      </c>
      <c r="E862" s="129">
        <f t="shared" si="3"/>
        <v>50</v>
      </c>
      <c r="F862" s="130" t="s">
        <v>24</v>
      </c>
      <c r="G862" s="131" t="s">
        <v>41</v>
      </c>
      <c r="H862" s="130" t="s">
        <v>121</v>
      </c>
      <c r="I862" s="132">
        <v>9600.0</v>
      </c>
      <c r="J862" s="133" t="s">
        <v>122</v>
      </c>
      <c r="K862" s="134" t="s">
        <v>663</v>
      </c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0" customHeight="1">
      <c r="A863" s="25"/>
      <c r="B863" s="126">
        <v>44880.0</v>
      </c>
      <c r="C863" s="127">
        <f t="shared" si="1"/>
        <v>44866</v>
      </c>
      <c r="D863" s="128">
        <f t="shared" si="2"/>
        <v>44880</v>
      </c>
      <c r="E863" s="129">
        <f t="shared" si="3"/>
        <v>47</v>
      </c>
      <c r="F863" s="130" t="s">
        <v>26</v>
      </c>
      <c r="G863" s="131" t="s">
        <v>70</v>
      </c>
      <c r="H863" s="130" t="s">
        <v>124</v>
      </c>
      <c r="I863" s="132">
        <f>10600-1060</f>
        <v>9540</v>
      </c>
      <c r="J863" s="133" t="s">
        <v>125</v>
      </c>
      <c r="K863" s="134" t="s">
        <v>664</v>
      </c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0" customHeight="1">
      <c r="A864" s="25"/>
      <c r="B864" s="126">
        <v>44578.0</v>
      </c>
      <c r="C864" s="127">
        <f t="shared" si="1"/>
        <v>44562</v>
      </c>
      <c r="D864" s="128">
        <f t="shared" si="2"/>
        <v>44578</v>
      </c>
      <c r="E864" s="129">
        <f t="shared" si="3"/>
        <v>4</v>
      </c>
      <c r="F864" s="130" t="s">
        <v>24</v>
      </c>
      <c r="G864" s="131" t="s">
        <v>61</v>
      </c>
      <c r="H864" s="130" t="s">
        <v>124</v>
      </c>
      <c r="I864" s="132">
        <v>9500.0</v>
      </c>
      <c r="J864" s="133" t="s">
        <v>122</v>
      </c>
      <c r="K864" s="134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0" customHeight="1">
      <c r="A865" s="25"/>
      <c r="B865" s="126">
        <v>44656.0</v>
      </c>
      <c r="C865" s="127">
        <f t="shared" si="1"/>
        <v>44652</v>
      </c>
      <c r="D865" s="128">
        <f t="shared" si="2"/>
        <v>44656</v>
      </c>
      <c r="E865" s="129">
        <f t="shared" si="3"/>
        <v>15</v>
      </c>
      <c r="F865" s="130" t="s">
        <v>26</v>
      </c>
      <c r="G865" s="131" t="s">
        <v>87</v>
      </c>
      <c r="H865" s="130" t="s">
        <v>124</v>
      </c>
      <c r="I865" s="132">
        <v>9500.0</v>
      </c>
      <c r="J865" s="133" t="s">
        <v>122</v>
      </c>
      <c r="K865" s="134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0" customHeight="1">
      <c r="A866" s="25"/>
      <c r="B866" s="126">
        <v>44667.0</v>
      </c>
      <c r="C866" s="127">
        <f t="shared" si="1"/>
        <v>44652</v>
      </c>
      <c r="D866" s="128">
        <f t="shared" si="2"/>
        <v>44667</v>
      </c>
      <c r="E866" s="129">
        <f t="shared" si="3"/>
        <v>16</v>
      </c>
      <c r="F866" s="130" t="s">
        <v>26</v>
      </c>
      <c r="G866" s="131" t="s">
        <v>79</v>
      </c>
      <c r="H866" s="130" t="s">
        <v>121</v>
      </c>
      <c r="I866" s="132">
        <f>10500*0.9</f>
        <v>9450</v>
      </c>
      <c r="J866" s="133" t="s">
        <v>125</v>
      </c>
      <c r="K866" s="134" t="s">
        <v>665</v>
      </c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0" customHeight="1">
      <c r="A867" s="25"/>
      <c r="B867" s="126">
        <v>44654.0</v>
      </c>
      <c r="C867" s="127">
        <f t="shared" si="1"/>
        <v>44652</v>
      </c>
      <c r="D867" s="128">
        <f t="shared" si="2"/>
        <v>44654</v>
      </c>
      <c r="E867" s="129">
        <f t="shared" si="3"/>
        <v>15</v>
      </c>
      <c r="F867" s="130" t="s">
        <v>26</v>
      </c>
      <c r="G867" s="131" t="s">
        <v>70</v>
      </c>
      <c r="H867" s="130" t="s">
        <v>124</v>
      </c>
      <c r="I867" s="132">
        <v>9262.0</v>
      </c>
      <c r="J867" s="133" t="s">
        <v>125</v>
      </c>
      <c r="K867" s="134" t="s">
        <v>666</v>
      </c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0" customHeight="1">
      <c r="A868" s="25"/>
      <c r="B868" s="126">
        <v>44809.0</v>
      </c>
      <c r="C868" s="127">
        <f t="shared" si="1"/>
        <v>44805</v>
      </c>
      <c r="D868" s="128">
        <f t="shared" si="2"/>
        <v>44809</v>
      </c>
      <c r="E868" s="129">
        <f t="shared" si="3"/>
        <v>37</v>
      </c>
      <c r="F868" s="130" t="s">
        <v>24</v>
      </c>
      <c r="G868" s="131" t="s">
        <v>54</v>
      </c>
      <c r="H868" s="130" t="s">
        <v>124</v>
      </c>
      <c r="I868" s="132">
        <v>9160.0</v>
      </c>
      <c r="J868" s="133" t="s">
        <v>122</v>
      </c>
      <c r="K868" s="134" t="s">
        <v>660</v>
      </c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0" customHeight="1">
      <c r="A869" s="25"/>
      <c r="B869" s="126">
        <v>44562.0</v>
      </c>
      <c r="C869" s="127">
        <f t="shared" si="1"/>
        <v>44562</v>
      </c>
      <c r="D869" s="128">
        <f t="shared" si="2"/>
        <v>44562</v>
      </c>
      <c r="E869" s="129">
        <f t="shared" si="3"/>
        <v>1</v>
      </c>
      <c r="F869" s="130" t="s">
        <v>26</v>
      </c>
      <c r="G869" s="131" t="s">
        <v>79</v>
      </c>
      <c r="H869" s="130" t="s">
        <v>124</v>
      </c>
      <c r="I869" s="132">
        <v>9100.0</v>
      </c>
      <c r="J869" s="133" t="s">
        <v>122</v>
      </c>
      <c r="K869" s="134" t="s">
        <v>667</v>
      </c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0" customHeight="1">
      <c r="A870" s="25"/>
      <c r="B870" s="126">
        <v>44813.0</v>
      </c>
      <c r="C870" s="127">
        <f t="shared" si="1"/>
        <v>44805</v>
      </c>
      <c r="D870" s="128">
        <f t="shared" si="2"/>
        <v>44813</v>
      </c>
      <c r="E870" s="129">
        <f t="shared" si="3"/>
        <v>37</v>
      </c>
      <c r="F870" s="130" t="s">
        <v>26</v>
      </c>
      <c r="G870" s="131" t="s">
        <v>87</v>
      </c>
      <c r="H870" s="130" t="s">
        <v>124</v>
      </c>
      <c r="I870" s="132">
        <f>10100-1010</f>
        <v>9090</v>
      </c>
      <c r="J870" s="133" t="s">
        <v>125</v>
      </c>
      <c r="K870" s="134" t="s">
        <v>622</v>
      </c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0" customHeight="1">
      <c r="A871" s="25"/>
      <c r="B871" s="126">
        <v>44762.0</v>
      </c>
      <c r="C871" s="127">
        <f t="shared" si="1"/>
        <v>44743</v>
      </c>
      <c r="D871" s="128">
        <f t="shared" si="2"/>
        <v>44762</v>
      </c>
      <c r="E871" s="129">
        <f t="shared" si="3"/>
        <v>30</v>
      </c>
      <c r="F871" s="130" t="s">
        <v>26</v>
      </c>
      <c r="G871" s="131" t="s">
        <v>70</v>
      </c>
      <c r="H871" s="130" t="s">
        <v>124</v>
      </c>
      <c r="I871" s="132">
        <v>9080.0</v>
      </c>
      <c r="J871" s="133" t="s">
        <v>125</v>
      </c>
      <c r="K871" s="134" t="s">
        <v>668</v>
      </c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0" customHeight="1">
      <c r="A872" s="25"/>
      <c r="B872" s="126">
        <v>44580.0</v>
      </c>
      <c r="C872" s="127">
        <f t="shared" si="1"/>
        <v>44562</v>
      </c>
      <c r="D872" s="128">
        <f t="shared" si="2"/>
        <v>44580</v>
      </c>
      <c r="E872" s="129">
        <f t="shared" si="3"/>
        <v>4</v>
      </c>
      <c r="F872" s="130" t="s">
        <v>24</v>
      </c>
      <c r="G872" s="131" t="s">
        <v>36</v>
      </c>
      <c r="H872" s="130" t="s">
        <v>124</v>
      </c>
      <c r="I872" s="132">
        <v>9000.0</v>
      </c>
      <c r="J872" s="133" t="s">
        <v>125</v>
      </c>
      <c r="K872" s="134" t="s">
        <v>669</v>
      </c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0" customHeight="1">
      <c r="A873" s="25"/>
      <c r="B873" s="126">
        <v>44665.0</v>
      </c>
      <c r="C873" s="127">
        <f t="shared" si="1"/>
        <v>44652</v>
      </c>
      <c r="D873" s="128">
        <f t="shared" si="2"/>
        <v>44665</v>
      </c>
      <c r="E873" s="129">
        <f t="shared" si="3"/>
        <v>16</v>
      </c>
      <c r="F873" s="130" t="s">
        <v>26</v>
      </c>
      <c r="G873" s="131" t="s">
        <v>72</v>
      </c>
      <c r="H873" s="130" t="s">
        <v>121</v>
      </c>
      <c r="I873" s="132">
        <f>10000*0.9</f>
        <v>9000</v>
      </c>
      <c r="J873" s="133" t="s">
        <v>122</v>
      </c>
      <c r="K873" s="134" t="s">
        <v>560</v>
      </c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0" customHeight="1">
      <c r="A874" s="25"/>
      <c r="B874" s="126">
        <v>44854.0</v>
      </c>
      <c r="C874" s="127">
        <f t="shared" si="1"/>
        <v>44835</v>
      </c>
      <c r="D874" s="128">
        <f t="shared" si="2"/>
        <v>44854</v>
      </c>
      <c r="E874" s="129">
        <f t="shared" si="3"/>
        <v>43</v>
      </c>
      <c r="F874" s="130" t="s">
        <v>26</v>
      </c>
      <c r="G874" s="131" t="s">
        <v>70</v>
      </c>
      <c r="H874" s="130" t="s">
        <v>124</v>
      </c>
      <c r="I874" s="132">
        <v>9000.0</v>
      </c>
      <c r="J874" s="133" t="s">
        <v>125</v>
      </c>
      <c r="K874" s="134" t="s">
        <v>670</v>
      </c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0" customHeight="1">
      <c r="A875" s="25"/>
      <c r="B875" s="126">
        <v>44776.0</v>
      </c>
      <c r="C875" s="127">
        <f t="shared" si="1"/>
        <v>44774</v>
      </c>
      <c r="D875" s="128">
        <f t="shared" si="2"/>
        <v>44776</v>
      </c>
      <c r="E875" s="129">
        <f t="shared" si="3"/>
        <v>32</v>
      </c>
      <c r="F875" s="130" t="s">
        <v>26</v>
      </c>
      <c r="G875" s="131" t="s">
        <v>70</v>
      </c>
      <c r="H875" s="130" t="s">
        <v>124</v>
      </c>
      <c r="I875" s="132">
        <v>8860.0</v>
      </c>
      <c r="J875" s="133" t="s">
        <v>122</v>
      </c>
      <c r="K875" s="134" t="s">
        <v>671</v>
      </c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0" customHeight="1">
      <c r="A876" s="25"/>
      <c r="B876" s="126">
        <v>44895.0</v>
      </c>
      <c r="C876" s="127">
        <f t="shared" si="1"/>
        <v>44866</v>
      </c>
      <c r="D876" s="128">
        <f t="shared" si="2"/>
        <v>44895</v>
      </c>
      <c r="E876" s="129">
        <f t="shared" si="3"/>
        <v>49</v>
      </c>
      <c r="F876" s="130" t="s">
        <v>24</v>
      </c>
      <c r="G876" s="131" t="s">
        <v>46</v>
      </c>
      <c r="H876" s="130" t="s">
        <v>124</v>
      </c>
      <c r="I876" s="132">
        <f>1600+7200</f>
        <v>8800</v>
      </c>
      <c r="J876" s="133" t="s">
        <v>125</v>
      </c>
      <c r="K876" s="134" t="s">
        <v>248</v>
      </c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0" customHeight="1">
      <c r="A877" s="25"/>
      <c r="B877" s="126">
        <v>44719.0</v>
      </c>
      <c r="C877" s="127">
        <f t="shared" si="1"/>
        <v>44713</v>
      </c>
      <c r="D877" s="128">
        <f t="shared" si="2"/>
        <v>44719</v>
      </c>
      <c r="E877" s="129">
        <f t="shared" si="3"/>
        <v>24</v>
      </c>
      <c r="F877" s="130" t="s">
        <v>26</v>
      </c>
      <c r="G877" s="131" t="s">
        <v>82</v>
      </c>
      <c r="H877" s="130" t="s">
        <v>124</v>
      </c>
      <c r="I877" s="132">
        <v>8789.0</v>
      </c>
      <c r="J877" s="133" t="s">
        <v>125</v>
      </c>
      <c r="K877" s="134" t="s">
        <v>672</v>
      </c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0" customHeight="1">
      <c r="A878" s="25"/>
      <c r="B878" s="126">
        <v>44722.0</v>
      </c>
      <c r="C878" s="127">
        <f t="shared" si="1"/>
        <v>44713</v>
      </c>
      <c r="D878" s="128">
        <f t="shared" si="2"/>
        <v>44722</v>
      </c>
      <c r="E878" s="129">
        <f t="shared" si="3"/>
        <v>24</v>
      </c>
      <c r="F878" s="130" t="s">
        <v>26</v>
      </c>
      <c r="G878" s="131" t="s">
        <v>82</v>
      </c>
      <c r="H878" s="130" t="s">
        <v>124</v>
      </c>
      <c r="I878" s="132">
        <v>8789.0</v>
      </c>
      <c r="J878" s="133" t="s">
        <v>125</v>
      </c>
      <c r="K878" s="134" t="s">
        <v>673</v>
      </c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0" customHeight="1">
      <c r="A879" s="25"/>
      <c r="B879" s="126">
        <v>44824.0</v>
      </c>
      <c r="C879" s="127">
        <f t="shared" si="1"/>
        <v>44805</v>
      </c>
      <c r="D879" s="128">
        <f t="shared" si="2"/>
        <v>44824</v>
      </c>
      <c r="E879" s="129">
        <f t="shared" si="3"/>
        <v>39</v>
      </c>
      <c r="F879" s="130" t="s">
        <v>24</v>
      </c>
      <c r="G879" s="131" t="s">
        <v>32</v>
      </c>
      <c r="H879" s="130" t="s">
        <v>124</v>
      </c>
      <c r="I879" s="132">
        <f t="shared" ref="I879:I882" si="20">23710-15000</f>
        <v>8710</v>
      </c>
      <c r="J879" s="133" t="s">
        <v>125</v>
      </c>
      <c r="K879" s="134" t="s">
        <v>631</v>
      </c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0" customHeight="1">
      <c r="A880" s="25"/>
      <c r="B880" s="126">
        <v>44854.0</v>
      </c>
      <c r="C880" s="127">
        <f t="shared" si="1"/>
        <v>44835</v>
      </c>
      <c r="D880" s="128">
        <f t="shared" si="2"/>
        <v>44854</v>
      </c>
      <c r="E880" s="129">
        <f t="shared" si="3"/>
        <v>43</v>
      </c>
      <c r="F880" s="130" t="s">
        <v>24</v>
      </c>
      <c r="G880" s="131" t="s">
        <v>32</v>
      </c>
      <c r="H880" s="130" t="s">
        <v>124</v>
      </c>
      <c r="I880" s="132">
        <f t="shared" si="20"/>
        <v>8710</v>
      </c>
      <c r="J880" s="133" t="s">
        <v>125</v>
      </c>
      <c r="K880" s="134" t="s">
        <v>631</v>
      </c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0" customHeight="1">
      <c r="A881" s="25"/>
      <c r="B881" s="126">
        <v>44886.0</v>
      </c>
      <c r="C881" s="127">
        <f t="shared" si="1"/>
        <v>44866</v>
      </c>
      <c r="D881" s="128">
        <f t="shared" si="2"/>
        <v>44886</v>
      </c>
      <c r="E881" s="129">
        <f t="shared" si="3"/>
        <v>48</v>
      </c>
      <c r="F881" s="130" t="s">
        <v>24</v>
      </c>
      <c r="G881" s="131" t="s">
        <v>32</v>
      </c>
      <c r="H881" s="130" t="s">
        <v>124</v>
      </c>
      <c r="I881" s="132">
        <f t="shared" si="20"/>
        <v>8710</v>
      </c>
      <c r="J881" s="133" t="s">
        <v>125</v>
      </c>
      <c r="K881" s="134" t="s">
        <v>631</v>
      </c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0" customHeight="1">
      <c r="A882" s="25"/>
      <c r="B882" s="126">
        <v>44915.0</v>
      </c>
      <c r="C882" s="127">
        <f t="shared" si="1"/>
        <v>44896</v>
      </c>
      <c r="D882" s="128">
        <f t="shared" si="2"/>
        <v>44915</v>
      </c>
      <c r="E882" s="129">
        <f t="shared" si="3"/>
        <v>52</v>
      </c>
      <c r="F882" s="130" t="s">
        <v>24</v>
      </c>
      <c r="G882" s="131" t="s">
        <v>32</v>
      </c>
      <c r="H882" s="130" t="s">
        <v>124</v>
      </c>
      <c r="I882" s="132">
        <f t="shared" si="20"/>
        <v>8710</v>
      </c>
      <c r="J882" s="133" t="s">
        <v>125</v>
      </c>
      <c r="K882" s="134" t="s">
        <v>631</v>
      </c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0" customHeight="1">
      <c r="A883" s="25"/>
      <c r="B883" s="126">
        <v>44767.0</v>
      </c>
      <c r="C883" s="127">
        <f t="shared" si="1"/>
        <v>44743</v>
      </c>
      <c r="D883" s="128">
        <f t="shared" si="2"/>
        <v>44767</v>
      </c>
      <c r="E883" s="129">
        <f t="shared" si="3"/>
        <v>31</v>
      </c>
      <c r="F883" s="130" t="s">
        <v>128</v>
      </c>
      <c r="G883" s="131" t="s">
        <v>129</v>
      </c>
      <c r="H883" s="130" t="s">
        <v>124</v>
      </c>
      <c r="I883" s="132">
        <v>8614.0</v>
      </c>
      <c r="J883" s="133" t="s">
        <v>125</v>
      </c>
      <c r="K883" s="134" t="s">
        <v>674</v>
      </c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0" customHeight="1">
      <c r="A884" s="25"/>
      <c r="B884" s="126">
        <v>44764.0</v>
      </c>
      <c r="C884" s="127">
        <f t="shared" si="1"/>
        <v>44743</v>
      </c>
      <c r="D884" s="128">
        <f t="shared" si="2"/>
        <v>44764</v>
      </c>
      <c r="E884" s="129">
        <f t="shared" si="3"/>
        <v>30</v>
      </c>
      <c r="F884" s="130" t="s">
        <v>24</v>
      </c>
      <c r="G884" s="131" t="s">
        <v>54</v>
      </c>
      <c r="H884" s="130" t="s">
        <v>124</v>
      </c>
      <c r="I884" s="132">
        <v>8600.0</v>
      </c>
      <c r="J884" s="133" t="s">
        <v>122</v>
      </c>
      <c r="K884" s="134" t="s">
        <v>675</v>
      </c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0" customHeight="1">
      <c r="A885" s="25"/>
      <c r="B885" s="126">
        <v>44618.0</v>
      </c>
      <c r="C885" s="127">
        <f t="shared" si="1"/>
        <v>44593</v>
      </c>
      <c r="D885" s="128">
        <f t="shared" si="2"/>
        <v>44618</v>
      </c>
      <c r="E885" s="129">
        <f t="shared" si="3"/>
        <v>9</v>
      </c>
      <c r="F885" s="130" t="s">
        <v>26</v>
      </c>
      <c r="G885" s="131" t="s">
        <v>87</v>
      </c>
      <c r="H885" s="130" t="s">
        <v>124</v>
      </c>
      <c r="I885" s="132">
        <v>8590.0</v>
      </c>
      <c r="J885" s="133" t="s">
        <v>125</v>
      </c>
      <c r="K885" s="134" t="s">
        <v>676</v>
      </c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0" customHeight="1">
      <c r="A886" s="25"/>
      <c r="B886" s="126">
        <v>44808.0</v>
      </c>
      <c r="C886" s="127">
        <f t="shared" si="1"/>
        <v>44805</v>
      </c>
      <c r="D886" s="128">
        <f t="shared" si="2"/>
        <v>44808</v>
      </c>
      <c r="E886" s="129">
        <f t="shared" si="3"/>
        <v>37</v>
      </c>
      <c r="F886" s="130" t="s">
        <v>26</v>
      </c>
      <c r="G886" s="131" t="s">
        <v>76</v>
      </c>
      <c r="H886" s="130" t="s">
        <v>124</v>
      </c>
      <c r="I886" s="132">
        <v>8580.0</v>
      </c>
      <c r="J886" s="133" t="s">
        <v>125</v>
      </c>
      <c r="K886" s="134" t="s">
        <v>677</v>
      </c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0" customHeight="1">
      <c r="A887" s="25"/>
      <c r="B887" s="126">
        <v>44711.0</v>
      </c>
      <c r="C887" s="127">
        <f t="shared" si="1"/>
        <v>44682</v>
      </c>
      <c r="D887" s="128">
        <f t="shared" si="2"/>
        <v>44711</v>
      </c>
      <c r="E887" s="129">
        <f t="shared" si="3"/>
        <v>23</v>
      </c>
      <c r="F887" s="130" t="s">
        <v>26</v>
      </c>
      <c r="G887" s="131" t="s">
        <v>84</v>
      </c>
      <c r="H887" s="130" t="s">
        <v>121</v>
      </c>
      <c r="I887" s="132">
        <f>9500*0.9</f>
        <v>8550</v>
      </c>
      <c r="J887" s="133" t="s">
        <v>122</v>
      </c>
      <c r="K887" s="134" t="s">
        <v>678</v>
      </c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0" customHeight="1">
      <c r="A888" s="25"/>
      <c r="B888" s="126">
        <v>44717.0</v>
      </c>
      <c r="C888" s="127">
        <f t="shared" si="1"/>
        <v>44713</v>
      </c>
      <c r="D888" s="128">
        <f t="shared" si="2"/>
        <v>44717</v>
      </c>
      <c r="E888" s="129">
        <f t="shared" si="3"/>
        <v>24</v>
      </c>
      <c r="F888" s="130" t="s">
        <v>26</v>
      </c>
      <c r="G888" s="131" t="s">
        <v>72</v>
      </c>
      <c r="H888" s="130" t="s">
        <v>124</v>
      </c>
      <c r="I888" s="132">
        <f t="shared" ref="I888:I890" si="21">9000*0.95</f>
        <v>8550</v>
      </c>
      <c r="J888" s="133" t="s">
        <v>122</v>
      </c>
      <c r="K888" s="134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0" customHeight="1">
      <c r="A889" s="25"/>
      <c r="B889" s="126">
        <v>44788.0</v>
      </c>
      <c r="C889" s="127">
        <f t="shared" si="1"/>
        <v>44774</v>
      </c>
      <c r="D889" s="128">
        <f t="shared" si="2"/>
        <v>44788</v>
      </c>
      <c r="E889" s="129">
        <f t="shared" si="3"/>
        <v>34</v>
      </c>
      <c r="F889" s="130" t="s">
        <v>26</v>
      </c>
      <c r="G889" s="131" t="s">
        <v>72</v>
      </c>
      <c r="H889" s="130" t="s">
        <v>124</v>
      </c>
      <c r="I889" s="132">
        <f t="shared" si="21"/>
        <v>8550</v>
      </c>
      <c r="J889" s="133" t="s">
        <v>122</v>
      </c>
      <c r="K889" s="134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0" customHeight="1">
      <c r="A890" s="25"/>
      <c r="B890" s="126">
        <v>44790.0</v>
      </c>
      <c r="C890" s="127">
        <f t="shared" si="1"/>
        <v>44774</v>
      </c>
      <c r="D890" s="128">
        <f t="shared" si="2"/>
        <v>44790</v>
      </c>
      <c r="E890" s="129">
        <f t="shared" si="3"/>
        <v>34</v>
      </c>
      <c r="F890" s="130" t="s">
        <v>26</v>
      </c>
      <c r="G890" s="131" t="s">
        <v>72</v>
      </c>
      <c r="H890" s="130" t="s">
        <v>124</v>
      </c>
      <c r="I890" s="132">
        <f t="shared" si="21"/>
        <v>8550</v>
      </c>
      <c r="J890" s="133" t="s">
        <v>122</v>
      </c>
      <c r="K890" s="134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0" customHeight="1">
      <c r="A891" s="25"/>
      <c r="B891" s="126">
        <v>44806.0</v>
      </c>
      <c r="C891" s="127">
        <f t="shared" si="1"/>
        <v>44805</v>
      </c>
      <c r="D891" s="128">
        <f t="shared" si="2"/>
        <v>44806</v>
      </c>
      <c r="E891" s="129">
        <f t="shared" si="3"/>
        <v>36</v>
      </c>
      <c r="F891" s="130" t="s">
        <v>26</v>
      </c>
      <c r="G891" s="131" t="s">
        <v>79</v>
      </c>
      <c r="H891" s="130" t="s">
        <v>121</v>
      </c>
      <c r="I891" s="132">
        <f>9500*0.9</f>
        <v>8550</v>
      </c>
      <c r="J891" s="133" t="s">
        <v>125</v>
      </c>
      <c r="K891" s="134" t="s">
        <v>679</v>
      </c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0" customHeight="1">
      <c r="A892" s="25"/>
      <c r="B892" s="126">
        <v>44883.0</v>
      </c>
      <c r="C892" s="127">
        <f t="shared" si="1"/>
        <v>44866</v>
      </c>
      <c r="D892" s="128">
        <f t="shared" si="2"/>
        <v>44883</v>
      </c>
      <c r="E892" s="129">
        <f t="shared" si="3"/>
        <v>47</v>
      </c>
      <c r="F892" s="130" t="s">
        <v>26</v>
      </c>
      <c r="G892" s="131" t="s">
        <v>72</v>
      </c>
      <c r="H892" s="130" t="s">
        <v>124</v>
      </c>
      <c r="I892" s="132">
        <f>9000*0.95</f>
        <v>8550</v>
      </c>
      <c r="J892" s="133" t="s">
        <v>122</v>
      </c>
      <c r="K892" s="134"/>
      <c r="L892" s="25"/>
      <c r="M892" s="27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0" customHeight="1">
      <c r="A893" s="25"/>
      <c r="B893" s="126">
        <v>44769.0</v>
      </c>
      <c r="C893" s="127">
        <f t="shared" si="1"/>
        <v>44743</v>
      </c>
      <c r="D893" s="128">
        <f t="shared" si="2"/>
        <v>44769</v>
      </c>
      <c r="E893" s="129">
        <f t="shared" si="3"/>
        <v>31</v>
      </c>
      <c r="F893" s="130" t="s">
        <v>128</v>
      </c>
      <c r="G893" s="131" t="s">
        <v>129</v>
      </c>
      <c r="H893" s="130" t="s">
        <v>124</v>
      </c>
      <c r="I893" s="132">
        <v>8535.0</v>
      </c>
      <c r="J893" s="133" t="s">
        <v>125</v>
      </c>
      <c r="K893" s="134" t="s">
        <v>674</v>
      </c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0" customHeight="1">
      <c r="A894" s="25"/>
      <c r="B894" s="126">
        <v>44674.0</v>
      </c>
      <c r="C894" s="127">
        <f t="shared" si="1"/>
        <v>44652</v>
      </c>
      <c r="D894" s="128">
        <f t="shared" si="2"/>
        <v>44674</v>
      </c>
      <c r="E894" s="129">
        <f t="shared" si="3"/>
        <v>17</v>
      </c>
      <c r="F894" s="130" t="s">
        <v>128</v>
      </c>
      <c r="G894" s="131" t="s">
        <v>172</v>
      </c>
      <c r="H894" s="130" t="s">
        <v>124</v>
      </c>
      <c r="I894" s="132">
        <f>9400-940</f>
        <v>8460</v>
      </c>
      <c r="J894" s="133" t="s">
        <v>125</v>
      </c>
      <c r="K894" s="139" t="s">
        <v>680</v>
      </c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0" customHeight="1">
      <c r="A895" s="25"/>
      <c r="B895" s="126">
        <v>44842.0</v>
      </c>
      <c r="C895" s="127">
        <f t="shared" si="1"/>
        <v>44835</v>
      </c>
      <c r="D895" s="128">
        <f t="shared" si="2"/>
        <v>44842</v>
      </c>
      <c r="E895" s="129">
        <f t="shared" si="3"/>
        <v>41</v>
      </c>
      <c r="F895" s="130" t="s">
        <v>24</v>
      </c>
      <c r="G895" s="131" t="s">
        <v>54</v>
      </c>
      <c r="H895" s="130" t="s">
        <v>124</v>
      </c>
      <c r="I895" s="132">
        <v>8400.0</v>
      </c>
      <c r="J895" s="133" t="s">
        <v>122</v>
      </c>
      <c r="K895" s="134" t="s">
        <v>681</v>
      </c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0" customHeight="1">
      <c r="A896" s="25"/>
      <c r="B896" s="126">
        <v>44620.0</v>
      </c>
      <c r="C896" s="127">
        <f t="shared" si="1"/>
        <v>44593</v>
      </c>
      <c r="D896" s="128">
        <f t="shared" si="2"/>
        <v>44620</v>
      </c>
      <c r="E896" s="129">
        <f t="shared" si="3"/>
        <v>10</v>
      </c>
      <c r="F896" s="130" t="s">
        <v>26</v>
      </c>
      <c r="G896" s="131" t="s">
        <v>79</v>
      </c>
      <c r="H896" s="130" t="s">
        <v>124</v>
      </c>
      <c r="I896" s="132">
        <v>8300.0</v>
      </c>
      <c r="J896" s="133" t="s">
        <v>125</v>
      </c>
      <c r="K896" s="134" t="s">
        <v>682</v>
      </c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0" customHeight="1">
      <c r="A897" s="25"/>
      <c r="B897" s="126">
        <v>44912.0</v>
      </c>
      <c r="C897" s="127">
        <f t="shared" si="1"/>
        <v>44896</v>
      </c>
      <c r="D897" s="128">
        <f t="shared" si="2"/>
        <v>44912</v>
      </c>
      <c r="E897" s="129">
        <f t="shared" si="3"/>
        <v>51</v>
      </c>
      <c r="F897" s="130" t="s">
        <v>26</v>
      </c>
      <c r="G897" s="131" t="s">
        <v>70</v>
      </c>
      <c r="H897" s="130" t="s">
        <v>124</v>
      </c>
      <c r="I897" s="132">
        <v>8290.0</v>
      </c>
      <c r="J897" s="133" t="s">
        <v>125</v>
      </c>
      <c r="K897" s="134" t="s">
        <v>683</v>
      </c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0" customHeight="1">
      <c r="A898" s="25"/>
      <c r="B898" s="126">
        <v>44857.0</v>
      </c>
      <c r="C898" s="127">
        <f t="shared" si="1"/>
        <v>44835</v>
      </c>
      <c r="D898" s="128">
        <f t="shared" si="2"/>
        <v>44857</v>
      </c>
      <c r="E898" s="129">
        <f t="shared" si="3"/>
        <v>44</v>
      </c>
      <c r="F898" s="130" t="s">
        <v>26</v>
      </c>
      <c r="G898" s="131" t="s">
        <v>73</v>
      </c>
      <c r="H898" s="130" t="s">
        <v>124</v>
      </c>
      <c r="I898" s="132">
        <v>8200.0</v>
      </c>
      <c r="J898" s="133" t="s">
        <v>122</v>
      </c>
      <c r="K898" s="134" t="s">
        <v>684</v>
      </c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0" customHeight="1">
      <c r="A899" s="25"/>
      <c r="B899" s="126">
        <v>44578.0</v>
      </c>
      <c r="C899" s="127">
        <f t="shared" si="1"/>
        <v>44562</v>
      </c>
      <c r="D899" s="128">
        <f t="shared" si="2"/>
        <v>44578</v>
      </c>
      <c r="E899" s="129">
        <f t="shared" si="3"/>
        <v>4</v>
      </c>
      <c r="F899" s="130" t="s">
        <v>24</v>
      </c>
      <c r="G899" s="131" t="s">
        <v>53</v>
      </c>
      <c r="H899" s="130" t="s">
        <v>121</v>
      </c>
      <c r="I899" s="132">
        <f>3685+4496</f>
        <v>8181</v>
      </c>
      <c r="J899" s="133" t="s">
        <v>122</v>
      </c>
      <c r="K899" s="134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0" customHeight="1">
      <c r="A900" s="25"/>
      <c r="B900" s="126">
        <v>44729.0</v>
      </c>
      <c r="C900" s="127">
        <f t="shared" si="1"/>
        <v>44713</v>
      </c>
      <c r="D900" s="128">
        <f t="shared" si="2"/>
        <v>44729</v>
      </c>
      <c r="E900" s="129">
        <f t="shared" si="3"/>
        <v>25</v>
      </c>
      <c r="F900" s="130" t="s">
        <v>26</v>
      </c>
      <c r="G900" s="131" t="s">
        <v>72</v>
      </c>
      <c r="H900" s="130" t="s">
        <v>121</v>
      </c>
      <c r="I900" s="132">
        <f t="shared" ref="I900:I903" si="22">9000*0.9</f>
        <v>8100</v>
      </c>
      <c r="J900" s="133" t="s">
        <v>122</v>
      </c>
      <c r="K900" s="134" t="s">
        <v>560</v>
      </c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0" customHeight="1">
      <c r="A901" s="25"/>
      <c r="B901" s="126">
        <v>44757.0</v>
      </c>
      <c r="C901" s="127">
        <f t="shared" si="1"/>
        <v>44743</v>
      </c>
      <c r="D901" s="128">
        <f t="shared" si="2"/>
        <v>44757</v>
      </c>
      <c r="E901" s="129">
        <f t="shared" si="3"/>
        <v>29</v>
      </c>
      <c r="F901" s="130" t="s">
        <v>26</v>
      </c>
      <c r="G901" s="131" t="s">
        <v>72</v>
      </c>
      <c r="H901" s="130" t="s">
        <v>121</v>
      </c>
      <c r="I901" s="132">
        <f t="shared" si="22"/>
        <v>8100</v>
      </c>
      <c r="J901" s="133" t="s">
        <v>122</v>
      </c>
      <c r="K901" s="134" t="s">
        <v>560</v>
      </c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0" customHeight="1">
      <c r="A902" s="25"/>
      <c r="B902" s="126">
        <v>44760.0</v>
      </c>
      <c r="C902" s="127">
        <f t="shared" si="1"/>
        <v>44743</v>
      </c>
      <c r="D902" s="128">
        <f t="shared" si="2"/>
        <v>44760</v>
      </c>
      <c r="E902" s="129">
        <f t="shared" si="3"/>
        <v>30</v>
      </c>
      <c r="F902" s="130" t="s">
        <v>26</v>
      </c>
      <c r="G902" s="131" t="s">
        <v>72</v>
      </c>
      <c r="H902" s="130" t="s">
        <v>121</v>
      </c>
      <c r="I902" s="132">
        <f t="shared" si="22"/>
        <v>8100</v>
      </c>
      <c r="J902" s="133" t="s">
        <v>122</v>
      </c>
      <c r="K902" s="134" t="s">
        <v>560</v>
      </c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0" customHeight="1">
      <c r="A903" s="25"/>
      <c r="B903" s="126">
        <v>44920.0</v>
      </c>
      <c r="C903" s="127">
        <f t="shared" si="1"/>
        <v>44896</v>
      </c>
      <c r="D903" s="128">
        <f t="shared" si="2"/>
        <v>44920</v>
      </c>
      <c r="E903" s="129">
        <f t="shared" si="3"/>
        <v>53</v>
      </c>
      <c r="F903" s="130" t="s">
        <v>26</v>
      </c>
      <c r="G903" s="131" t="s">
        <v>72</v>
      </c>
      <c r="H903" s="130" t="s">
        <v>121</v>
      </c>
      <c r="I903" s="132">
        <f t="shared" si="22"/>
        <v>8100</v>
      </c>
      <c r="J903" s="133" t="s">
        <v>125</v>
      </c>
      <c r="K903" s="134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0" customHeight="1">
      <c r="A904" s="25"/>
      <c r="B904" s="126">
        <v>44764.0</v>
      </c>
      <c r="C904" s="127">
        <f t="shared" si="1"/>
        <v>44743</v>
      </c>
      <c r="D904" s="128">
        <f t="shared" si="2"/>
        <v>44764</v>
      </c>
      <c r="E904" s="129">
        <f t="shared" si="3"/>
        <v>30</v>
      </c>
      <c r="F904" s="130" t="s">
        <v>26</v>
      </c>
      <c r="G904" s="131" t="s">
        <v>79</v>
      </c>
      <c r="H904" s="130" t="s">
        <v>124</v>
      </c>
      <c r="I904" s="132">
        <f>18600-10580</f>
        <v>8020</v>
      </c>
      <c r="J904" s="133" t="s">
        <v>125</v>
      </c>
      <c r="K904" s="134" t="s">
        <v>685</v>
      </c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0" customHeight="1">
      <c r="A905" s="25"/>
      <c r="B905" s="126">
        <v>44567.0</v>
      </c>
      <c r="C905" s="127">
        <f t="shared" si="1"/>
        <v>44562</v>
      </c>
      <c r="D905" s="128">
        <f t="shared" si="2"/>
        <v>44567</v>
      </c>
      <c r="E905" s="129">
        <f t="shared" si="3"/>
        <v>2</v>
      </c>
      <c r="F905" s="130" t="s">
        <v>24</v>
      </c>
      <c r="G905" s="131" t="s">
        <v>61</v>
      </c>
      <c r="H905" s="130" t="s">
        <v>124</v>
      </c>
      <c r="I905" s="132">
        <v>8000.0</v>
      </c>
      <c r="J905" s="133" t="s">
        <v>122</v>
      </c>
      <c r="K905" s="134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0" customHeight="1">
      <c r="A906" s="25"/>
      <c r="B906" s="126">
        <v>44568.0</v>
      </c>
      <c r="C906" s="127">
        <f t="shared" si="1"/>
        <v>44562</v>
      </c>
      <c r="D906" s="128">
        <f t="shared" si="2"/>
        <v>44568</v>
      </c>
      <c r="E906" s="129">
        <f t="shared" si="3"/>
        <v>2</v>
      </c>
      <c r="F906" s="130" t="s">
        <v>24</v>
      </c>
      <c r="G906" s="131" t="s">
        <v>61</v>
      </c>
      <c r="H906" s="130" t="s">
        <v>124</v>
      </c>
      <c r="I906" s="132">
        <v>8000.0</v>
      </c>
      <c r="J906" s="133" t="s">
        <v>122</v>
      </c>
      <c r="K906" s="134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0" customHeight="1">
      <c r="A907" s="25"/>
      <c r="B907" s="126">
        <v>44575.0</v>
      </c>
      <c r="C907" s="127">
        <f t="shared" si="1"/>
        <v>44562</v>
      </c>
      <c r="D907" s="128">
        <f t="shared" si="2"/>
        <v>44575</v>
      </c>
      <c r="E907" s="129">
        <f t="shared" si="3"/>
        <v>3</v>
      </c>
      <c r="F907" s="130" t="s">
        <v>24</v>
      </c>
      <c r="G907" s="131" t="s">
        <v>61</v>
      </c>
      <c r="H907" s="130" t="s">
        <v>124</v>
      </c>
      <c r="I907" s="132">
        <v>8000.0</v>
      </c>
      <c r="J907" s="133" t="s">
        <v>122</v>
      </c>
      <c r="K907" s="134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0" customHeight="1">
      <c r="A908" s="25"/>
      <c r="B908" s="126">
        <v>44708.0</v>
      </c>
      <c r="C908" s="127">
        <f t="shared" si="1"/>
        <v>44682</v>
      </c>
      <c r="D908" s="128">
        <f t="shared" si="2"/>
        <v>44708</v>
      </c>
      <c r="E908" s="129">
        <f t="shared" si="3"/>
        <v>22</v>
      </c>
      <c r="F908" s="130" t="s">
        <v>26</v>
      </c>
      <c r="G908" s="131" t="s">
        <v>84</v>
      </c>
      <c r="H908" s="130" t="s">
        <v>124</v>
      </c>
      <c r="I908" s="132">
        <v>8000.0</v>
      </c>
      <c r="J908" s="133" t="s">
        <v>122</v>
      </c>
      <c r="K908" s="134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0" customHeight="1">
      <c r="A909" s="25"/>
      <c r="B909" s="126">
        <v>44770.0</v>
      </c>
      <c r="C909" s="127">
        <f t="shared" si="1"/>
        <v>44743</v>
      </c>
      <c r="D909" s="128">
        <f t="shared" si="2"/>
        <v>44770</v>
      </c>
      <c r="E909" s="129">
        <f t="shared" si="3"/>
        <v>31</v>
      </c>
      <c r="F909" s="130" t="s">
        <v>128</v>
      </c>
      <c r="G909" s="131" t="s">
        <v>129</v>
      </c>
      <c r="H909" s="130" t="s">
        <v>124</v>
      </c>
      <c r="I909" s="132">
        <v>8000.0</v>
      </c>
      <c r="J909" s="133" t="s">
        <v>125</v>
      </c>
      <c r="K909" s="134" t="s">
        <v>686</v>
      </c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0" customHeight="1">
      <c r="A910" s="25"/>
      <c r="B910" s="126">
        <v>44610.0</v>
      </c>
      <c r="C910" s="127">
        <f t="shared" si="1"/>
        <v>44593</v>
      </c>
      <c r="D910" s="128">
        <f t="shared" si="2"/>
        <v>44610</v>
      </c>
      <c r="E910" s="129">
        <f t="shared" si="3"/>
        <v>8</v>
      </c>
      <c r="F910" s="130" t="s">
        <v>26</v>
      </c>
      <c r="G910" s="131" t="s">
        <v>76</v>
      </c>
      <c r="H910" s="130" t="s">
        <v>124</v>
      </c>
      <c r="I910" s="132">
        <v>7940.0</v>
      </c>
      <c r="J910" s="133" t="s">
        <v>125</v>
      </c>
      <c r="K910" s="134" t="s">
        <v>167</v>
      </c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0" customHeight="1">
      <c r="A911" s="25"/>
      <c r="B911" s="126">
        <v>44586.0</v>
      </c>
      <c r="C911" s="127">
        <f t="shared" si="1"/>
        <v>44562</v>
      </c>
      <c r="D911" s="128">
        <f t="shared" si="2"/>
        <v>44586</v>
      </c>
      <c r="E911" s="129">
        <f t="shared" si="3"/>
        <v>5</v>
      </c>
      <c r="F911" s="130" t="s">
        <v>26</v>
      </c>
      <c r="G911" s="131" t="s">
        <v>87</v>
      </c>
      <c r="H911" s="130" t="s">
        <v>124</v>
      </c>
      <c r="I911" s="132">
        <v>7900.0</v>
      </c>
      <c r="J911" s="133" t="s">
        <v>125</v>
      </c>
      <c r="K911" s="134" t="s">
        <v>635</v>
      </c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0" customHeight="1">
      <c r="A912" s="25"/>
      <c r="B912" s="126">
        <v>44859.0</v>
      </c>
      <c r="C912" s="127">
        <f t="shared" si="1"/>
        <v>44835</v>
      </c>
      <c r="D912" s="128">
        <f t="shared" si="2"/>
        <v>44859</v>
      </c>
      <c r="E912" s="129">
        <f t="shared" si="3"/>
        <v>44</v>
      </c>
      <c r="F912" s="130" t="s">
        <v>26</v>
      </c>
      <c r="G912" s="131" t="s">
        <v>79</v>
      </c>
      <c r="H912" s="130" t="s">
        <v>124</v>
      </c>
      <c r="I912" s="132">
        <v>7900.0</v>
      </c>
      <c r="J912" s="133" t="s">
        <v>125</v>
      </c>
      <c r="K912" s="134" t="s">
        <v>687</v>
      </c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0" customHeight="1">
      <c r="A913" s="25"/>
      <c r="B913" s="126">
        <v>44723.0</v>
      </c>
      <c r="C913" s="127">
        <f t="shared" si="1"/>
        <v>44713</v>
      </c>
      <c r="D913" s="128">
        <f t="shared" si="2"/>
        <v>44723</v>
      </c>
      <c r="E913" s="129">
        <f t="shared" si="3"/>
        <v>24</v>
      </c>
      <c r="F913" s="130" t="s">
        <v>24</v>
      </c>
      <c r="G913" s="131" t="s">
        <v>49</v>
      </c>
      <c r="H913" s="130" t="s">
        <v>124</v>
      </c>
      <c r="I913" s="132">
        <v>7800.0</v>
      </c>
      <c r="J913" s="133" t="s">
        <v>122</v>
      </c>
      <c r="K913" s="134" t="s">
        <v>688</v>
      </c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0" customHeight="1">
      <c r="A914" s="25"/>
      <c r="B914" s="126">
        <v>44730.0</v>
      </c>
      <c r="C914" s="127">
        <f t="shared" si="1"/>
        <v>44713</v>
      </c>
      <c r="D914" s="128">
        <f t="shared" si="2"/>
        <v>44730</v>
      </c>
      <c r="E914" s="129">
        <f t="shared" si="3"/>
        <v>25</v>
      </c>
      <c r="F914" s="130" t="s">
        <v>24</v>
      </c>
      <c r="G914" s="131" t="s">
        <v>49</v>
      </c>
      <c r="H914" s="130" t="s">
        <v>124</v>
      </c>
      <c r="I914" s="132">
        <v>7800.0</v>
      </c>
      <c r="J914" s="133" t="s">
        <v>122</v>
      </c>
      <c r="K914" s="134" t="s">
        <v>689</v>
      </c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0" customHeight="1">
      <c r="A915" s="25"/>
      <c r="B915" s="126">
        <v>44737.0</v>
      </c>
      <c r="C915" s="127">
        <f t="shared" si="1"/>
        <v>44713</v>
      </c>
      <c r="D915" s="128">
        <f t="shared" si="2"/>
        <v>44737</v>
      </c>
      <c r="E915" s="129">
        <f t="shared" si="3"/>
        <v>26</v>
      </c>
      <c r="F915" s="130" t="s">
        <v>24</v>
      </c>
      <c r="G915" s="131" t="s">
        <v>49</v>
      </c>
      <c r="H915" s="130" t="s">
        <v>124</v>
      </c>
      <c r="I915" s="132">
        <f>3900*2</f>
        <v>7800</v>
      </c>
      <c r="J915" s="133" t="s">
        <v>122</v>
      </c>
      <c r="K915" s="134" t="s">
        <v>688</v>
      </c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0" customHeight="1">
      <c r="A916" s="25"/>
      <c r="B916" s="126">
        <v>44784.0</v>
      </c>
      <c r="C916" s="127">
        <f t="shared" si="1"/>
        <v>44774</v>
      </c>
      <c r="D916" s="128">
        <f t="shared" si="2"/>
        <v>44784</v>
      </c>
      <c r="E916" s="129">
        <f t="shared" si="3"/>
        <v>33</v>
      </c>
      <c r="F916" s="130" t="s">
        <v>26</v>
      </c>
      <c r="G916" s="131" t="s">
        <v>79</v>
      </c>
      <c r="H916" s="130" t="s">
        <v>124</v>
      </c>
      <c r="I916" s="132">
        <v>7800.0</v>
      </c>
      <c r="J916" s="133" t="s">
        <v>125</v>
      </c>
      <c r="K916" s="134" t="s">
        <v>690</v>
      </c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0" customHeight="1">
      <c r="A917" s="25"/>
      <c r="B917" s="126">
        <v>44786.0</v>
      </c>
      <c r="C917" s="127">
        <f t="shared" si="1"/>
        <v>44774</v>
      </c>
      <c r="D917" s="128">
        <f t="shared" si="2"/>
        <v>44786</v>
      </c>
      <c r="E917" s="129">
        <f t="shared" si="3"/>
        <v>33</v>
      </c>
      <c r="F917" s="130" t="s">
        <v>24</v>
      </c>
      <c r="G917" s="131" t="s">
        <v>49</v>
      </c>
      <c r="H917" s="130" t="s">
        <v>124</v>
      </c>
      <c r="I917" s="132">
        <f>3900*2</f>
        <v>7800</v>
      </c>
      <c r="J917" s="133" t="s">
        <v>122</v>
      </c>
      <c r="K917" s="134" t="s">
        <v>689</v>
      </c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0" customHeight="1">
      <c r="A918" s="25"/>
      <c r="B918" s="126">
        <v>44793.0</v>
      </c>
      <c r="C918" s="127">
        <f t="shared" si="1"/>
        <v>44774</v>
      </c>
      <c r="D918" s="128">
        <f t="shared" si="2"/>
        <v>44793</v>
      </c>
      <c r="E918" s="129">
        <f t="shared" si="3"/>
        <v>34</v>
      </c>
      <c r="F918" s="130" t="s">
        <v>24</v>
      </c>
      <c r="G918" s="131" t="s">
        <v>49</v>
      </c>
      <c r="H918" s="130" t="s">
        <v>124</v>
      </c>
      <c r="I918" s="132">
        <v>7800.0</v>
      </c>
      <c r="J918" s="133" t="s">
        <v>125</v>
      </c>
      <c r="K918" s="134" t="s">
        <v>689</v>
      </c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0" customHeight="1">
      <c r="A919" s="25"/>
      <c r="B919" s="126">
        <v>44856.0</v>
      </c>
      <c r="C919" s="127">
        <f t="shared" si="1"/>
        <v>44835</v>
      </c>
      <c r="D919" s="128">
        <f t="shared" si="2"/>
        <v>44856</v>
      </c>
      <c r="E919" s="129">
        <f t="shared" si="3"/>
        <v>43</v>
      </c>
      <c r="F919" s="130" t="s">
        <v>24</v>
      </c>
      <c r="G919" s="131" t="s">
        <v>49</v>
      </c>
      <c r="H919" s="130" t="s">
        <v>124</v>
      </c>
      <c r="I919" s="132">
        <v>7800.0</v>
      </c>
      <c r="J919" s="133" t="s">
        <v>122</v>
      </c>
      <c r="K919" s="134" t="s">
        <v>689</v>
      </c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0" customHeight="1">
      <c r="A920" s="25"/>
      <c r="B920" s="126">
        <v>44863.0</v>
      </c>
      <c r="C920" s="127">
        <f t="shared" si="1"/>
        <v>44835</v>
      </c>
      <c r="D920" s="128">
        <f t="shared" si="2"/>
        <v>44863</v>
      </c>
      <c r="E920" s="129">
        <f t="shared" si="3"/>
        <v>44</v>
      </c>
      <c r="F920" s="130" t="s">
        <v>24</v>
      </c>
      <c r="G920" s="131" t="s">
        <v>49</v>
      </c>
      <c r="H920" s="130" t="s">
        <v>124</v>
      </c>
      <c r="I920" s="132">
        <v>7800.0</v>
      </c>
      <c r="J920" s="133" t="s">
        <v>125</v>
      </c>
      <c r="K920" s="134" t="s">
        <v>689</v>
      </c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0" customHeight="1">
      <c r="A921" s="25"/>
      <c r="B921" s="126">
        <v>44912.0</v>
      </c>
      <c r="C921" s="127">
        <f t="shared" si="1"/>
        <v>44896</v>
      </c>
      <c r="D921" s="128">
        <f t="shared" si="2"/>
        <v>44912</v>
      </c>
      <c r="E921" s="129">
        <f t="shared" si="3"/>
        <v>51</v>
      </c>
      <c r="F921" s="130" t="s">
        <v>24</v>
      </c>
      <c r="G921" s="131" t="s">
        <v>49</v>
      </c>
      <c r="H921" s="130" t="s">
        <v>124</v>
      </c>
      <c r="I921" s="132">
        <f>3900*2</f>
        <v>7800</v>
      </c>
      <c r="J921" s="133" t="s">
        <v>122</v>
      </c>
      <c r="K921" s="134" t="s">
        <v>689</v>
      </c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0" customHeight="1">
      <c r="A922" s="25"/>
      <c r="B922" s="126">
        <v>44807.0</v>
      </c>
      <c r="C922" s="127">
        <f t="shared" si="1"/>
        <v>44805</v>
      </c>
      <c r="D922" s="128">
        <f t="shared" si="2"/>
        <v>44807</v>
      </c>
      <c r="E922" s="129">
        <f t="shared" si="3"/>
        <v>36</v>
      </c>
      <c r="F922" s="130" t="s">
        <v>24</v>
      </c>
      <c r="G922" s="131" t="s">
        <v>29</v>
      </c>
      <c r="H922" s="130" t="s">
        <v>124</v>
      </c>
      <c r="I922" s="132">
        <f>6700+3000-1340-600</f>
        <v>7760</v>
      </c>
      <c r="J922" s="133" t="s">
        <v>125</v>
      </c>
      <c r="K922" s="134" t="s">
        <v>592</v>
      </c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0" customHeight="1">
      <c r="A923" s="25"/>
      <c r="B923" s="126">
        <v>44687.0</v>
      </c>
      <c r="C923" s="127">
        <f t="shared" si="1"/>
        <v>44682</v>
      </c>
      <c r="D923" s="128">
        <f t="shared" si="2"/>
        <v>44687</v>
      </c>
      <c r="E923" s="129">
        <f t="shared" si="3"/>
        <v>19</v>
      </c>
      <c r="F923" s="130" t="s">
        <v>26</v>
      </c>
      <c r="G923" s="131" t="s">
        <v>87</v>
      </c>
      <c r="H923" s="130" t="s">
        <v>124</v>
      </c>
      <c r="I923" s="132">
        <f>8500-850</f>
        <v>7650</v>
      </c>
      <c r="J923" s="133" t="s">
        <v>125</v>
      </c>
      <c r="K923" s="134" t="s">
        <v>691</v>
      </c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0" customHeight="1">
      <c r="A924" s="25"/>
      <c r="B924" s="126">
        <v>44876.0</v>
      </c>
      <c r="C924" s="127">
        <f t="shared" si="1"/>
        <v>44866</v>
      </c>
      <c r="D924" s="128">
        <f t="shared" si="2"/>
        <v>44876</v>
      </c>
      <c r="E924" s="129">
        <f t="shared" si="3"/>
        <v>46</v>
      </c>
      <c r="F924" s="130" t="s">
        <v>26</v>
      </c>
      <c r="G924" s="131" t="s">
        <v>76</v>
      </c>
      <c r="H924" s="130" t="s">
        <v>124</v>
      </c>
      <c r="I924" s="132">
        <v>7600.0</v>
      </c>
      <c r="J924" s="133" t="s">
        <v>125</v>
      </c>
      <c r="K924" s="134" t="s">
        <v>167</v>
      </c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0" customHeight="1">
      <c r="A925" s="25"/>
      <c r="B925" s="126">
        <v>44761.0</v>
      </c>
      <c r="C925" s="127">
        <f t="shared" si="1"/>
        <v>44743</v>
      </c>
      <c r="D925" s="128">
        <f t="shared" si="2"/>
        <v>44761</v>
      </c>
      <c r="E925" s="129">
        <f t="shared" si="3"/>
        <v>30</v>
      </c>
      <c r="F925" s="130" t="s">
        <v>128</v>
      </c>
      <c r="G925" s="131" t="s">
        <v>129</v>
      </c>
      <c r="H925" s="130" t="s">
        <v>124</v>
      </c>
      <c r="I925" s="132">
        <v>7570.0</v>
      </c>
      <c r="J925" s="133" t="s">
        <v>125</v>
      </c>
      <c r="K925" s="134" t="s">
        <v>692</v>
      </c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0" customHeight="1">
      <c r="A926" s="25"/>
      <c r="B926" s="126">
        <v>44643.0</v>
      </c>
      <c r="C926" s="127">
        <f t="shared" si="1"/>
        <v>44621</v>
      </c>
      <c r="D926" s="128">
        <f t="shared" si="2"/>
        <v>44643</v>
      </c>
      <c r="E926" s="129">
        <f t="shared" si="3"/>
        <v>13</v>
      </c>
      <c r="F926" s="130" t="s">
        <v>26</v>
      </c>
      <c r="G926" s="131" t="s">
        <v>79</v>
      </c>
      <c r="H926" s="130" t="s">
        <v>124</v>
      </c>
      <c r="I926" s="132">
        <v>7500.0</v>
      </c>
      <c r="J926" s="133" t="s">
        <v>125</v>
      </c>
      <c r="K926" s="134" t="s">
        <v>693</v>
      </c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0" customHeight="1">
      <c r="A927" s="25"/>
      <c r="B927" s="126">
        <v>44757.0</v>
      </c>
      <c r="C927" s="127">
        <f t="shared" si="1"/>
        <v>44743</v>
      </c>
      <c r="D927" s="128">
        <f t="shared" si="2"/>
        <v>44757</v>
      </c>
      <c r="E927" s="129">
        <f t="shared" si="3"/>
        <v>29</v>
      </c>
      <c r="F927" s="130" t="s">
        <v>26</v>
      </c>
      <c r="G927" s="131" t="s">
        <v>87</v>
      </c>
      <c r="H927" s="130" t="s">
        <v>124</v>
      </c>
      <c r="I927" s="132">
        <f>15000-7500</f>
        <v>7500</v>
      </c>
      <c r="J927" s="133" t="s">
        <v>125</v>
      </c>
      <c r="K927" s="134" t="s">
        <v>501</v>
      </c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0" customHeight="1">
      <c r="A928" s="25"/>
      <c r="B928" s="126">
        <v>44805.0</v>
      </c>
      <c r="C928" s="127">
        <f t="shared" si="1"/>
        <v>44805</v>
      </c>
      <c r="D928" s="128">
        <f t="shared" si="2"/>
        <v>44805</v>
      </c>
      <c r="E928" s="129">
        <f t="shared" si="3"/>
        <v>36</v>
      </c>
      <c r="F928" s="130" t="s">
        <v>26</v>
      </c>
      <c r="G928" s="131" t="s">
        <v>79</v>
      </c>
      <c r="H928" s="130" t="s">
        <v>124</v>
      </c>
      <c r="I928" s="132">
        <v>7500.0</v>
      </c>
      <c r="J928" s="133" t="s">
        <v>125</v>
      </c>
      <c r="K928" s="134" t="s">
        <v>694</v>
      </c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0" customHeight="1">
      <c r="A929" s="25"/>
      <c r="B929" s="126">
        <v>44858.0</v>
      </c>
      <c r="C929" s="127">
        <f t="shared" si="1"/>
        <v>44835</v>
      </c>
      <c r="D929" s="128">
        <f t="shared" si="2"/>
        <v>44858</v>
      </c>
      <c r="E929" s="129">
        <f t="shared" si="3"/>
        <v>44</v>
      </c>
      <c r="F929" s="130" t="s">
        <v>26</v>
      </c>
      <c r="G929" s="131" t="s">
        <v>76</v>
      </c>
      <c r="H929" s="130" t="s">
        <v>124</v>
      </c>
      <c r="I929" s="132">
        <v>7490.0</v>
      </c>
      <c r="J929" s="133" t="s">
        <v>125</v>
      </c>
      <c r="K929" s="134" t="s">
        <v>167</v>
      </c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0" customHeight="1">
      <c r="A930" s="25"/>
      <c r="B930" s="126">
        <v>44911.0</v>
      </c>
      <c r="C930" s="127">
        <f t="shared" si="1"/>
        <v>44896</v>
      </c>
      <c r="D930" s="128">
        <f t="shared" si="2"/>
        <v>44911</v>
      </c>
      <c r="E930" s="129">
        <f t="shared" si="3"/>
        <v>51</v>
      </c>
      <c r="F930" s="130" t="s">
        <v>26</v>
      </c>
      <c r="G930" s="131" t="s">
        <v>79</v>
      </c>
      <c r="H930" s="130" t="s">
        <v>124</v>
      </c>
      <c r="I930" s="132">
        <f>1000+6500-50</f>
        <v>7450</v>
      </c>
      <c r="J930" s="133" t="s">
        <v>122</v>
      </c>
      <c r="K930" s="134" t="s">
        <v>695</v>
      </c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0" customHeight="1">
      <c r="A931" s="25"/>
      <c r="B931" s="126">
        <v>44832.0</v>
      </c>
      <c r="C931" s="127">
        <f t="shared" si="1"/>
        <v>44805</v>
      </c>
      <c r="D931" s="128">
        <f t="shared" si="2"/>
        <v>44832</v>
      </c>
      <c r="E931" s="129">
        <f t="shared" si="3"/>
        <v>40</v>
      </c>
      <c r="F931" s="130" t="s">
        <v>26</v>
      </c>
      <c r="G931" s="131" t="s">
        <v>76</v>
      </c>
      <c r="H931" s="130" t="s">
        <v>124</v>
      </c>
      <c r="I931" s="132">
        <v>7320.0</v>
      </c>
      <c r="J931" s="133" t="s">
        <v>125</v>
      </c>
      <c r="K931" s="134" t="s">
        <v>167</v>
      </c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0" customHeight="1">
      <c r="A932" s="25"/>
      <c r="B932" s="126">
        <v>44562.0</v>
      </c>
      <c r="C932" s="127">
        <f t="shared" si="1"/>
        <v>44562</v>
      </c>
      <c r="D932" s="128">
        <f t="shared" si="2"/>
        <v>44562</v>
      </c>
      <c r="E932" s="129">
        <f t="shared" si="3"/>
        <v>1</v>
      </c>
      <c r="F932" s="130" t="s">
        <v>24</v>
      </c>
      <c r="G932" s="131" t="s">
        <v>53</v>
      </c>
      <c r="H932" s="130" t="s">
        <v>121</v>
      </c>
      <c r="I932" s="132">
        <f>4482+2781</f>
        <v>7263</v>
      </c>
      <c r="J932" s="133" t="s">
        <v>122</v>
      </c>
      <c r="K932" s="134" t="s">
        <v>696</v>
      </c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0" customHeight="1">
      <c r="A933" s="25"/>
      <c r="B933" s="126">
        <v>44675.0</v>
      </c>
      <c r="C933" s="127">
        <f t="shared" si="1"/>
        <v>44652</v>
      </c>
      <c r="D933" s="128">
        <f t="shared" si="2"/>
        <v>44675</v>
      </c>
      <c r="E933" s="129">
        <f t="shared" si="3"/>
        <v>18</v>
      </c>
      <c r="F933" s="130" t="s">
        <v>26</v>
      </c>
      <c r="G933" s="131" t="s">
        <v>70</v>
      </c>
      <c r="H933" s="130" t="s">
        <v>124</v>
      </c>
      <c r="I933" s="132">
        <v>7145.0</v>
      </c>
      <c r="J933" s="133" t="s">
        <v>125</v>
      </c>
      <c r="K933" s="134" t="s">
        <v>697</v>
      </c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0" customHeight="1">
      <c r="A934" s="25"/>
      <c r="B934" s="126">
        <v>44734.0</v>
      </c>
      <c r="C934" s="127">
        <f t="shared" si="1"/>
        <v>44713</v>
      </c>
      <c r="D934" s="128">
        <f t="shared" si="2"/>
        <v>44734</v>
      </c>
      <c r="E934" s="129">
        <f t="shared" si="3"/>
        <v>26</v>
      </c>
      <c r="F934" s="130" t="s">
        <v>26</v>
      </c>
      <c r="G934" s="131" t="s">
        <v>70</v>
      </c>
      <c r="H934" s="130" t="s">
        <v>124</v>
      </c>
      <c r="I934" s="132">
        <v>7110.0</v>
      </c>
      <c r="J934" s="133" t="s">
        <v>125</v>
      </c>
      <c r="K934" s="134" t="s">
        <v>698</v>
      </c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0" customHeight="1">
      <c r="A935" s="25"/>
      <c r="B935" s="126">
        <v>44863.0</v>
      </c>
      <c r="C935" s="127">
        <f t="shared" si="1"/>
        <v>44835</v>
      </c>
      <c r="D935" s="128">
        <f t="shared" si="2"/>
        <v>44863</v>
      </c>
      <c r="E935" s="129">
        <f t="shared" si="3"/>
        <v>44</v>
      </c>
      <c r="F935" s="130" t="s">
        <v>26</v>
      </c>
      <c r="G935" s="131" t="s">
        <v>70</v>
      </c>
      <c r="H935" s="130" t="s">
        <v>124</v>
      </c>
      <c r="I935" s="132">
        <v>7005.0</v>
      </c>
      <c r="J935" s="133" t="s">
        <v>125</v>
      </c>
      <c r="K935" s="134" t="s">
        <v>699</v>
      </c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0" customHeight="1">
      <c r="A936" s="25"/>
      <c r="B936" s="126">
        <v>44732.0</v>
      </c>
      <c r="C936" s="127">
        <f t="shared" si="1"/>
        <v>44713</v>
      </c>
      <c r="D936" s="128">
        <f t="shared" si="2"/>
        <v>44732</v>
      </c>
      <c r="E936" s="129">
        <f t="shared" si="3"/>
        <v>26</v>
      </c>
      <c r="F936" s="130" t="s">
        <v>26</v>
      </c>
      <c r="G936" s="131" t="s">
        <v>87</v>
      </c>
      <c r="H936" s="130" t="s">
        <v>124</v>
      </c>
      <c r="I936" s="132">
        <v>7000.0</v>
      </c>
      <c r="J936" s="133" t="s">
        <v>122</v>
      </c>
      <c r="K936" s="134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0" customHeight="1">
      <c r="A937" s="25"/>
      <c r="B937" s="126">
        <v>44854.0</v>
      </c>
      <c r="C937" s="127">
        <f t="shared" si="1"/>
        <v>44835</v>
      </c>
      <c r="D937" s="128">
        <f t="shared" si="2"/>
        <v>44854</v>
      </c>
      <c r="E937" s="129">
        <f t="shared" si="3"/>
        <v>43</v>
      </c>
      <c r="F937" s="130" t="s">
        <v>26</v>
      </c>
      <c r="G937" s="131" t="s">
        <v>79</v>
      </c>
      <c r="H937" s="130" t="s">
        <v>124</v>
      </c>
      <c r="I937" s="132">
        <v>7000.0</v>
      </c>
      <c r="J937" s="133" t="s">
        <v>125</v>
      </c>
      <c r="K937" s="134" t="s">
        <v>700</v>
      </c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0" customHeight="1">
      <c r="A938" s="25"/>
      <c r="B938" s="126">
        <v>44863.0</v>
      </c>
      <c r="C938" s="127">
        <f t="shared" si="1"/>
        <v>44835</v>
      </c>
      <c r="D938" s="128">
        <f t="shared" si="2"/>
        <v>44863</v>
      </c>
      <c r="E938" s="129">
        <f t="shared" si="3"/>
        <v>44</v>
      </c>
      <c r="F938" s="130" t="s">
        <v>26</v>
      </c>
      <c r="G938" s="131" t="s">
        <v>79</v>
      </c>
      <c r="H938" s="130" t="s">
        <v>124</v>
      </c>
      <c r="I938" s="132">
        <v>7000.0</v>
      </c>
      <c r="J938" s="133" t="s">
        <v>125</v>
      </c>
      <c r="K938" s="134" t="s">
        <v>701</v>
      </c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0" customHeight="1">
      <c r="A939" s="25"/>
      <c r="B939" s="126">
        <v>44803.0</v>
      </c>
      <c r="C939" s="127">
        <f t="shared" si="1"/>
        <v>44774</v>
      </c>
      <c r="D939" s="128">
        <f t="shared" si="2"/>
        <v>44803</v>
      </c>
      <c r="E939" s="129">
        <f t="shared" si="3"/>
        <v>36</v>
      </c>
      <c r="F939" s="130" t="s">
        <v>26</v>
      </c>
      <c r="G939" s="131" t="s">
        <v>76</v>
      </c>
      <c r="H939" s="130" t="s">
        <v>124</v>
      </c>
      <c r="I939" s="132">
        <f>26890-19900</f>
        <v>6990</v>
      </c>
      <c r="J939" s="133" t="s">
        <v>125</v>
      </c>
      <c r="K939" s="134" t="s">
        <v>702</v>
      </c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0" customHeight="1">
      <c r="A940" s="25"/>
      <c r="B940" s="126">
        <v>44570.0</v>
      </c>
      <c r="C940" s="127">
        <f t="shared" si="1"/>
        <v>44562</v>
      </c>
      <c r="D940" s="128">
        <f t="shared" si="2"/>
        <v>44570</v>
      </c>
      <c r="E940" s="129">
        <f t="shared" si="3"/>
        <v>3</v>
      </c>
      <c r="F940" s="130" t="s">
        <v>26</v>
      </c>
      <c r="G940" s="131" t="s">
        <v>70</v>
      </c>
      <c r="H940" s="130" t="s">
        <v>124</v>
      </c>
      <c r="I940" s="132">
        <v>6830.0</v>
      </c>
      <c r="J940" s="133" t="s">
        <v>125</v>
      </c>
      <c r="K940" s="134" t="s">
        <v>703</v>
      </c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0" customHeight="1">
      <c r="A941" s="25"/>
      <c r="B941" s="126">
        <v>44817.0</v>
      </c>
      <c r="C941" s="127">
        <f t="shared" si="1"/>
        <v>44805</v>
      </c>
      <c r="D941" s="128">
        <f t="shared" si="2"/>
        <v>44817</v>
      </c>
      <c r="E941" s="129">
        <f t="shared" si="3"/>
        <v>38</v>
      </c>
      <c r="F941" s="130" t="s">
        <v>24</v>
      </c>
      <c r="G941" s="131" t="s">
        <v>54</v>
      </c>
      <c r="H941" s="130" t="s">
        <v>124</v>
      </c>
      <c r="I941" s="132">
        <v>6800.0</v>
      </c>
      <c r="J941" s="133" t="s">
        <v>122</v>
      </c>
      <c r="K941" s="134" t="s">
        <v>704</v>
      </c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0" customHeight="1">
      <c r="A942" s="25"/>
      <c r="B942" s="126">
        <v>44890.0</v>
      </c>
      <c r="C942" s="127">
        <f t="shared" si="1"/>
        <v>44866</v>
      </c>
      <c r="D942" s="128">
        <f t="shared" si="2"/>
        <v>44890</v>
      </c>
      <c r="E942" s="129">
        <f t="shared" si="3"/>
        <v>48</v>
      </c>
      <c r="F942" s="130" t="s">
        <v>26</v>
      </c>
      <c r="G942" s="131" t="s">
        <v>70</v>
      </c>
      <c r="H942" s="130" t="s">
        <v>124</v>
      </c>
      <c r="I942" s="132">
        <v>6778.0</v>
      </c>
      <c r="J942" s="133" t="s">
        <v>122</v>
      </c>
      <c r="K942" s="134" t="s">
        <v>705</v>
      </c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0" customHeight="1">
      <c r="A943" s="25"/>
      <c r="B943" s="126">
        <v>44712.0</v>
      </c>
      <c r="C943" s="127">
        <f t="shared" si="1"/>
        <v>44682</v>
      </c>
      <c r="D943" s="128">
        <f t="shared" si="2"/>
        <v>44712</v>
      </c>
      <c r="E943" s="129">
        <f t="shared" si="3"/>
        <v>23</v>
      </c>
      <c r="F943" s="130" t="s">
        <v>26</v>
      </c>
      <c r="G943" s="131" t="s">
        <v>84</v>
      </c>
      <c r="H943" s="130" t="s">
        <v>121</v>
      </c>
      <c r="I943" s="132">
        <f t="shared" ref="I943:I945" si="23">7500*0.9</f>
        <v>6750</v>
      </c>
      <c r="J943" s="133" t="s">
        <v>122</v>
      </c>
      <c r="K943" s="134" t="s">
        <v>706</v>
      </c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0" customHeight="1">
      <c r="A944" s="25"/>
      <c r="B944" s="126">
        <v>44783.0</v>
      </c>
      <c r="C944" s="127">
        <f t="shared" si="1"/>
        <v>44774</v>
      </c>
      <c r="D944" s="128">
        <f t="shared" si="2"/>
        <v>44783</v>
      </c>
      <c r="E944" s="129">
        <f t="shared" si="3"/>
        <v>33</v>
      </c>
      <c r="F944" s="130" t="s">
        <v>26</v>
      </c>
      <c r="G944" s="131" t="s">
        <v>79</v>
      </c>
      <c r="H944" s="130" t="s">
        <v>121</v>
      </c>
      <c r="I944" s="132">
        <f t="shared" si="23"/>
        <v>6750</v>
      </c>
      <c r="J944" s="133" t="s">
        <v>125</v>
      </c>
      <c r="K944" s="134" t="s">
        <v>707</v>
      </c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0" customHeight="1">
      <c r="A945" s="25"/>
      <c r="B945" s="126">
        <v>44785.0</v>
      </c>
      <c r="C945" s="127">
        <f t="shared" si="1"/>
        <v>44774</v>
      </c>
      <c r="D945" s="128">
        <f t="shared" si="2"/>
        <v>44785</v>
      </c>
      <c r="E945" s="129">
        <f t="shared" si="3"/>
        <v>33</v>
      </c>
      <c r="F945" s="130" t="s">
        <v>26</v>
      </c>
      <c r="G945" s="131" t="s">
        <v>72</v>
      </c>
      <c r="H945" s="130" t="s">
        <v>121</v>
      </c>
      <c r="I945" s="132">
        <f t="shared" si="23"/>
        <v>6750</v>
      </c>
      <c r="J945" s="133" t="s">
        <v>122</v>
      </c>
      <c r="K945" s="134" t="s">
        <v>560</v>
      </c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0" customHeight="1">
      <c r="A946" s="25"/>
      <c r="B946" s="126">
        <v>44912.0</v>
      </c>
      <c r="C946" s="127">
        <f t="shared" si="1"/>
        <v>44896</v>
      </c>
      <c r="D946" s="128">
        <f t="shared" si="2"/>
        <v>44912</v>
      </c>
      <c r="E946" s="129">
        <f t="shared" si="3"/>
        <v>51</v>
      </c>
      <c r="F946" s="130" t="s">
        <v>26</v>
      </c>
      <c r="G946" s="131" t="s">
        <v>70</v>
      </c>
      <c r="H946" s="130" t="s">
        <v>124</v>
      </c>
      <c r="I946" s="132">
        <v>6750.0</v>
      </c>
      <c r="J946" s="133" t="s">
        <v>125</v>
      </c>
      <c r="K946" s="134" t="s">
        <v>708</v>
      </c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0" customHeight="1">
      <c r="A947" s="25"/>
      <c r="B947" s="126">
        <v>44715.0</v>
      </c>
      <c r="C947" s="127">
        <f t="shared" si="1"/>
        <v>44713</v>
      </c>
      <c r="D947" s="128">
        <f t="shared" si="2"/>
        <v>44715</v>
      </c>
      <c r="E947" s="129">
        <f t="shared" si="3"/>
        <v>23</v>
      </c>
      <c r="F947" s="130" t="s">
        <v>24</v>
      </c>
      <c r="G947" s="131" t="s">
        <v>53</v>
      </c>
      <c r="H947" s="130" t="s">
        <v>121</v>
      </c>
      <c r="I947" s="132">
        <v>6740.0</v>
      </c>
      <c r="J947" s="133" t="s">
        <v>122</v>
      </c>
      <c r="K947" s="134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0" customHeight="1">
      <c r="A948" s="25"/>
      <c r="B948" s="126">
        <v>44905.0</v>
      </c>
      <c r="C948" s="127">
        <f t="shared" si="1"/>
        <v>44896</v>
      </c>
      <c r="D948" s="128">
        <f t="shared" si="2"/>
        <v>44905</v>
      </c>
      <c r="E948" s="129">
        <f t="shared" si="3"/>
        <v>50</v>
      </c>
      <c r="F948" s="130" t="s">
        <v>26</v>
      </c>
      <c r="G948" s="131" t="s">
        <v>70</v>
      </c>
      <c r="H948" s="130" t="s">
        <v>124</v>
      </c>
      <c r="I948" s="132">
        <v>6740.0</v>
      </c>
      <c r="J948" s="133" t="s">
        <v>125</v>
      </c>
      <c r="K948" s="134" t="s">
        <v>709</v>
      </c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0" customHeight="1">
      <c r="A949" s="25"/>
      <c r="B949" s="126">
        <v>44804.0</v>
      </c>
      <c r="C949" s="127">
        <f t="shared" si="1"/>
        <v>44774</v>
      </c>
      <c r="D949" s="128">
        <f t="shared" si="2"/>
        <v>44804</v>
      </c>
      <c r="E949" s="129">
        <f t="shared" si="3"/>
        <v>36</v>
      </c>
      <c r="F949" s="130" t="s">
        <v>24</v>
      </c>
      <c r="G949" s="131" t="s">
        <v>29</v>
      </c>
      <c r="H949" s="130" t="s">
        <v>124</v>
      </c>
      <c r="I949" s="132">
        <f>1250+7150-250-1430</f>
        <v>6720</v>
      </c>
      <c r="J949" s="133" t="s">
        <v>125</v>
      </c>
      <c r="K949" s="134" t="s">
        <v>29</v>
      </c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0" customHeight="1">
      <c r="A950" s="25"/>
      <c r="B950" s="126">
        <v>44905.0</v>
      </c>
      <c r="C950" s="127">
        <f t="shared" si="1"/>
        <v>44896</v>
      </c>
      <c r="D950" s="128">
        <f t="shared" si="2"/>
        <v>44905</v>
      </c>
      <c r="E950" s="129">
        <f t="shared" si="3"/>
        <v>50</v>
      </c>
      <c r="F950" s="130" t="s">
        <v>26</v>
      </c>
      <c r="G950" s="131" t="s">
        <v>70</v>
      </c>
      <c r="H950" s="130" t="s">
        <v>124</v>
      </c>
      <c r="I950" s="132">
        <v>6640.0</v>
      </c>
      <c r="J950" s="133" t="s">
        <v>125</v>
      </c>
      <c r="K950" s="134" t="s">
        <v>710</v>
      </c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0" customHeight="1">
      <c r="A951" s="25"/>
      <c r="B951" s="126">
        <v>44920.0</v>
      </c>
      <c r="C951" s="127">
        <f t="shared" si="1"/>
        <v>44896</v>
      </c>
      <c r="D951" s="128">
        <f t="shared" si="2"/>
        <v>44920</v>
      </c>
      <c r="E951" s="129">
        <f t="shared" si="3"/>
        <v>53</v>
      </c>
      <c r="F951" s="130" t="s">
        <v>26</v>
      </c>
      <c r="G951" s="131" t="s">
        <v>87</v>
      </c>
      <c r="H951" s="130" t="s">
        <v>124</v>
      </c>
      <c r="I951" s="132">
        <f>4600+2000</f>
        <v>6600</v>
      </c>
      <c r="J951" s="133" t="s">
        <v>122</v>
      </c>
      <c r="K951" s="134" t="s">
        <v>711</v>
      </c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0" customHeight="1">
      <c r="A952" s="25"/>
      <c r="B952" s="126">
        <v>44912.0</v>
      </c>
      <c r="C952" s="127">
        <f t="shared" si="1"/>
        <v>44896</v>
      </c>
      <c r="D952" s="128">
        <f t="shared" si="2"/>
        <v>44912</v>
      </c>
      <c r="E952" s="129">
        <f t="shared" si="3"/>
        <v>51</v>
      </c>
      <c r="F952" s="130" t="s">
        <v>24</v>
      </c>
      <c r="G952" s="131" t="s">
        <v>49</v>
      </c>
      <c r="H952" s="130" t="s">
        <v>124</v>
      </c>
      <c r="I952" s="132">
        <v>6500.0</v>
      </c>
      <c r="J952" s="133" t="s">
        <v>125</v>
      </c>
      <c r="K952" s="134" t="s">
        <v>712</v>
      </c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0" customHeight="1">
      <c r="A953" s="25"/>
      <c r="B953" s="126">
        <v>44912.0</v>
      </c>
      <c r="C953" s="127">
        <f t="shared" si="1"/>
        <v>44896</v>
      </c>
      <c r="D953" s="128">
        <f t="shared" si="2"/>
        <v>44912</v>
      </c>
      <c r="E953" s="129">
        <f t="shared" si="3"/>
        <v>51</v>
      </c>
      <c r="F953" s="130" t="s">
        <v>24</v>
      </c>
      <c r="G953" s="131" t="s">
        <v>49</v>
      </c>
      <c r="H953" s="130" t="s">
        <v>124</v>
      </c>
      <c r="I953" s="132">
        <v>6500.0</v>
      </c>
      <c r="J953" s="133" t="s">
        <v>125</v>
      </c>
      <c r="K953" s="134" t="s">
        <v>713</v>
      </c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0" customHeight="1">
      <c r="A954" s="25"/>
      <c r="B954" s="126">
        <v>44870.0</v>
      </c>
      <c r="C954" s="127">
        <f t="shared" si="1"/>
        <v>44866</v>
      </c>
      <c r="D954" s="128">
        <f t="shared" si="2"/>
        <v>44870</v>
      </c>
      <c r="E954" s="129">
        <f t="shared" si="3"/>
        <v>45</v>
      </c>
      <c r="F954" s="130" t="s">
        <v>26</v>
      </c>
      <c r="G954" s="131" t="s">
        <v>82</v>
      </c>
      <c r="H954" s="130" t="s">
        <v>124</v>
      </c>
      <c r="I954" s="132">
        <v>6480.0</v>
      </c>
      <c r="J954" s="133" t="s">
        <v>122</v>
      </c>
      <c r="K954" s="134" t="s">
        <v>714</v>
      </c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0" customHeight="1">
      <c r="A955" s="25"/>
      <c r="B955" s="126">
        <v>44892.0</v>
      </c>
      <c r="C955" s="127">
        <f t="shared" si="1"/>
        <v>44866</v>
      </c>
      <c r="D955" s="128">
        <f t="shared" si="2"/>
        <v>44892</v>
      </c>
      <c r="E955" s="129">
        <f t="shared" si="3"/>
        <v>49</v>
      </c>
      <c r="F955" s="130" t="s">
        <v>26</v>
      </c>
      <c r="G955" s="131" t="s">
        <v>70</v>
      </c>
      <c r="H955" s="130" t="s">
        <v>124</v>
      </c>
      <c r="I955" s="132">
        <v>6422.0</v>
      </c>
      <c r="J955" s="133" t="s">
        <v>122</v>
      </c>
      <c r="K955" s="134" t="s">
        <v>715</v>
      </c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0" customHeight="1">
      <c r="A956" s="25"/>
      <c r="B956" s="126">
        <v>44817.0</v>
      </c>
      <c r="C956" s="127">
        <f t="shared" si="1"/>
        <v>44805</v>
      </c>
      <c r="D956" s="128">
        <f t="shared" si="2"/>
        <v>44817</v>
      </c>
      <c r="E956" s="129">
        <f t="shared" si="3"/>
        <v>38</v>
      </c>
      <c r="F956" s="130" t="s">
        <v>26</v>
      </c>
      <c r="G956" s="131" t="s">
        <v>76</v>
      </c>
      <c r="H956" s="130" t="s">
        <v>124</v>
      </c>
      <c r="I956" s="132">
        <v>6420.0</v>
      </c>
      <c r="J956" s="133" t="s">
        <v>125</v>
      </c>
      <c r="K956" s="134" t="s">
        <v>716</v>
      </c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0" customHeight="1">
      <c r="A957" s="25"/>
      <c r="B957" s="126">
        <v>44859.0</v>
      </c>
      <c r="C957" s="127">
        <f t="shared" si="1"/>
        <v>44835</v>
      </c>
      <c r="D957" s="128">
        <f t="shared" si="2"/>
        <v>44859</v>
      </c>
      <c r="E957" s="129">
        <f t="shared" si="3"/>
        <v>44</v>
      </c>
      <c r="F957" s="130" t="s">
        <v>24</v>
      </c>
      <c r="G957" s="131" t="s">
        <v>29</v>
      </c>
      <c r="H957" s="130" t="s">
        <v>124</v>
      </c>
      <c r="I957" s="132">
        <f>8000-1600</f>
        <v>6400</v>
      </c>
      <c r="J957" s="133" t="s">
        <v>125</v>
      </c>
      <c r="K957" s="134" t="s">
        <v>592</v>
      </c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0" customHeight="1">
      <c r="A958" s="25"/>
      <c r="B958" s="126">
        <v>44906.0</v>
      </c>
      <c r="C958" s="127">
        <f t="shared" si="1"/>
        <v>44896</v>
      </c>
      <c r="D958" s="128">
        <f t="shared" si="2"/>
        <v>44906</v>
      </c>
      <c r="E958" s="129">
        <f t="shared" si="3"/>
        <v>51</v>
      </c>
      <c r="F958" s="130" t="s">
        <v>26</v>
      </c>
      <c r="G958" s="131" t="s">
        <v>79</v>
      </c>
      <c r="H958" s="130" t="s">
        <v>121</v>
      </c>
      <c r="I958" s="132">
        <f>7000*0.9</f>
        <v>6300</v>
      </c>
      <c r="J958" s="133" t="s">
        <v>125</v>
      </c>
      <c r="K958" s="134" t="s">
        <v>717</v>
      </c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0" customHeight="1">
      <c r="A959" s="25"/>
      <c r="B959" s="126">
        <v>44879.0</v>
      </c>
      <c r="C959" s="127">
        <f t="shared" si="1"/>
        <v>44866</v>
      </c>
      <c r="D959" s="128">
        <f t="shared" si="2"/>
        <v>44879</v>
      </c>
      <c r="E959" s="129">
        <f t="shared" si="3"/>
        <v>47</v>
      </c>
      <c r="F959" s="130" t="s">
        <v>26</v>
      </c>
      <c r="G959" s="131" t="s">
        <v>76</v>
      </c>
      <c r="H959" s="130" t="s">
        <v>124</v>
      </c>
      <c r="I959" s="132">
        <v>6170.0</v>
      </c>
      <c r="J959" s="133" t="s">
        <v>125</v>
      </c>
      <c r="K959" s="134" t="s">
        <v>167</v>
      </c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0" customHeight="1">
      <c r="A960" s="25"/>
      <c r="B960" s="126">
        <v>44727.0</v>
      </c>
      <c r="C960" s="127">
        <f t="shared" si="1"/>
        <v>44713</v>
      </c>
      <c r="D960" s="128">
        <f t="shared" si="2"/>
        <v>44727</v>
      </c>
      <c r="E960" s="129">
        <f t="shared" si="3"/>
        <v>25</v>
      </c>
      <c r="F960" s="130" t="s">
        <v>26</v>
      </c>
      <c r="G960" s="131" t="s">
        <v>87</v>
      </c>
      <c r="H960" s="130" t="s">
        <v>124</v>
      </c>
      <c r="I960" s="132">
        <f>11100-5000</f>
        <v>6100</v>
      </c>
      <c r="J960" s="133" t="s">
        <v>125</v>
      </c>
      <c r="K960" s="134" t="s">
        <v>718</v>
      </c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0" customHeight="1">
      <c r="A961" s="25"/>
      <c r="B961" s="126">
        <v>44870.0</v>
      </c>
      <c r="C961" s="127">
        <f t="shared" si="1"/>
        <v>44866</v>
      </c>
      <c r="D961" s="128">
        <f t="shared" si="2"/>
        <v>44870</v>
      </c>
      <c r="E961" s="129">
        <f t="shared" si="3"/>
        <v>45</v>
      </c>
      <c r="F961" s="130" t="s">
        <v>26</v>
      </c>
      <c r="G961" s="131" t="s">
        <v>79</v>
      </c>
      <c r="H961" s="130" t="s">
        <v>124</v>
      </c>
      <c r="I961" s="132">
        <v>6100.0</v>
      </c>
      <c r="J961" s="133" t="s">
        <v>125</v>
      </c>
      <c r="K961" s="134" t="s">
        <v>719</v>
      </c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0" customHeight="1">
      <c r="A962" s="25"/>
      <c r="B962" s="126">
        <v>44614.0</v>
      </c>
      <c r="C962" s="127">
        <f t="shared" si="1"/>
        <v>44593</v>
      </c>
      <c r="D962" s="128">
        <f t="shared" si="2"/>
        <v>44614</v>
      </c>
      <c r="E962" s="129">
        <f t="shared" si="3"/>
        <v>9</v>
      </c>
      <c r="F962" s="130" t="s">
        <v>26</v>
      </c>
      <c r="G962" s="131" t="s">
        <v>70</v>
      </c>
      <c r="H962" s="130" t="s">
        <v>124</v>
      </c>
      <c r="I962" s="132">
        <v>6090.0</v>
      </c>
      <c r="J962" s="133" t="s">
        <v>125</v>
      </c>
      <c r="K962" s="134" t="s">
        <v>720</v>
      </c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0" customHeight="1">
      <c r="A963" s="25"/>
      <c r="B963" s="126">
        <v>44632.0</v>
      </c>
      <c r="C963" s="127">
        <f t="shared" si="1"/>
        <v>44621</v>
      </c>
      <c r="D963" s="128">
        <f t="shared" si="2"/>
        <v>44632</v>
      </c>
      <c r="E963" s="129">
        <f t="shared" si="3"/>
        <v>11</v>
      </c>
      <c r="F963" s="130" t="s">
        <v>26</v>
      </c>
      <c r="G963" s="131" t="s">
        <v>87</v>
      </c>
      <c r="H963" s="130" t="s">
        <v>124</v>
      </c>
      <c r="I963" s="132">
        <f>6700-670</f>
        <v>6030</v>
      </c>
      <c r="J963" s="133" t="s">
        <v>125</v>
      </c>
      <c r="K963" s="134" t="s">
        <v>721</v>
      </c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0" customHeight="1">
      <c r="A964" s="25"/>
      <c r="B964" s="126">
        <v>44732.0</v>
      </c>
      <c r="C964" s="127">
        <f t="shared" si="1"/>
        <v>44713</v>
      </c>
      <c r="D964" s="128">
        <f t="shared" si="2"/>
        <v>44732</v>
      </c>
      <c r="E964" s="129">
        <f t="shared" si="3"/>
        <v>26</v>
      </c>
      <c r="F964" s="130" t="s">
        <v>26</v>
      </c>
      <c r="G964" s="131" t="s">
        <v>82</v>
      </c>
      <c r="H964" s="130" t="s">
        <v>124</v>
      </c>
      <c r="I964" s="132">
        <v>6030.0</v>
      </c>
      <c r="J964" s="133" t="s">
        <v>125</v>
      </c>
      <c r="K964" s="134" t="s">
        <v>722</v>
      </c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0" customHeight="1">
      <c r="A965" s="25"/>
      <c r="B965" s="126">
        <v>44783.0</v>
      </c>
      <c r="C965" s="127">
        <f t="shared" si="1"/>
        <v>44774</v>
      </c>
      <c r="D965" s="128">
        <f t="shared" si="2"/>
        <v>44783</v>
      </c>
      <c r="E965" s="129">
        <f t="shared" si="3"/>
        <v>33</v>
      </c>
      <c r="F965" s="130" t="s">
        <v>26</v>
      </c>
      <c r="G965" s="131" t="s">
        <v>70</v>
      </c>
      <c r="H965" s="130" t="s">
        <v>124</v>
      </c>
      <c r="I965" s="132">
        <v>6000.0</v>
      </c>
      <c r="J965" s="133" t="s">
        <v>122</v>
      </c>
      <c r="K965" s="134" t="s">
        <v>723</v>
      </c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0" customHeight="1">
      <c r="A966" s="25"/>
      <c r="B966" s="126">
        <v>44844.0</v>
      </c>
      <c r="C966" s="127">
        <f t="shared" si="1"/>
        <v>44835</v>
      </c>
      <c r="D966" s="128">
        <f t="shared" si="2"/>
        <v>44844</v>
      </c>
      <c r="E966" s="129">
        <f t="shared" si="3"/>
        <v>42</v>
      </c>
      <c r="F966" s="130" t="s">
        <v>26</v>
      </c>
      <c r="G966" s="131" t="s">
        <v>70</v>
      </c>
      <c r="H966" s="130" t="s">
        <v>124</v>
      </c>
      <c r="I966" s="132">
        <v>6000.0</v>
      </c>
      <c r="J966" s="133" t="s">
        <v>122</v>
      </c>
      <c r="K966" s="134" t="s">
        <v>723</v>
      </c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0" customHeight="1">
      <c r="A967" s="25"/>
      <c r="B967" s="126">
        <v>44705.0</v>
      </c>
      <c r="C967" s="127">
        <f t="shared" si="1"/>
        <v>44682</v>
      </c>
      <c r="D967" s="128">
        <f t="shared" si="2"/>
        <v>44705</v>
      </c>
      <c r="E967" s="129">
        <f t="shared" si="3"/>
        <v>22</v>
      </c>
      <c r="F967" s="130" t="s">
        <v>24</v>
      </c>
      <c r="G967" s="131" t="s">
        <v>52</v>
      </c>
      <c r="H967" s="130" t="s">
        <v>124</v>
      </c>
      <c r="I967" s="132">
        <v>5930.0</v>
      </c>
      <c r="J967" s="133" t="s">
        <v>122</v>
      </c>
      <c r="K967" s="134" t="s">
        <v>724</v>
      </c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0" customHeight="1">
      <c r="A968" s="25"/>
      <c r="B968" s="126">
        <v>44572.0</v>
      </c>
      <c r="C968" s="127">
        <f t="shared" si="1"/>
        <v>44562</v>
      </c>
      <c r="D968" s="128">
        <f t="shared" si="2"/>
        <v>44572</v>
      </c>
      <c r="E968" s="129">
        <f t="shared" si="3"/>
        <v>3</v>
      </c>
      <c r="F968" s="130" t="s">
        <v>26</v>
      </c>
      <c r="G968" s="131" t="s">
        <v>70</v>
      </c>
      <c r="H968" s="130" t="s">
        <v>124</v>
      </c>
      <c r="I968" s="132">
        <v>5900.0</v>
      </c>
      <c r="J968" s="133" t="s">
        <v>122</v>
      </c>
      <c r="K968" s="134" t="s">
        <v>725</v>
      </c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0" customHeight="1">
      <c r="A969" s="25"/>
      <c r="B969" s="126">
        <v>44620.0</v>
      </c>
      <c r="C969" s="127">
        <f t="shared" si="1"/>
        <v>44593</v>
      </c>
      <c r="D969" s="128">
        <f t="shared" si="2"/>
        <v>44620</v>
      </c>
      <c r="E969" s="129">
        <f t="shared" si="3"/>
        <v>10</v>
      </c>
      <c r="F969" s="130" t="s">
        <v>24</v>
      </c>
      <c r="G969" s="131" t="s">
        <v>53</v>
      </c>
      <c r="H969" s="130" t="s">
        <v>121</v>
      </c>
      <c r="I969" s="132">
        <f>4200+1662</f>
        <v>5862</v>
      </c>
      <c r="J969" s="133" t="s">
        <v>122</v>
      </c>
      <c r="K969" s="134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0" customHeight="1">
      <c r="A970" s="25"/>
      <c r="B970" s="126">
        <v>44856.0</v>
      </c>
      <c r="C970" s="127">
        <f t="shared" si="1"/>
        <v>44835</v>
      </c>
      <c r="D970" s="128">
        <f t="shared" si="2"/>
        <v>44856</v>
      </c>
      <c r="E970" s="129">
        <f t="shared" si="3"/>
        <v>43</v>
      </c>
      <c r="F970" s="130" t="s">
        <v>26</v>
      </c>
      <c r="G970" s="131" t="s">
        <v>76</v>
      </c>
      <c r="H970" s="130" t="s">
        <v>124</v>
      </c>
      <c r="I970" s="132">
        <f>3380+2290</f>
        <v>5670</v>
      </c>
      <c r="J970" s="133" t="s">
        <v>122</v>
      </c>
      <c r="K970" s="134" t="s">
        <v>726</v>
      </c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0" customHeight="1">
      <c r="A971" s="25"/>
      <c r="B971" s="126">
        <v>44572.0</v>
      </c>
      <c r="C971" s="127">
        <f t="shared" si="1"/>
        <v>44562</v>
      </c>
      <c r="D971" s="128">
        <f t="shared" si="2"/>
        <v>44572</v>
      </c>
      <c r="E971" s="129">
        <f t="shared" si="3"/>
        <v>3</v>
      </c>
      <c r="F971" s="130" t="s">
        <v>26</v>
      </c>
      <c r="G971" s="131" t="s">
        <v>76</v>
      </c>
      <c r="H971" s="130" t="s">
        <v>124</v>
      </c>
      <c r="I971" s="132">
        <v>5650.0</v>
      </c>
      <c r="J971" s="133" t="s">
        <v>125</v>
      </c>
      <c r="K971" s="134" t="s">
        <v>727</v>
      </c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0" customHeight="1">
      <c r="A972" s="25"/>
      <c r="B972" s="126">
        <v>44839.0</v>
      </c>
      <c r="C972" s="127">
        <f t="shared" si="1"/>
        <v>44835</v>
      </c>
      <c r="D972" s="128">
        <f t="shared" si="2"/>
        <v>44839</v>
      </c>
      <c r="E972" s="129">
        <f t="shared" si="3"/>
        <v>41</v>
      </c>
      <c r="F972" s="130" t="s">
        <v>26</v>
      </c>
      <c r="G972" s="131" t="s">
        <v>82</v>
      </c>
      <c r="H972" s="130" t="s">
        <v>124</v>
      </c>
      <c r="I972" s="132">
        <v>5625.0</v>
      </c>
      <c r="J972" s="133" t="s">
        <v>122</v>
      </c>
      <c r="K972" s="134" t="s">
        <v>728</v>
      </c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2.0" customHeight="1">
      <c r="A973" s="25"/>
      <c r="B973" s="126">
        <v>44752.0</v>
      </c>
      <c r="C973" s="127">
        <f t="shared" si="1"/>
        <v>44743</v>
      </c>
      <c r="D973" s="128">
        <f t="shared" si="2"/>
        <v>44752</v>
      </c>
      <c r="E973" s="129">
        <f t="shared" si="3"/>
        <v>29</v>
      </c>
      <c r="F973" s="130" t="s">
        <v>26</v>
      </c>
      <c r="G973" s="131" t="s">
        <v>87</v>
      </c>
      <c r="H973" s="130" t="s">
        <v>124</v>
      </c>
      <c r="I973" s="132">
        <f>6200-620</f>
        <v>5580</v>
      </c>
      <c r="J973" s="133" t="s">
        <v>125</v>
      </c>
      <c r="K973" s="134" t="s">
        <v>622</v>
      </c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2.0" customHeight="1">
      <c r="A974" s="25"/>
      <c r="B974" s="126">
        <v>44789.0</v>
      </c>
      <c r="C974" s="127">
        <f t="shared" si="1"/>
        <v>44774</v>
      </c>
      <c r="D974" s="128">
        <f t="shared" si="2"/>
        <v>44789</v>
      </c>
      <c r="E974" s="129">
        <f t="shared" si="3"/>
        <v>34</v>
      </c>
      <c r="F974" s="130" t="s">
        <v>26</v>
      </c>
      <c r="G974" s="131" t="s">
        <v>70</v>
      </c>
      <c r="H974" s="130" t="s">
        <v>124</v>
      </c>
      <c r="I974" s="132">
        <v>5520.0</v>
      </c>
      <c r="J974" s="133" t="s">
        <v>122</v>
      </c>
      <c r="K974" s="134" t="s">
        <v>729</v>
      </c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2.0" customHeight="1">
      <c r="A975" s="25"/>
      <c r="B975" s="126">
        <v>44613.0</v>
      </c>
      <c r="C975" s="127">
        <f t="shared" si="1"/>
        <v>44593</v>
      </c>
      <c r="D975" s="128">
        <f t="shared" si="2"/>
        <v>44613</v>
      </c>
      <c r="E975" s="129">
        <f t="shared" si="3"/>
        <v>9</v>
      </c>
      <c r="F975" s="130" t="s">
        <v>26</v>
      </c>
      <c r="G975" s="131" t="s">
        <v>87</v>
      </c>
      <c r="H975" s="130" t="s">
        <v>124</v>
      </c>
      <c r="I975" s="132">
        <f>10500-5000</f>
        <v>5500</v>
      </c>
      <c r="J975" s="133" t="s">
        <v>125</v>
      </c>
      <c r="K975" s="134" t="s">
        <v>501</v>
      </c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2.0" customHeight="1">
      <c r="A976" s="25"/>
      <c r="B976" s="126">
        <v>44686.0</v>
      </c>
      <c r="C976" s="127">
        <f t="shared" si="1"/>
        <v>44682</v>
      </c>
      <c r="D976" s="128">
        <f t="shared" si="2"/>
        <v>44686</v>
      </c>
      <c r="E976" s="129">
        <f t="shared" si="3"/>
        <v>19</v>
      </c>
      <c r="F976" s="130" t="s">
        <v>26</v>
      </c>
      <c r="G976" s="131" t="s">
        <v>79</v>
      </c>
      <c r="H976" s="130" t="s">
        <v>124</v>
      </c>
      <c r="I976" s="132">
        <v>5500.0</v>
      </c>
      <c r="J976" s="133" t="s">
        <v>125</v>
      </c>
      <c r="K976" s="134" t="s">
        <v>730</v>
      </c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2.0" customHeight="1">
      <c r="A977" s="25"/>
      <c r="B977" s="126">
        <v>44813.0</v>
      </c>
      <c r="C977" s="127">
        <f t="shared" si="1"/>
        <v>44805</v>
      </c>
      <c r="D977" s="128">
        <f t="shared" si="2"/>
        <v>44813</v>
      </c>
      <c r="E977" s="129">
        <f t="shared" si="3"/>
        <v>37</v>
      </c>
      <c r="F977" s="130" t="s">
        <v>26</v>
      </c>
      <c r="G977" s="131" t="s">
        <v>70</v>
      </c>
      <c r="H977" s="130" t="s">
        <v>124</v>
      </c>
      <c r="I977" s="132">
        <v>5500.0</v>
      </c>
      <c r="J977" s="133" t="s">
        <v>122</v>
      </c>
      <c r="K977" s="134" t="s">
        <v>731</v>
      </c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2.0" customHeight="1">
      <c r="A978" s="25"/>
      <c r="B978" s="126">
        <v>44778.0</v>
      </c>
      <c r="C978" s="127">
        <f t="shared" si="1"/>
        <v>44774</v>
      </c>
      <c r="D978" s="128">
        <f t="shared" si="2"/>
        <v>44778</v>
      </c>
      <c r="E978" s="129">
        <f t="shared" si="3"/>
        <v>32</v>
      </c>
      <c r="F978" s="130" t="s">
        <v>26</v>
      </c>
      <c r="G978" s="131" t="s">
        <v>76</v>
      </c>
      <c r="H978" s="130" t="s">
        <v>124</v>
      </c>
      <c r="I978" s="132">
        <v>5480.0</v>
      </c>
      <c r="J978" s="133" t="s">
        <v>125</v>
      </c>
      <c r="K978" s="134" t="s">
        <v>167</v>
      </c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2.0" customHeight="1">
      <c r="A979" s="25"/>
      <c r="B979" s="126">
        <v>44589.0</v>
      </c>
      <c r="C979" s="127">
        <f t="shared" si="1"/>
        <v>44562</v>
      </c>
      <c r="D979" s="128">
        <f t="shared" si="2"/>
        <v>44589</v>
      </c>
      <c r="E979" s="129">
        <f t="shared" si="3"/>
        <v>5</v>
      </c>
      <c r="F979" s="130" t="s">
        <v>24</v>
      </c>
      <c r="G979" s="131" t="s">
        <v>53</v>
      </c>
      <c r="H979" s="130" t="s">
        <v>121</v>
      </c>
      <c r="I979" s="132">
        <f>3436+1970</f>
        <v>5406</v>
      </c>
      <c r="J979" s="133" t="s">
        <v>122</v>
      </c>
      <c r="K979" s="134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2.0" customHeight="1">
      <c r="A980" s="25"/>
      <c r="B980" s="126">
        <v>44757.0</v>
      </c>
      <c r="C980" s="127">
        <f t="shared" si="1"/>
        <v>44743</v>
      </c>
      <c r="D980" s="128">
        <f t="shared" si="2"/>
        <v>44757</v>
      </c>
      <c r="E980" s="129">
        <f t="shared" si="3"/>
        <v>29</v>
      </c>
      <c r="F980" s="130" t="s">
        <v>26</v>
      </c>
      <c r="G980" s="131" t="s">
        <v>79</v>
      </c>
      <c r="H980" s="130" t="s">
        <v>121</v>
      </c>
      <c r="I980" s="132">
        <f>6000*0.9</f>
        <v>5400</v>
      </c>
      <c r="J980" s="133" t="s">
        <v>125</v>
      </c>
      <c r="K980" s="134" t="s">
        <v>732</v>
      </c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2.0" customHeight="1">
      <c r="A981" s="25"/>
      <c r="B981" s="126">
        <v>44744.0</v>
      </c>
      <c r="C981" s="127">
        <f t="shared" si="1"/>
        <v>44743</v>
      </c>
      <c r="D981" s="128">
        <f t="shared" si="2"/>
        <v>44744</v>
      </c>
      <c r="E981" s="129">
        <f t="shared" si="3"/>
        <v>27</v>
      </c>
      <c r="F981" s="130" t="s">
        <v>24</v>
      </c>
      <c r="G981" s="131" t="s">
        <v>53</v>
      </c>
      <c r="H981" s="130" t="s">
        <v>121</v>
      </c>
      <c r="I981" s="132">
        <v>5379.0</v>
      </c>
      <c r="J981" s="133" t="s">
        <v>122</v>
      </c>
      <c r="K981" s="134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2.0" customHeight="1">
      <c r="A982" s="25"/>
      <c r="B982" s="126">
        <v>44674.0</v>
      </c>
      <c r="C982" s="127">
        <f t="shared" si="1"/>
        <v>44652</v>
      </c>
      <c r="D982" s="128">
        <f t="shared" si="2"/>
        <v>44674</v>
      </c>
      <c r="E982" s="129">
        <f t="shared" si="3"/>
        <v>17</v>
      </c>
      <c r="F982" s="130" t="s">
        <v>128</v>
      </c>
      <c r="G982" s="131" t="s">
        <v>172</v>
      </c>
      <c r="H982" s="130" t="s">
        <v>124</v>
      </c>
      <c r="I982" s="132">
        <f>6700*0.8</f>
        <v>5360</v>
      </c>
      <c r="J982" s="133" t="s">
        <v>125</v>
      </c>
      <c r="K982" s="134" t="s">
        <v>733</v>
      </c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2.0" customHeight="1">
      <c r="A983" s="25"/>
      <c r="B983" s="126">
        <v>44675.0</v>
      </c>
      <c r="C983" s="127">
        <f t="shared" si="1"/>
        <v>44652</v>
      </c>
      <c r="D983" s="128">
        <f t="shared" si="2"/>
        <v>44675</v>
      </c>
      <c r="E983" s="129">
        <f t="shared" si="3"/>
        <v>18</v>
      </c>
      <c r="F983" s="130" t="s">
        <v>26</v>
      </c>
      <c r="G983" s="131" t="s">
        <v>82</v>
      </c>
      <c r="H983" s="130" t="s">
        <v>124</v>
      </c>
      <c r="I983" s="132">
        <v>5310.0</v>
      </c>
      <c r="J983" s="133" t="s">
        <v>125</v>
      </c>
      <c r="K983" s="134" t="s">
        <v>734</v>
      </c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2.0" customHeight="1">
      <c r="A984" s="25"/>
      <c r="B984" s="126">
        <v>44629.0</v>
      </c>
      <c r="C984" s="127">
        <f t="shared" si="1"/>
        <v>44621</v>
      </c>
      <c r="D984" s="128">
        <f t="shared" si="2"/>
        <v>44629</v>
      </c>
      <c r="E984" s="129">
        <f t="shared" si="3"/>
        <v>11</v>
      </c>
      <c r="F984" s="130" t="s">
        <v>26</v>
      </c>
      <c r="G984" s="131" t="s">
        <v>70</v>
      </c>
      <c r="H984" s="130" t="s">
        <v>124</v>
      </c>
      <c r="I984" s="132">
        <f>22890-1734-17000+1144</f>
        <v>5300</v>
      </c>
      <c r="J984" s="133" t="s">
        <v>125</v>
      </c>
      <c r="K984" s="134" t="s">
        <v>735</v>
      </c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2.0" customHeight="1">
      <c r="A985" s="25"/>
      <c r="B985" s="126">
        <v>44716.0</v>
      </c>
      <c r="C985" s="127">
        <f t="shared" si="1"/>
        <v>44713</v>
      </c>
      <c r="D985" s="128">
        <f t="shared" si="2"/>
        <v>44716</v>
      </c>
      <c r="E985" s="129">
        <f t="shared" si="3"/>
        <v>23</v>
      </c>
      <c r="F985" s="130" t="s">
        <v>26</v>
      </c>
      <c r="G985" s="131" t="s">
        <v>70</v>
      </c>
      <c r="H985" s="130" t="s">
        <v>124</v>
      </c>
      <c r="I985" s="132">
        <f>15500-10200</f>
        <v>5300</v>
      </c>
      <c r="J985" s="133" t="s">
        <v>122</v>
      </c>
      <c r="K985" s="134" t="s">
        <v>736</v>
      </c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2.0" customHeight="1">
      <c r="A986" s="25"/>
      <c r="B986" s="126">
        <v>44901.0</v>
      </c>
      <c r="C986" s="127">
        <f t="shared" si="1"/>
        <v>44896</v>
      </c>
      <c r="D986" s="128">
        <f t="shared" si="2"/>
        <v>44901</v>
      </c>
      <c r="E986" s="129">
        <f t="shared" si="3"/>
        <v>50</v>
      </c>
      <c r="F986" s="130" t="s">
        <v>26</v>
      </c>
      <c r="G986" s="131" t="s">
        <v>79</v>
      </c>
      <c r="H986" s="130" t="s">
        <v>124</v>
      </c>
      <c r="I986" s="132">
        <f>5550-225-52</f>
        <v>5273</v>
      </c>
      <c r="J986" s="133" t="s">
        <v>122</v>
      </c>
      <c r="K986" s="134" t="s">
        <v>737</v>
      </c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2.0" customHeight="1">
      <c r="A987" s="25"/>
      <c r="B987" s="126">
        <v>44673.0</v>
      </c>
      <c r="C987" s="127">
        <f t="shared" si="1"/>
        <v>44652</v>
      </c>
      <c r="D987" s="128">
        <f t="shared" si="2"/>
        <v>44673</v>
      </c>
      <c r="E987" s="129">
        <f t="shared" si="3"/>
        <v>17</v>
      </c>
      <c r="F987" s="130" t="s">
        <v>128</v>
      </c>
      <c r="G987" s="131" t="s">
        <v>172</v>
      </c>
      <c r="H987" s="130" t="s">
        <v>124</v>
      </c>
      <c r="I987" s="132">
        <f>6500-1300</f>
        <v>5200</v>
      </c>
      <c r="J987" s="133" t="s">
        <v>125</v>
      </c>
      <c r="K987" s="134" t="s">
        <v>738</v>
      </c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2.0" customHeight="1">
      <c r="A988" s="25"/>
      <c r="B988" s="126">
        <v>44875.0</v>
      </c>
      <c r="C988" s="127">
        <f t="shared" si="1"/>
        <v>44866</v>
      </c>
      <c r="D988" s="128">
        <f t="shared" si="2"/>
        <v>44875</v>
      </c>
      <c r="E988" s="129">
        <f t="shared" si="3"/>
        <v>46</v>
      </c>
      <c r="F988" s="130" t="s">
        <v>26</v>
      </c>
      <c r="G988" s="131" t="s">
        <v>70</v>
      </c>
      <c r="H988" s="130" t="s">
        <v>124</v>
      </c>
      <c r="I988" s="132">
        <v>5080.0</v>
      </c>
      <c r="J988" s="133" t="s">
        <v>122</v>
      </c>
      <c r="K988" s="134" t="s">
        <v>739</v>
      </c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2.0" customHeight="1">
      <c r="A989" s="25"/>
      <c r="B989" s="126">
        <v>44682.0</v>
      </c>
      <c r="C989" s="127">
        <f t="shared" si="1"/>
        <v>44682</v>
      </c>
      <c r="D989" s="128">
        <f t="shared" si="2"/>
        <v>44682</v>
      </c>
      <c r="E989" s="129">
        <f t="shared" si="3"/>
        <v>19</v>
      </c>
      <c r="F989" s="130" t="s">
        <v>24</v>
      </c>
      <c r="G989" s="131" t="s">
        <v>53</v>
      </c>
      <c r="H989" s="130" t="s">
        <v>121</v>
      </c>
      <c r="I989" s="132">
        <f>5072</f>
        <v>5072</v>
      </c>
      <c r="J989" s="133" t="s">
        <v>122</v>
      </c>
      <c r="K989" s="134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2.0" customHeight="1">
      <c r="A990" s="25"/>
      <c r="B990" s="126">
        <v>44617.0</v>
      </c>
      <c r="C990" s="127">
        <f t="shared" si="1"/>
        <v>44593</v>
      </c>
      <c r="D990" s="128">
        <f t="shared" si="2"/>
        <v>44617</v>
      </c>
      <c r="E990" s="129">
        <f t="shared" si="3"/>
        <v>9</v>
      </c>
      <c r="F990" s="130" t="s">
        <v>26</v>
      </c>
      <c r="G990" s="131" t="s">
        <v>87</v>
      </c>
      <c r="H990" s="130" t="s">
        <v>124</v>
      </c>
      <c r="I990" s="132">
        <f>2500*2</f>
        <v>5000</v>
      </c>
      <c r="J990" s="133" t="s">
        <v>122</v>
      </c>
      <c r="K990" s="134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2.0" customHeight="1">
      <c r="A991" s="25"/>
      <c r="B991" s="126">
        <v>44766.0</v>
      </c>
      <c r="C991" s="127">
        <f t="shared" si="1"/>
        <v>44743</v>
      </c>
      <c r="D991" s="128">
        <f t="shared" si="2"/>
        <v>44766</v>
      </c>
      <c r="E991" s="129">
        <f t="shared" si="3"/>
        <v>31</v>
      </c>
      <c r="F991" s="130" t="s">
        <v>26</v>
      </c>
      <c r="G991" s="131" t="s">
        <v>82</v>
      </c>
      <c r="H991" s="130" t="s">
        <v>121</v>
      </c>
      <c r="I991" s="132">
        <v>5000.0</v>
      </c>
      <c r="J991" s="133" t="s">
        <v>122</v>
      </c>
      <c r="K991" s="134" t="s">
        <v>740</v>
      </c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2.0" customHeight="1">
      <c r="A992" s="25"/>
      <c r="B992" s="126">
        <v>44795.0</v>
      </c>
      <c r="C992" s="127">
        <f t="shared" si="1"/>
        <v>44774</v>
      </c>
      <c r="D992" s="128">
        <f t="shared" si="2"/>
        <v>44795</v>
      </c>
      <c r="E992" s="129">
        <f t="shared" si="3"/>
        <v>35</v>
      </c>
      <c r="F992" s="130" t="s">
        <v>24</v>
      </c>
      <c r="G992" s="131" t="s">
        <v>54</v>
      </c>
      <c r="H992" s="130" t="s">
        <v>124</v>
      </c>
      <c r="I992" s="132">
        <v>5000.0</v>
      </c>
      <c r="J992" s="133" t="s">
        <v>122</v>
      </c>
      <c r="K992" s="134" t="s">
        <v>704</v>
      </c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2.0" customHeight="1">
      <c r="A993" s="25"/>
      <c r="B993" s="126">
        <v>44804.0</v>
      </c>
      <c r="C993" s="127">
        <f t="shared" si="1"/>
        <v>44774</v>
      </c>
      <c r="D993" s="128">
        <f t="shared" si="2"/>
        <v>44804</v>
      </c>
      <c r="E993" s="129">
        <f t="shared" si="3"/>
        <v>36</v>
      </c>
      <c r="F993" s="130" t="s">
        <v>24</v>
      </c>
      <c r="G993" s="131" t="s">
        <v>54</v>
      </c>
      <c r="H993" s="130" t="s">
        <v>124</v>
      </c>
      <c r="I993" s="132">
        <v>5000.0</v>
      </c>
      <c r="J993" s="133" t="s">
        <v>122</v>
      </c>
      <c r="K993" s="134" t="s">
        <v>741</v>
      </c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2.0" customHeight="1">
      <c r="A994" s="25"/>
      <c r="B994" s="126">
        <v>44899.0</v>
      </c>
      <c r="C994" s="127">
        <f t="shared" si="1"/>
        <v>44896</v>
      </c>
      <c r="D994" s="128">
        <f t="shared" si="2"/>
        <v>44899</v>
      </c>
      <c r="E994" s="129">
        <f t="shared" si="3"/>
        <v>50</v>
      </c>
      <c r="F994" s="130" t="s">
        <v>24</v>
      </c>
      <c r="G994" s="131" t="s">
        <v>49</v>
      </c>
      <c r="H994" s="130" t="s">
        <v>124</v>
      </c>
      <c r="I994" s="132">
        <v>5000.0</v>
      </c>
      <c r="J994" s="133" t="s">
        <v>122</v>
      </c>
      <c r="K994" s="134" t="s">
        <v>742</v>
      </c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2.0" customHeight="1">
      <c r="A995" s="25"/>
      <c r="B995" s="126">
        <v>44913.0</v>
      </c>
      <c r="C995" s="127">
        <f t="shared" si="1"/>
        <v>44896</v>
      </c>
      <c r="D995" s="128">
        <f t="shared" si="2"/>
        <v>44913</v>
      </c>
      <c r="E995" s="129">
        <f t="shared" si="3"/>
        <v>52</v>
      </c>
      <c r="F995" s="130" t="s">
        <v>24</v>
      </c>
      <c r="G995" s="131" t="s">
        <v>49</v>
      </c>
      <c r="H995" s="130" t="s">
        <v>124</v>
      </c>
      <c r="I995" s="132">
        <v>5000.0</v>
      </c>
      <c r="J995" s="133" t="s">
        <v>125</v>
      </c>
      <c r="K995" s="134" t="s">
        <v>742</v>
      </c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2.0" customHeight="1">
      <c r="A996" s="25"/>
      <c r="B996" s="126">
        <v>44922.0</v>
      </c>
      <c r="C996" s="127">
        <f t="shared" si="1"/>
        <v>44896</v>
      </c>
      <c r="D996" s="128">
        <f t="shared" si="2"/>
        <v>44922</v>
      </c>
      <c r="E996" s="129">
        <f t="shared" si="3"/>
        <v>53</v>
      </c>
      <c r="F996" s="130" t="s">
        <v>128</v>
      </c>
      <c r="G996" s="131" t="s">
        <v>172</v>
      </c>
      <c r="H996" s="130" t="s">
        <v>124</v>
      </c>
      <c r="I996" s="132">
        <f>10000-5000</f>
        <v>5000</v>
      </c>
      <c r="J996" s="133" t="s">
        <v>125</v>
      </c>
      <c r="K996" s="134" t="s">
        <v>743</v>
      </c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2.0" customHeight="1">
      <c r="A997" s="25"/>
      <c r="B997" s="126">
        <v>44759.0</v>
      </c>
      <c r="C997" s="127">
        <f t="shared" si="1"/>
        <v>44743</v>
      </c>
      <c r="D997" s="128">
        <f t="shared" si="2"/>
        <v>44759</v>
      </c>
      <c r="E997" s="129">
        <f t="shared" si="3"/>
        <v>30</v>
      </c>
      <c r="F997" s="130" t="s">
        <v>26</v>
      </c>
      <c r="G997" s="131" t="s">
        <v>70</v>
      </c>
      <c r="H997" s="130" t="s">
        <v>124</v>
      </c>
      <c r="I997" s="132">
        <v>4990.0</v>
      </c>
      <c r="J997" s="133" t="s">
        <v>122</v>
      </c>
      <c r="K997" s="134" t="s">
        <v>744</v>
      </c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2.0" customHeight="1">
      <c r="A998" s="25"/>
      <c r="B998" s="126">
        <v>44790.0</v>
      </c>
      <c r="C998" s="127">
        <f t="shared" si="1"/>
        <v>44774</v>
      </c>
      <c r="D998" s="128">
        <f t="shared" si="2"/>
        <v>44790</v>
      </c>
      <c r="E998" s="129">
        <f t="shared" si="3"/>
        <v>34</v>
      </c>
      <c r="F998" s="130" t="s">
        <v>26</v>
      </c>
      <c r="G998" s="131" t="s">
        <v>70</v>
      </c>
      <c r="H998" s="130" t="s">
        <v>124</v>
      </c>
      <c r="I998" s="132">
        <v>4990.0</v>
      </c>
      <c r="J998" s="133" t="s">
        <v>122</v>
      </c>
      <c r="K998" s="134" t="s">
        <v>744</v>
      </c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2.0" customHeight="1">
      <c r="A999" s="25"/>
      <c r="B999" s="126">
        <v>44821.0</v>
      </c>
      <c r="C999" s="127">
        <f t="shared" si="1"/>
        <v>44805</v>
      </c>
      <c r="D999" s="128">
        <f t="shared" si="2"/>
        <v>44821</v>
      </c>
      <c r="E999" s="129">
        <f t="shared" si="3"/>
        <v>38</v>
      </c>
      <c r="F999" s="130" t="s">
        <v>26</v>
      </c>
      <c r="G999" s="131" t="s">
        <v>70</v>
      </c>
      <c r="H999" s="130" t="s">
        <v>124</v>
      </c>
      <c r="I999" s="132">
        <v>4990.0</v>
      </c>
      <c r="J999" s="133" t="s">
        <v>122</v>
      </c>
      <c r="K999" s="134" t="s">
        <v>744</v>
      </c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2.0" customHeight="1">
      <c r="A1000" s="25"/>
      <c r="B1000" s="126">
        <v>44851.0</v>
      </c>
      <c r="C1000" s="127">
        <f t="shared" si="1"/>
        <v>44835</v>
      </c>
      <c r="D1000" s="128">
        <f t="shared" si="2"/>
        <v>44851</v>
      </c>
      <c r="E1000" s="129">
        <f t="shared" si="3"/>
        <v>43</v>
      </c>
      <c r="F1000" s="130" t="s">
        <v>26</v>
      </c>
      <c r="G1000" s="131" t="s">
        <v>70</v>
      </c>
      <c r="H1000" s="130" t="s">
        <v>124</v>
      </c>
      <c r="I1000" s="132">
        <v>4990.0</v>
      </c>
      <c r="J1000" s="133" t="s">
        <v>122</v>
      </c>
      <c r="K1000" s="134" t="s">
        <v>744</v>
      </c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ht="12.0" customHeight="1">
      <c r="A1001" s="25"/>
      <c r="B1001" s="126">
        <v>44882.0</v>
      </c>
      <c r="C1001" s="127">
        <f t="shared" si="1"/>
        <v>44866</v>
      </c>
      <c r="D1001" s="128">
        <f t="shared" si="2"/>
        <v>44882</v>
      </c>
      <c r="E1001" s="129">
        <f t="shared" si="3"/>
        <v>47</v>
      </c>
      <c r="F1001" s="130" t="s">
        <v>26</v>
      </c>
      <c r="G1001" s="131" t="s">
        <v>70</v>
      </c>
      <c r="H1001" s="130" t="s">
        <v>124</v>
      </c>
      <c r="I1001" s="132">
        <v>4990.0</v>
      </c>
      <c r="J1001" s="133" t="s">
        <v>122</v>
      </c>
      <c r="K1001" s="134" t="s">
        <v>744</v>
      </c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ht="12.0" customHeight="1">
      <c r="A1002" s="25"/>
      <c r="B1002" s="126">
        <v>44912.0</v>
      </c>
      <c r="C1002" s="127">
        <f t="shared" si="1"/>
        <v>44896</v>
      </c>
      <c r="D1002" s="128">
        <f t="shared" si="2"/>
        <v>44912</v>
      </c>
      <c r="E1002" s="129">
        <f t="shared" si="3"/>
        <v>51</v>
      </c>
      <c r="F1002" s="130" t="s">
        <v>26</v>
      </c>
      <c r="G1002" s="131" t="s">
        <v>70</v>
      </c>
      <c r="H1002" s="130" t="s">
        <v>124</v>
      </c>
      <c r="I1002" s="132">
        <v>4990.0</v>
      </c>
      <c r="J1002" s="133" t="s">
        <v>122</v>
      </c>
      <c r="K1002" s="134" t="s">
        <v>744</v>
      </c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ht="12.0" customHeight="1">
      <c r="A1003" s="25"/>
      <c r="B1003" s="126">
        <v>44755.0</v>
      </c>
      <c r="C1003" s="127">
        <f t="shared" si="1"/>
        <v>44743</v>
      </c>
      <c r="D1003" s="128">
        <f t="shared" si="2"/>
        <v>44755</v>
      </c>
      <c r="E1003" s="129">
        <f t="shared" si="3"/>
        <v>29</v>
      </c>
      <c r="F1003" s="130" t="s">
        <v>26</v>
      </c>
      <c r="G1003" s="131" t="s">
        <v>76</v>
      </c>
      <c r="H1003" s="130" t="s">
        <v>124</v>
      </c>
      <c r="I1003" s="132">
        <v>4980.0</v>
      </c>
      <c r="J1003" s="133" t="s">
        <v>125</v>
      </c>
      <c r="K1003" s="134" t="s">
        <v>745</v>
      </c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ht="12.0" customHeight="1">
      <c r="A1004" s="25"/>
      <c r="B1004" s="126">
        <v>44674.0</v>
      </c>
      <c r="C1004" s="127">
        <f t="shared" si="1"/>
        <v>44652</v>
      </c>
      <c r="D1004" s="128">
        <f t="shared" si="2"/>
        <v>44674</v>
      </c>
      <c r="E1004" s="129">
        <f t="shared" si="3"/>
        <v>17</v>
      </c>
      <c r="F1004" s="130" t="s">
        <v>128</v>
      </c>
      <c r="G1004" s="131" t="s">
        <v>172</v>
      </c>
      <c r="H1004" s="130" t="s">
        <v>124</v>
      </c>
      <c r="I1004" s="132">
        <f>6200*0.8</f>
        <v>4960</v>
      </c>
      <c r="J1004" s="133" t="s">
        <v>125</v>
      </c>
      <c r="K1004" s="134" t="s">
        <v>746</v>
      </c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ht="12.0" customHeight="1">
      <c r="A1005" s="25"/>
      <c r="B1005" s="126">
        <v>44625.0</v>
      </c>
      <c r="C1005" s="127">
        <f t="shared" si="1"/>
        <v>44621</v>
      </c>
      <c r="D1005" s="128">
        <f t="shared" si="2"/>
        <v>44625</v>
      </c>
      <c r="E1005" s="129">
        <f t="shared" si="3"/>
        <v>10</v>
      </c>
      <c r="F1005" s="130" t="s">
        <v>26</v>
      </c>
      <c r="G1005" s="131" t="s">
        <v>70</v>
      </c>
      <c r="H1005" s="130" t="s">
        <v>124</v>
      </c>
      <c r="I1005" s="132">
        <v>4950.0</v>
      </c>
      <c r="J1005" s="133" t="s">
        <v>125</v>
      </c>
      <c r="K1005" s="134" t="s">
        <v>747</v>
      </c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 ht="12.0" customHeight="1">
      <c r="A1006" s="25"/>
      <c r="B1006" s="126">
        <v>44710.0</v>
      </c>
      <c r="C1006" s="127">
        <f t="shared" si="1"/>
        <v>44682</v>
      </c>
      <c r="D1006" s="128">
        <f t="shared" si="2"/>
        <v>44710</v>
      </c>
      <c r="E1006" s="129">
        <f t="shared" si="3"/>
        <v>23</v>
      </c>
      <c r="F1006" s="130" t="s">
        <v>24</v>
      </c>
      <c r="G1006" s="131" t="s">
        <v>52</v>
      </c>
      <c r="H1006" s="130" t="s">
        <v>124</v>
      </c>
      <c r="I1006" s="132">
        <v>4900.0</v>
      </c>
      <c r="J1006" s="133" t="s">
        <v>122</v>
      </c>
      <c r="K1006" s="134" t="s">
        <v>748</v>
      </c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 ht="12.0" customHeight="1">
      <c r="A1007" s="25"/>
      <c r="B1007" s="126">
        <v>44814.0</v>
      </c>
      <c r="C1007" s="127">
        <f t="shared" si="1"/>
        <v>44805</v>
      </c>
      <c r="D1007" s="128">
        <f t="shared" si="2"/>
        <v>44814</v>
      </c>
      <c r="E1007" s="129">
        <f t="shared" si="3"/>
        <v>37</v>
      </c>
      <c r="F1007" s="130" t="s">
        <v>26</v>
      </c>
      <c r="G1007" s="131" t="s">
        <v>79</v>
      </c>
      <c r="H1007" s="130" t="s">
        <v>124</v>
      </c>
      <c r="I1007" s="132">
        <v>4900.0</v>
      </c>
      <c r="J1007" s="133" t="s">
        <v>122</v>
      </c>
      <c r="K1007" s="134" t="s">
        <v>749</v>
      </c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 ht="12.0" customHeight="1">
      <c r="A1008" s="25"/>
      <c r="B1008" s="126">
        <v>44610.0</v>
      </c>
      <c r="C1008" s="127">
        <f t="shared" si="1"/>
        <v>44593</v>
      </c>
      <c r="D1008" s="128">
        <f t="shared" si="2"/>
        <v>44610</v>
      </c>
      <c r="E1008" s="129">
        <f t="shared" si="3"/>
        <v>8</v>
      </c>
      <c r="F1008" s="130" t="s">
        <v>24</v>
      </c>
      <c r="G1008" s="131" t="s">
        <v>29</v>
      </c>
      <c r="H1008" s="130" t="s">
        <v>124</v>
      </c>
      <c r="I1008" s="132">
        <f>3100+2990-620-580</f>
        <v>4890</v>
      </c>
      <c r="J1008" s="133" t="s">
        <v>122</v>
      </c>
      <c r="K1008" s="134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  <row r="1009" ht="12.0" customHeight="1">
      <c r="A1009" s="25"/>
      <c r="B1009" s="126">
        <v>44594.0</v>
      </c>
      <c r="C1009" s="127">
        <f t="shared" si="1"/>
        <v>44593</v>
      </c>
      <c r="D1009" s="128">
        <f t="shared" si="2"/>
        <v>44594</v>
      </c>
      <c r="E1009" s="129">
        <f t="shared" si="3"/>
        <v>6</v>
      </c>
      <c r="F1009" s="130" t="s">
        <v>26</v>
      </c>
      <c r="G1009" s="131" t="s">
        <v>70</v>
      </c>
      <c r="H1009" s="130" t="s">
        <v>124</v>
      </c>
      <c r="I1009" s="132">
        <v>4830.0</v>
      </c>
      <c r="J1009" s="133" t="s">
        <v>125</v>
      </c>
      <c r="K1009" s="134" t="s">
        <v>750</v>
      </c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</row>
    <row r="1010" ht="12.0" customHeight="1">
      <c r="A1010" s="25"/>
      <c r="B1010" s="126">
        <v>44610.0</v>
      </c>
      <c r="C1010" s="127">
        <f t="shared" si="1"/>
        <v>44593</v>
      </c>
      <c r="D1010" s="128">
        <f t="shared" si="2"/>
        <v>44610</v>
      </c>
      <c r="E1010" s="129">
        <f t="shared" si="3"/>
        <v>8</v>
      </c>
      <c r="F1010" s="130" t="s">
        <v>24</v>
      </c>
      <c r="G1010" s="131" t="s">
        <v>29</v>
      </c>
      <c r="H1010" s="130" t="s">
        <v>124</v>
      </c>
      <c r="I1010" s="132">
        <f>3100+2900-580-620</f>
        <v>4800</v>
      </c>
      <c r="J1010" s="133" t="s">
        <v>122</v>
      </c>
      <c r="K1010" s="134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</row>
    <row r="1011" ht="12.0" customHeight="1">
      <c r="A1011" s="25"/>
      <c r="B1011" s="126">
        <v>44639.0</v>
      </c>
      <c r="C1011" s="127">
        <f t="shared" si="1"/>
        <v>44621</v>
      </c>
      <c r="D1011" s="128">
        <f t="shared" si="2"/>
        <v>44639</v>
      </c>
      <c r="E1011" s="129">
        <f t="shared" si="3"/>
        <v>12</v>
      </c>
      <c r="F1011" s="130" t="s">
        <v>26</v>
      </c>
      <c r="G1011" s="131" t="s">
        <v>72</v>
      </c>
      <c r="H1011" s="130" t="s">
        <v>124</v>
      </c>
      <c r="I1011" s="132">
        <f t="shared" ref="I1011:I1012" si="24">5000*0.95</f>
        <v>4750</v>
      </c>
      <c r="J1011" s="133" t="s">
        <v>122</v>
      </c>
      <c r="K1011" s="134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</row>
    <row r="1012" ht="12.0" customHeight="1">
      <c r="A1012" s="25"/>
      <c r="B1012" s="126">
        <v>44716.0</v>
      </c>
      <c r="C1012" s="127">
        <f t="shared" si="1"/>
        <v>44713</v>
      </c>
      <c r="D1012" s="128">
        <f t="shared" si="2"/>
        <v>44716</v>
      </c>
      <c r="E1012" s="129">
        <f t="shared" si="3"/>
        <v>23</v>
      </c>
      <c r="F1012" s="130" t="s">
        <v>26</v>
      </c>
      <c r="G1012" s="131" t="s">
        <v>87</v>
      </c>
      <c r="H1012" s="130" t="s">
        <v>124</v>
      </c>
      <c r="I1012" s="132">
        <f t="shared" si="24"/>
        <v>4750</v>
      </c>
      <c r="J1012" s="133" t="s">
        <v>122</v>
      </c>
      <c r="K1012" s="134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</row>
    <row r="1013" ht="12.0" customHeight="1">
      <c r="A1013" s="25"/>
      <c r="B1013" s="126">
        <v>44635.0</v>
      </c>
      <c r="C1013" s="127">
        <f t="shared" si="1"/>
        <v>44621</v>
      </c>
      <c r="D1013" s="128">
        <f t="shared" si="2"/>
        <v>44635</v>
      </c>
      <c r="E1013" s="129">
        <f t="shared" si="3"/>
        <v>12</v>
      </c>
      <c r="F1013" s="130" t="s">
        <v>26</v>
      </c>
      <c r="G1013" s="131" t="s">
        <v>70</v>
      </c>
      <c r="H1013" s="130" t="s">
        <v>124</v>
      </c>
      <c r="I1013" s="132">
        <v>4500.0</v>
      </c>
      <c r="J1013" s="133" t="s">
        <v>122</v>
      </c>
      <c r="K1013" s="134" t="s">
        <v>751</v>
      </c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</row>
    <row r="1014" ht="12.0" customHeight="1">
      <c r="A1014" s="25"/>
      <c r="B1014" s="126">
        <v>44839.0</v>
      </c>
      <c r="C1014" s="127">
        <f t="shared" si="1"/>
        <v>44835</v>
      </c>
      <c r="D1014" s="128">
        <f t="shared" si="2"/>
        <v>44839</v>
      </c>
      <c r="E1014" s="129">
        <f t="shared" si="3"/>
        <v>41</v>
      </c>
      <c r="F1014" s="130" t="s">
        <v>26</v>
      </c>
      <c r="G1014" s="131" t="s">
        <v>87</v>
      </c>
      <c r="H1014" s="130" t="s">
        <v>124</v>
      </c>
      <c r="I1014" s="132">
        <f>9000-4500</f>
        <v>4500</v>
      </c>
      <c r="J1014" s="133" t="s">
        <v>125</v>
      </c>
      <c r="K1014" s="134" t="s">
        <v>752</v>
      </c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</row>
    <row r="1015" ht="12.0" customHeight="1">
      <c r="A1015" s="25"/>
      <c r="B1015" s="126">
        <v>44917.0</v>
      </c>
      <c r="C1015" s="127">
        <f t="shared" si="1"/>
        <v>44896</v>
      </c>
      <c r="D1015" s="128">
        <f t="shared" si="2"/>
        <v>44917</v>
      </c>
      <c r="E1015" s="129">
        <f t="shared" si="3"/>
        <v>52</v>
      </c>
      <c r="F1015" s="130" t="s">
        <v>24</v>
      </c>
      <c r="G1015" s="131" t="s">
        <v>54</v>
      </c>
      <c r="H1015" s="130" t="s">
        <v>124</v>
      </c>
      <c r="I1015" s="132">
        <v>4500.0</v>
      </c>
      <c r="J1015" s="133" t="s">
        <v>122</v>
      </c>
      <c r="K1015" s="134" t="s">
        <v>753</v>
      </c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</row>
    <row r="1016" ht="12.0" customHeight="1">
      <c r="A1016" s="25"/>
      <c r="B1016" s="126">
        <v>44905.0</v>
      </c>
      <c r="C1016" s="127">
        <f t="shared" si="1"/>
        <v>44896</v>
      </c>
      <c r="D1016" s="128">
        <f t="shared" si="2"/>
        <v>44905</v>
      </c>
      <c r="E1016" s="129">
        <f t="shared" si="3"/>
        <v>50</v>
      </c>
      <c r="F1016" s="130" t="s">
        <v>26</v>
      </c>
      <c r="G1016" s="131" t="s">
        <v>70</v>
      </c>
      <c r="H1016" s="130" t="s">
        <v>124</v>
      </c>
      <c r="I1016" s="132">
        <v>4450.0</v>
      </c>
      <c r="J1016" s="133" t="s">
        <v>125</v>
      </c>
      <c r="K1016" s="134" t="s">
        <v>754</v>
      </c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</row>
    <row r="1017" ht="12.0" customHeight="1">
      <c r="A1017" s="25"/>
      <c r="B1017" s="126">
        <v>44595.0</v>
      </c>
      <c r="C1017" s="127">
        <f t="shared" si="1"/>
        <v>44593</v>
      </c>
      <c r="D1017" s="128">
        <f t="shared" si="2"/>
        <v>44595</v>
      </c>
      <c r="E1017" s="129">
        <f t="shared" si="3"/>
        <v>6</v>
      </c>
      <c r="F1017" s="130" t="s">
        <v>26</v>
      </c>
      <c r="G1017" s="131" t="s">
        <v>82</v>
      </c>
      <c r="H1017" s="130" t="s">
        <v>124</v>
      </c>
      <c r="I1017" s="132">
        <v>4400.0</v>
      </c>
      <c r="J1017" s="133" t="s">
        <v>125</v>
      </c>
      <c r="K1017" s="134" t="s">
        <v>755</v>
      </c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</row>
    <row r="1018" ht="12.0" customHeight="1">
      <c r="A1018" s="25"/>
      <c r="B1018" s="126">
        <v>44801.0</v>
      </c>
      <c r="C1018" s="127">
        <f t="shared" si="1"/>
        <v>44774</v>
      </c>
      <c r="D1018" s="128">
        <f t="shared" si="2"/>
        <v>44801</v>
      </c>
      <c r="E1018" s="129">
        <f t="shared" si="3"/>
        <v>36</v>
      </c>
      <c r="F1018" s="130" t="s">
        <v>24</v>
      </c>
      <c r="G1018" s="131" t="s">
        <v>29</v>
      </c>
      <c r="H1018" s="130" t="s">
        <v>124</v>
      </c>
      <c r="I1018" s="132">
        <f>5500-1100</f>
        <v>4400</v>
      </c>
      <c r="J1018" s="133" t="s">
        <v>125</v>
      </c>
      <c r="K1018" s="134" t="s">
        <v>592</v>
      </c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</row>
    <row r="1019" ht="12.0" customHeight="1">
      <c r="A1019" s="25"/>
      <c r="B1019" s="126">
        <v>44817.0</v>
      </c>
      <c r="C1019" s="127">
        <f t="shared" si="1"/>
        <v>44805</v>
      </c>
      <c r="D1019" s="128">
        <f t="shared" si="2"/>
        <v>44817</v>
      </c>
      <c r="E1019" s="129">
        <f t="shared" si="3"/>
        <v>38</v>
      </c>
      <c r="F1019" s="130" t="s">
        <v>26</v>
      </c>
      <c r="G1019" s="131" t="s">
        <v>70</v>
      </c>
      <c r="H1019" s="130" t="s">
        <v>124</v>
      </c>
      <c r="I1019" s="132">
        <v>4345.0</v>
      </c>
      <c r="J1019" s="133" t="s">
        <v>122</v>
      </c>
      <c r="K1019" s="134" t="s">
        <v>756</v>
      </c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</row>
    <row r="1020" ht="12.0" customHeight="1">
      <c r="A1020" s="25"/>
      <c r="B1020" s="126">
        <v>44879.0</v>
      </c>
      <c r="C1020" s="127">
        <f t="shared" si="1"/>
        <v>44866</v>
      </c>
      <c r="D1020" s="128">
        <f t="shared" si="2"/>
        <v>44879</v>
      </c>
      <c r="E1020" s="129">
        <f t="shared" si="3"/>
        <v>47</v>
      </c>
      <c r="F1020" s="130" t="s">
        <v>26</v>
      </c>
      <c r="G1020" s="131" t="s">
        <v>70</v>
      </c>
      <c r="H1020" s="130" t="s">
        <v>124</v>
      </c>
      <c r="I1020" s="132">
        <v>4337.0</v>
      </c>
      <c r="J1020" s="133" t="s">
        <v>122</v>
      </c>
      <c r="K1020" s="134" t="s">
        <v>757</v>
      </c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</row>
    <row r="1021" ht="12.0" customHeight="1">
      <c r="A1021" s="25"/>
      <c r="B1021" s="126">
        <v>44567.0</v>
      </c>
      <c r="C1021" s="127">
        <f t="shared" si="1"/>
        <v>44562</v>
      </c>
      <c r="D1021" s="128">
        <f t="shared" si="2"/>
        <v>44567</v>
      </c>
      <c r="E1021" s="129">
        <f t="shared" si="3"/>
        <v>2</v>
      </c>
      <c r="F1021" s="130" t="s">
        <v>26</v>
      </c>
      <c r="G1021" s="131" t="s">
        <v>72</v>
      </c>
      <c r="H1021" s="130" t="s">
        <v>124</v>
      </c>
      <c r="I1021" s="132">
        <f t="shared" ref="I1021:I1036" si="25">4500*0.95</f>
        <v>4275</v>
      </c>
      <c r="J1021" s="133" t="s">
        <v>122</v>
      </c>
      <c r="K1021" s="134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</row>
    <row r="1022" ht="12.0" customHeight="1">
      <c r="A1022" s="25"/>
      <c r="B1022" s="126">
        <v>44595.0</v>
      </c>
      <c r="C1022" s="127">
        <f t="shared" si="1"/>
        <v>44593</v>
      </c>
      <c r="D1022" s="128">
        <f t="shared" si="2"/>
        <v>44595</v>
      </c>
      <c r="E1022" s="129">
        <f t="shared" si="3"/>
        <v>6</v>
      </c>
      <c r="F1022" s="130" t="s">
        <v>26</v>
      </c>
      <c r="G1022" s="131" t="s">
        <v>72</v>
      </c>
      <c r="H1022" s="130" t="s">
        <v>124</v>
      </c>
      <c r="I1022" s="132">
        <f t="shared" si="25"/>
        <v>4275</v>
      </c>
      <c r="J1022" s="133" t="s">
        <v>122</v>
      </c>
      <c r="K1022" s="134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</row>
    <row r="1023" ht="12.0" customHeight="1">
      <c r="A1023" s="25"/>
      <c r="B1023" s="126">
        <v>44621.0</v>
      </c>
      <c r="C1023" s="127">
        <f t="shared" si="1"/>
        <v>44621</v>
      </c>
      <c r="D1023" s="128">
        <f t="shared" si="2"/>
        <v>44621</v>
      </c>
      <c r="E1023" s="129">
        <f t="shared" si="3"/>
        <v>10</v>
      </c>
      <c r="F1023" s="130" t="s">
        <v>26</v>
      </c>
      <c r="G1023" s="131" t="s">
        <v>72</v>
      </c>
      <c r="H1023" s="130" t="s">
        <v>124</v>
      </c>
      <c r="I1023" s="132">
        <f t="shared" si="25"/>
        <v>4275</v>
      </c>
      <c r="J1023" s="133" t="s">
        <v>122</v>
      </c>
      <c r="K1023" s="134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</row>
    <row r="1024" ht="12.0" customHeight="1">
      <c r="A1024" s="25"/>
      <c r="B1024" s="126">
        <v>44661.0</v>
      </c>
      <c r="C1024" s="127">
        <f t="shared" si="1"/>
        <v>44652</v>
      </c>
      <c r="D1024" s="128">
        <f t="shared" si="2"/>
        <v>44661</v>
      </c>
      <c r="E1024" s="129">
        <f t="shared" si="3"/>
        <v>16</v>
      </c>
      <c r="F1024" s="130" t="s">
        <v>26</v>
      </c>
      <c r="G1024" s="131" t="s">
        <v>72</v>
      </c>
      <c r="H1024" s="130" t="s">
        <v>124</v>
      </c>
      <c r="I1024" s="132">
        <f t="shared" si="25"/>
        <v>4275</v>
      </c>
      <c r="J1024" s="133" t="s">
        <v>122</v>
      </c>
      <c r="K1024" s="134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</row>
    <row r="1025" ht="12.0" customHeight="1">
      <c r="A1025" s="25"/>
      <c r="B1025" s="126">
        <v>44682.0</v>
      </c>
      <c r="C1025" s="127">
        <f t="shared" si="1"/>
        <v>44682</v>
      </c>
      <c r="D1025" s="128">
        <f t="shared" si="2"/>
        <v>44682</v>
      </c>
      <c r="E1025" s="129">
        <f t="shared" si="3"/>
        <v>19</v>
      </c>
      <c r="F1025" s="130" t="s">
        <v>26</v>
      </c>
      <c r="G1025" s="131" t="s">
        <v>72</v>
      </c>
      <c r="H1025" s="130" t="s">
        <v>124</v>
      </c>
      <c r="I1025" s="132">
        <f t="shared" si="25"/>
        <v>4275</v>
      </c>
      <c r="J1025" s="133" t="s">
        <v>122</v>
      </c>
      <c r="K1025" s="134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</row>
    <row r="1026" ht="12.0" customHeight="1">
      <c r="A1026" s="25"/>
      <c r="B1026" s="126">
        <v>44688.0</v>
      </c>
      <c r="C1026" s="127">
        <f t="shared" si="1"/>
        <v>44682</v>
      </c>
      <c r="D1026" s="128">
        <f t="shared" si="2"/>
        <v>44688</v>
      </c>
      <c r="E1026" s="129">
        <f t="shared" si="3"/>
        <v>19</v>
      </c>
      <c r="F1026" s="130" t="s">
        <v>26</v>
      </c>
      <c r="G1026" s="131" t="s">
        <v>72</v>
      </c>
      <c r="H1026" s="130" t="s">
        <v>124</v>
      </c>
      <c r="I1026" s="132">
        <f t="shared" si="25"/>
        <v>4275</v>
      </c>
      <c r="J1026" s="133" t="s">
        <v>122</v>
      </c>
      <c r="K1026" s="134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</row>
    <row r="1027" ht="12.0" customHeight="1">
      <c r="A1027" s="25"/>
      <c r="B1027" s="126">
        <v>44696.0</v>
      </c>
      <c r="C1027" s="127">
        <f t="shared" si="1"/>
        <v>44682</v>
      </c>
      <c r="D1027" s="128">
        <f t="shared" si="2"/>
        <v>44696</v>
      </c>
      <c r="E1027" s="129">
        <f t="shared" si="3"/>
        <v>21</v>
      </c>
      <c r="F1027" s="130" t="s">
        <v>26</v>
      </c>
      <c r="G1027" s="131" t="s">
        <v>72</v>
      </c>
      <c r="H1027" s="130" t="s">
        <v>124</v>
      </c>
      <c r="I1027" s="132">
        <f t="shared" si="25"/>
        <v>4275</v>
      </c>
      <c r="J1027" s="133" t="s">
        <v>122</v>
      </c>
      <c r="K1027" s="134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</row>
    <row r="1028" ht="12.0" customHeight="1">
      <c r="A1028" s="25"/>
      <c r="B1028" s="126">
        <v>44703.0</v>
      </c>
      <c r="C1028" s="127">
        <f t="shared" si="1"/>
        <v>44682</v>
      </c>
      <c r="D1028" s="128">
        <f t="shared" si="2"/>
        <v>44703</v>
      </c>
      <c r="E1028" s="129">
        <f t="shared" si="3"/>
        <v>22</v>
      </c>
      <c r="F1028" s="130" t="s">
        <v>26</v>
      </c>
      <c r="G1028" s="131" t="s">
        <v>72</v>
      </c>
      <c r="H1028" s="130" t="s">
        <v>124</v>
      </c>
      <c r="I1028" s="132">
        <f t="shared" si="25"/>
        <v>4275</v>
      </c>
      <c r="J1028" s="133" t="s">
        <v>122</v>
      </c>
      <c r="K1028" s="134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</row>
    <row r="1029" ht="12.0" customHeight="1">
      <c r="A1029" s="25"/>
      <c r="B1029" s="126">
        <v>44710.0</v>
      </c>
      <c r="C1029" s="127">
        <f t="shared" si="1"/>
        <v>44682</v>
      </c>
      <c r="D1029" s="128">
        <f t="shared" si="2"/>
        <v>44710</v>
      </c>
      <c r="E1029" s="129">
        <f t="shared" si="3"/>
        <v>23</v>
      </c>
      <c r="F1029" s="130" t="s">
        <v>26</v>
      </c>
      <c r="G1029" s="131" t="s">
        <v>72</v>
      </c>
      <c r="H1029" s="130" t="s">
        <v>124</v>
      </c>
      <c r="I1029" s="132">
        <f t="shared" si="25"/>
        <v>4275</v>
      </c>
      <c r="J1029" s="133" t="s">
        <v>122</v>
      </c>
      <c r="K1029" s="134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</row>
    <row r="1030" ht="12.0" customHeight="1">
      <c r="A1030" s="25"/>
      <c r="B1030" s="126">
        <v>44724.0</v>
      </c>
      <c r="C1030" s="127">
        <f t="shared" si="1"/>
        <v>44713</v>
      </c>
      <c r="D1030" s="128">
        <f t="shared" si="2"/>
        <v>44724</v>
      </c>
      <c r="E1030" s="129">
        <f t="shared" si="3"/>
        <v>25</v>
      </c>
      <c r="F1030" s="130" t="s">
        <v>26</v>
      </c>
      <c r="G1030" s="131" t="s">
        <v>72</v>
      </c>
      <c r="H1030" s="130" t="s">
        <v>124</v>
      </c>
      <c r="I1030" s="132">
        <f t="shared" si="25"/>
        <v>4275</v>
      </c>
      <c r="J1030" s="133" t="s">
        <v>122</v>
      </c>
      <c r="K1030" s="134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</row>
    <row r="1031" ht="12.0" customHeight="1">
      <c r="A1031" s="25"/>
      <c r="B1031" s="126">
        <v>44745.0</v>
      </c>
      <c r="C1031" s="127">
        <f t="shared" si="1"/>
        <v>44743</v>
      </c>
      <c r="D1031" s="128">
        <f t="shared" si="2"/>
        <v>44745</v>
      </c>
      <c r="E1031" s="129">
        <f t="shared" si="3"/>
        <v>28</v>
      </c>
      <c r="F1031" s="130" t="s">
        <v>26</v>
      </c>
      <c r="G1031" s="131" t="s">
        <v>72</v>
      </c>
      <c r="H1031" s="130" t="s">
        <v>124</v>
      </c>
      <c r="I1031" s="132">
        <f t="shared" si="25"/>
        <v>4275</v>
      </c>
      <c r="J1031" s="133" t="s">
        <v>122</v>
      </c>
      <c r="K1031" s="134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</row>
    <row r="1032" ht="12.0" customHeight="1">
      <c r="A1032" s="25"/>
      <c r="B1032" s="126">
        <v>44765.0</v>
      </c>
      <c r="C1032" s="127">
        <f t="shared" si="1"/>
        <v>44743</v>
      </c>
      <c r="D1032" s="128">
        <f t="shared" si="2"/>
        <v>44765</v>
      </c>
      <c r="E1032" s="129">
        <f t="shared" si="3"/>
        <v>30</v>
      </c>
      <c r="F1032" s="130" t="s">
        <v>26</v>
      </c>
      <c r="G1032" s="131" t="s">
        <v>72</v>
      </c>
      <c r="H1032" s="130" t="s">
        <v>124</v>
      </c>
      <c r="I1032" s="132">
        <f t="shared" si="25"/>
        <v>4275</v>
      </c>
      <c r="J1032" s="133" t="s">
        <v>122</v>
      </c>
      <c r="K1032" s="134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</row>
    <row r="1033" ht="12.0" customHeight="1">
      <c r="A1033" s="25"/>
      <c r="B1033" s="126">
        <v>44824.0</v>
      </c>
      <c r="C1033" s="127">
        <f t="shared" si="1"/>
        <v>44805</v>
      </c>
      <c r="D1033" s="128">
        <f t="shared" si="2"/>
        <v>44824</v>
      </c>
      <c r="E1033" s="129">
        <f t="shared" si="3"/>
        <v>39</v>
      </c>
      <c r="F1033" s="130" t="s">
        <v>26</v>
      </c>
      <c r="G1033" s="131" t="s">
        <v>72</v>
      </c>
      <c r="H1033" s="130" t="s">
        <v>124</v>
      </c>
      <c r="I1033" s="132">
        <f t="shared" si="25"/>
        <v>4275</v>
      </c>
      <c r="J1033" s="133" t="s">
        <v>122</v>
      </c>
      <c r="K1033" s="134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</row>
    <row r="1034" ht="12.0" customHeight="1">
      <c r="A1034" s="25"/>
      <c r="B1034" s="126">
        <v>44881.0</v>
      </c>
      <c r="C1034" s="127">
        <f t="shared" si="1"/>
        <v>44866</v>
      </c>
      <c r="D1034" s="128">
        <f t="shared" si="2"/>
        <v>44881</v>
      </c>
      <c r="E1034" s="129">
        <f t="shared" si="3"/>
        <v>47</v>
      </c>
      <c r="F1034" s="130" t="s">
        <v>26</v>
      </c>
      <c r="G1034" s="131" t="s">
        <v>72</v>
      </c>
      <c r="H1034" s="130" t="s">
        <v>124</v>
      </c>
      <c r="I1034" s="132">
        <f t="shared" si="25"/>
        <v>4275</v>
      </c>
      <c r="J1034" s="133" t="s">
        <v>122</v>
      </c>
      <c r="K1034" s="134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</row>
    <row r="1035" ht="12.0" customHeight="1">
      <c r="A1035" s="25"/>
      <c r="B1035" s="126">
        <v>44902.0</v>
      </c>
      <c r="C1035" s="127">
        <f t="shared" si="1"/>
        <v>44896</v>
      </c>
      <c r="D1035" s="128">
        <f t="shared" si="2"/>
        <v>44902</v>
      </c>
      <c r="E1035" s="129">
        <f t="shared" si="3"/>
        <v>50</v>
      </c>
      <c r="F1035" s="130" t="s">
        <v>26</v>
      </c>
      <c r="G1035" s="131" t="s">
        <v>72</v>
      </c>
      <c r="H1035" s="130" t="s">
        <v>124</v>
      </c>
      <c r="I1035" s="132">
        <f t="shared" si="25"/>
        <v>4275</v>
      </c>
      <c r="J1035" s="133" t="s">
        <v>122</v>
      </c>
      <c r="K1035" s="134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</row>
    <row r="1036" ht="12.0" customHeight="1">
      <c r="A1036" s="25"/>
      <c r="B1036" s="126">
        <v>44924.0</v>
      </c>
      <c r="C1036" s="127">
        <f t="shared" si="1"/>
        <v>44896</v>
      </c>
      <c r="D1036" s="128">
        <f t="shared" si="2"/>
        <v>44924</v>
      </c>
      <c r="E1036" s="129">
        <f t="shared" si="3"/>
        <v>53</v>
      </c>
      <c r="F1036" s="130" t="s">
        <v>26</v>
      </c>
      <c r="G1036" s="131" t="s">
        <v>72</v>
      </c>
      <c r="H1036" s="130" t="s">
        <v>124</v>
      </c>
      <c r="I1036" s="132">
        <f t="shared" si="25"/>
        <v>4275</v>
      </c>
      <c r="J1036" s="133" t="s">
        <v>122</v>
      </c>
      <c r="K1036" s="134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</row>
    <row r="1037" ht="12.0" customHeight="1">
      <c r="A1037" s="25"/>
      <c r="B1037" s="126">
        <v>44653.0</v>
      </c>
      <c r="C1037" s="127">
        <f t="shared" si="1"/>
        <v>44652</v>
      </c>
      <c r="D1037" s="128">
        <f t="shared" si="2"/>
        <v>44653</v>
      </c>
      <c r="E1037" s="129">
        <f t="shared" si="3"/>
        <v>14</v>
      </c>
      <c r="F1037" s="130" t="s">
        <v>26</v>
      </c>
      <c r="G1037" s="131" t="s">
        <v>79</v>
      </c>
      <c r="H1037" s="130" t="s">
        <v>124</v>
      </c>
      <c r="I1037" s="132">
        <v>4200.0</v>
      </c>
      <c r="J1037" s="133" t="s">
        <v>125</v>
      </c>
      <c r="K1037" s="134" t="s">
        <v>758</v>
      </c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</row>
    <row r="1038" ht="12.0" customHeight="1">
      <c r="A1038" s="25"/>
      <c r="B1038" s="126">
        <v>44635.0</v>
      </c>
      <c r="C1038" s="127">
        <f t="shared" si="1"/>
        <v>44621</v>
      </c>
      <c r="D1038" s="128">
        <f t="shared" si="2"/>
        <v>44635</v>
      </c>
      <c r="E1038" s="129">
        <f t="shared" si="3"/>
        <v>12</v>
      </c>
      <c r="F1038" s="130" t="s">
        <v>26</v>
      </c>
      <c r="G1038" s="131" t="s">
        <v>76</v>
      </c>
      <c r="H1038" s="130" t="s">
        <v>124</v>
      </c>
      <c r="I1038" s="132">
        <v>4180.0</v>
      </c>
      <c r="J1038" s="133" t="s">
        <v>122</v>
      </c>
      <c r="K1038" s="134" t="s">
        <v>759</v>
      </c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</row>
    <row r="1039" ht="12.0" customHeight="1">
      <c r="A1039" s="25"/>
      <c r="B1039" s="126">
        <v>44884.0</v>
      </c>
      <c r="C1039" s="127">
        <f t="shared" si="1"/>
        <v>44866</v>
      </c>
      <c r="D1039" s="128">
        <f t="shared" si="2"/>
        <v>44884</v>
      </c>
      <c r="E1039" s="129">
        <f t="shared" si="3"/>
        <v>47</v>
      </c>
      <c r="F1039" s="130" t="s">
        <v>24</v>
      </c>
      <c r="G1039" s="131" t="s">
        <v>46</v>
      </c>
      <c r="H1039" s="130" t="s">
        <v>124</v>
      </c>
      <c r="I1039" s="132">
        <v>4100.0</v>
      </c>
      <c r="J1039" s="133" t="s">
        <v>125</v>
      </c>
      <c r="K1039" s="134" t="s">
        <v>760</v>
      </c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</row>
    <row r="1040" ht="12.0" customHeight="1">
      <c r="A1040" s="25"/>
      <c r="B1040" s="126">
        <v>44916.0</v>
      </c>
      <c r="C1040" s="127">
        <f t="shared" si="1"/>
        <v>44896</v>
      </c>
      <c r="D1040" s="128">
        <f t="shared" si="2"/>
        <v>44916</v>
      </c>
      <c r="E1040" s="129">
        <f t="shared" si="3"/>
        <v>52</v>
      </c>
      <c r="F1040" s="130" t="s">
        <v>26</v>
      </c>
      <c r="G1040" s="131" t="s">
        <v>76</v>
      </c>
      <c r="H1040" s="130" t="s">
        <v>124</v>
      </c>
      <c r="I1040" s="132">
        <v>4080.0</v>
      </c>
      <c r="J1040" s="133" t="s">
        <v>125</v>
      </c>
      <c r="K1040" s="134" t="s">
        <v>761</v>
      </c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</row>
    <row r="1041" ht="12.0" customHeight="1">
      <c r="A1041" s="25"/>
      <c r="B1041" s="126">
        <v>44671.0</v>
      </c>
      <c r="C1041" s="127">
        <f t="shared" si="1"/>
        <v>44652</v>
      </c>
      <c r="D1041" s="128">
        <f t="shared" si="2"/>
        <v>44671</v>
      </c>
      <c r="E1041" s="129">
        <f t="shared" si="3"/>
        <v>17</v>
      </c>
      <c r="F1041" s="130" t="s">
        <v>26</v>
      </c>
      <c r="G1041" s="131" t="s">
        <v>72</v>
      </c>
      <c r="H1041" s="130" t="s">
        <v>121</v>
      </c>
      <c r="I1041" s="132">
        <f t="shared" ref="I1041:I1043" si="26">4500*0.9</f>
        <v>4050</v>
      </c>
      <c r="J1041" s="133" t="s">
        <v>122</v>
      </c>
      <c r="K1041" s="134" t="s">
        <v>560</v>
      </c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</row>
    <row r="1042" ht="12.0" customHeight="1">
      <c r="A1042" s="25"/>
      <c r="B1042" s="126">
        <v>44699.0</v>
      </c>
      <c r="C1042" s="127">
        <f t="shared" si="1"/>
        <v>44682</v>
      </c>
      <c r="D1042" s="128">
        <f t="shared" si="2"/>
        <v>44699</v>
      </c>
      <c r="E1042" s="129">
        <f t="shared" si="3"/>
        <v>21</v>
      </c>
      <c r="F1042" s="130" t="s">
        <v>26</v>
      </c>
      <c r="G1042" s="131" t="s">
        <v>72</v>
      </c>
      <c r="H1042" s="130" t="s">
        <v>121</v>
      </c>
      <c r="I1042" s="132">
        <f t="shared" si="26"/>
        <v>4050</v>
      </c>
      <c r="J1042" s="133" t="s">
        <v>122</v>
      </c>
      <c r="K1042" s="134" t="s">
        <v>560</v>
      </c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</row>
    <row r="1043" ht="12.0" customHeight="1">
      <c r="A1043" s="25"/>
      <c r="B1043" s="126">
        <v>44708.0</v>
      </c>
      <c r="C1043" s="127">
        <f t="shared" si="1"/>
        <v>44682</v>
      </c>
      <c r="D1043" s="128">
        <f t="shared" si="2"/>
        <v>44708</v>
      </c>
      <c r="E1043" s="129">
        <f t="shared" si="3"/>
        <v>22</v>
      </c>
      <c r="F1043" s="130" t="s">
        <v>26</v>
      </c>
      <c r="G1043" s="131" t="s">
        <v>72</v>
      </c>
      <c r="H1043" s="130" t="s">
        <v>121</v>
      </c>
      <c r="I1043" s="132">
        <f t="shared" si="26"/>
        <v>4050</v>
      </c>
      <c r="J1043" s="133" t="s">
        <v>122</v>
      </c>
      <c r="K1043" s="134" t="s">
        <v>560</v>
      </c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</row>
    <row r="1044" ht="12.0" customHeight="1">
      <c r="A1044" s="25"/>
      <c r="B1044" s="126">
        <v>44753.0</v>
      </c>
      <c r="C1044" s="127">
        <f t="shared" si="1"/>
        <v>44743</v>
      </c>
      <c r="D1044" s="128">
        <f t="shared" si="2"/>
        <v>44753</v>
      </c>
      <c r="E1044" s="129">
        <f t="shared" si="3"/>
        <v>29</v>
      </c>
      <c r="F1044" s="130" t="s">
        <v>24</v>
      </c>
      <c r="G1044" s="131" t="s">
        <v>44</v>
      </c>
      <c r="H1044" s="130" t="s">
        <v>124</v>
      </c>
      <c r="I1044" s="132">
        <f>14010-10000</f>
        <v>4010</v>
      </c>
      <c r="J1044" s="133" t="s">
        <v>122</v>
      </c>
      <c r="K1044" s="134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</row>
    <row r="1045" ht="12.0" customHeight="1">
      <c r="A1045" s="25"/>
      <c r="B1045" s="126">
        <v>44597.0</v>
      </c>
      <c r="C1045" s="127">
        <f t="shared" si="1"/>
        <v>44593</v>
      </c>
      <c r="D1045" s="128">
        <f t="shared" si="2"/>
        <v>44597</v>
      </c>
      <c r="E1045" s="129">
        <f t="shared" si="3"/>
        <v>6</v>
      </c>
      <c r="F1045" s="130" t="s">
        <v>24</v>
      </c>
      <c r="G1045" s="131" t="s">
        <v>46</v>
      </c>
      <c r="H1045" s="130" t="s">
        <v>121</v>
      </c>
      <c r="I1045" s="132">
        <v>4000.0</v>
      </c>
      <c r="J1045" s="133" t="s">
        <v>125</v>
      </c>
      <c r="K1045" s="134" t="s">
        <v>762</v>
      </c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</row>
    <row r="1046" ht="12.0" customHeight="1">
      <c r="A1046" s="25"/>
      <c r="B1046" s="126">
        <v>44824.0</v>
      </c>
      <c r="C1046" s="127">
        <f t="shared" si="1"/>
        <v>44805</v>
      </c>
      <c r="D1046" s="128">
        <f t="shared" si="2"/>
        <v>44824</v>
      </c>
      <c r="E1046" s="129">
        <f t="shared" si="3"/>
        <v>39</v>
      </c>
      <c r="F1046" s="130" t="s">
        <v>26</v>
      </c>
      <c r="G1046" s="131" t="s">
        <v>79</v>
      </c>
      <c r="H1046" s="130" t="s">
        <v>124</v>
      </c>
      <c r="I1046" s="132">
        <v>4000.0</v>
      </c>
      <c r="J1046" s="133" t="s">
        <v>125</v>
      </c>
      <c r="K1046" s="134" t="s">
        <v>763</v>
      </c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</row>
    <row r="1047" ht="12.0" customHeight="1">
      <c r="A1047" s="25"/>
      <c r="B1047" s="126">
        <v>44861.0</v>
      </c>
      <c r="C1047" s="127">
        <f t="shared" si="1"/>
        <v>44835</v>
      </c>
      <c r="D1047" s="128">
        <f t="shared" si="2"/>
        <v>44861</v>
      </c>
      <c r="E1047" s="129">
        <f t="shared" si="3"/>
        <v>44</v>
      </c>
      <c r="F1047" s="130" t="s">
        <v>26</v>
      </c>
      <c r="G1047" s="131" t="s">
        <v>79</v>
      </c>
      <c r="H1047" s="130" t="s">
        <v>124</v>
      </c>
      <c r="I1047" s="132">
        <v>4000.0</v>
      </c>
      <c r="J1047" s="133" t="s">
        <v>125</v>
      </c>
      <c r="K1047" s="134" t="s">
        <v>763</v>
      </c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</row>
    <row r="1048" ht="12.0" customHeight="1">
      <c r="A1048" s="25"/>
      <c r="B1048" s="126">
        <v>44920.0</v>
      </c>
      <c r="C1048" s="127">
        <f t="shared" si="1"/>
        <v>44896</v>
      </c>
      <c r="D1048" s="128">
        <f t="shared" si="2"/>
        <v>44920</v>
      </c>
      <c r="E1048" s="129">
        <f t="shared" si="3"/>
        <v>53</v>
      </c>
      <c r="F1048" s="130" t="s">
        <v>24</v>
      </c>
      <c r="G1048" s="131" t="s">
        <v>46</v>
      </c>
      <c r="H1048" s="130" t="s">
        <v>121</v>
      </c>
      <c r="I1048" s="132">
        <v>4000.0</v>
      </c>
      <c r="J1048" s="133" t="s">
        <v>125</v>
      </c>
      <c r="K1048" s="134" t="s">
        <v>764</v>
      </c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</row>
    <row r="1049" ht="12.0" customHeight="1">
      <c r="A1049" s="25"/>
      <c r="B1049" s="126">
        <v>44921.0</v>
      </c>
      <c r="C1049" s="127">
        <f t="shared" si="1"/>
        <v>44896</v>
      </c>
      <c r="D1049" s="128">
        <f t="shared" si="2"/>
        <v>44921</v>
      </c>
      <c r="E1049" s="129">
        <f t="shared" si="3"/>
        <v>53</v>
      </c>
      <c r="F1049" s="130" t="s">
        <v>128</v>
      </c>
      <c r="G1049" s="131" t="s">
        <v>172</v>
      </c>
      <c r="H1049" s="130" t="s">
        <v>124</v>
      </c>
      <c r="I1049" s="132">
        <v>4000.0</v>
      </c>
      <c r="J1049" s="133" t="s">
        <v>122</v>
      </c>
      <c r="K1049" s="134" t="s">
        <v>765</v>
      </c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</row>
    <row r="1050" ht="12.0" customHeight="1">
      <c r="A1050" s="25"/>
      <c r="B1050" s="126">
        <v>44747.0</v>
      </c>
      <c r="C1050" s="127">
        <f t="shared" si="1"/>
        <v>44743</v>
      </c>
      <c r="D1050" s="128">
        <f t="shared" si="2"/>
        <v>44747</v>
      </c>
      <c r="E1050" s="129">
        <f t="shared" si="3"/>
        <v>28</v>
      </c>
      <c r="F1050" s="130" t="s">
        <v>26</v>
      </c>
      <c r="G1050" s="131" t="s">
        <v>76</v>
      </c>
      <c r="H1050" s="130" t="s">
        <v>124</v>
      </c>
      <c r="I1050" s="132">
        <v>3980.0</v>
      </c>
      <c r="J1050" s="133" t="s">
        <v>125</v>
      </c>
      <c r="K1050" s="134" t="s">
        <v>745</v>
      </c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</row>
    <row r="1051" ht="12.0" customHeight="1">
      <c r="A1051" s="25"/>
      <c r="B1051" s="126">
        <v>44831.0</v>
      </c>
      <c r="C1051" s="127">
        <f t="shared" si="1"/>
        <v>44805</v>
      </c>
      <c r="D1051" s="128">
        <f t="shared" si="2"/>
        <v>44831</v>
      </c>
      <c r="E1051" s="129">
        <f t="shared" si="3"/>
        <v>40</v>
      </c>
      <c r="F1051" s="130" t="s">
        <v>26</v>
      </c>
      <c r="G1051" s="131" t="s">
        <v>70</v>
      </c>
      <c r="H1051" s="130" t="s">
        <v>124</v>
      </c>
      <c r="I1051" s="132">
        <v>3980.0</v>
      </c>
      <c r="J1051" s="133" t="s">
        <v>122</v>
      </c>
      <c r="K1051" s="134" t="s">
        <v>766</v>
      </c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</row>
    <row r="1052" ht="12.0" customHeight="1">
      <c r="A1052" s="25"/>
      <c r="B1052" s="126">
        <v>44829.0</v>
      </c>
      <c r="C1052" s="127">
        <f t="shared" si="1"/>
        <v>44805</v>
      </c>
      <c r="D1052" s="128">
        <f t="shared" si="2"/>
        <v>44829</v>
      </c>
      <c r="E1052" s="129">
        <f t="shared" si="3"/>
        <v>40</v>
      </c>
      <c r="F1052" s="130" t="s">
        <v>26</v>
      </c>
      <c r="G1052" s="131" t="s">
        <v>70</v>
      </c>
      <c r="H1052" s="130" t="s">
        <v>124</v>
      </c>
      <c r="I1052" s="132">
        <v>3940.0</v>
      </c>
      <c r="J1052" s="133" t="s">
        <v>122</v>
      </c>
      <c r="K1052" s="134" t="s">
        <v>766</v>
      </c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</row>
    <row r="1053" ht="12.0" customHeight="1">
      <c r="A1053" s="25"/>
      <c r="B1053" s="126">
        <v>44877.0</v>
      </c>
      <c r="C1053" s="127">
        <f t="shared" si="1"/>
        <v>44866</v>
      </c>
      <c r="D1053" s="128">
        <f t="shared" si="2"/>
        <v>44877</v>
      </c>
      <c r="E1053" s="129">
        <f t="shared" si="3"/>
        <v>46</v>
      </c>
      <c r="F1053" s="130" t="s">
        <v>24</v>
      </c>
      <c r="G1053" s="131" t="s">
        <v>49</v>
      </c>
      <c r="H1053" s="130" t="s">
        <v>124</v>
      </c>
      <c r="I1053" s="132">
        <v>3900.0</v>
      </c>
      <c r="J1053" s="133" t="s">
        <v>122</v>
      </c>
      <c r="K1053" s="134" t="s">
        <v>767</v>
      </c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</row>
    <row r="1054" ht="12.0" customHeight="1">
      <c r="A1054" s="25"/>
      <c r="B1054" s="126">
        <v>44905.0</v>
      </c>
      <c r="C1054" s="127">
        <f t="shared" si="1"/>
        <v>44896</v>
      </c>
      <c r="D1054" s="128">
        <f t="shared" si="2"/>
        <v>44905</v>
      </c>
      <c r="E1054" s="129">
        <f t="shared" si="3"/>
        <v>50</v>
      </c>
      <c r="F1054" s="130" t="s">
        <v>24</v>
      </c>
      <c r="G1054" s="131" t="s">
        <v>49</v>
      </c>
      <c r="H1054" s="130" t="s">
        <v>124</v>
      </c>
      <c r="I1054" s="132">
        <v>3900.0</v>
      </c>
      <c r="J1054" s="133" t="s">
        <v>122</v>
      </c>
      <c r="K1054" s="134" t="s">
        <v>767</v>
      </c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</row>
    <row r="1055" ht="12.0" customHeight="1">
      <c r="A1055" s="25"/>
      <c r="B1055" s="126">
        <v>44921.0</v>
      </c>
      <c r="C1055" s="127">
        <f t="shared" si="1"/>
        <v>44896</v>
      </c>
      <c r="D1055" s="128">
        <f t="shared" si="2"/>
        <v>44921</v>
      </c>
      <c r="E1055" s="129">
        <f t="shared" si="3"/>
        <v>53</v>
      </c>
      <c r="F1055" s="130" t="s">
        <v>128</v>
      </c>
      <c r="G1055" s="131" t="s">
        <v>172</v>
      </c>
      <c r="H1055" s="130" t="s">
        <v>124</v>
      </c>
      <c r="I1055" s="132">
        <f>4100-205</f>
        <v>3895</v>
      </c>
      <c r="J1055" s="133" t="s">
        <v>125</v>
      </c>
      <c r="K1055" s="134" t="s">
        <v>768</v>
      </c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</row>
    <row r="1056" ht="12.0" customHeight="1">
      <c r="A1056" s="25"/>
      <c r="B1056" s="126">
        <v>44791.0</v>
      </c>
      <c r="C1056" s="127">
        <f t="shared" si="1"/>
        <v>44774</v>
      </c>
      <c r="D1056" s="128">
        <f t="shared" si="2"/>
        <v>44791</v>
      </c>
      <c r="E1056" s="129">
        <f t="shared" si="3"/>
        <v>34</v>
      </c>
      <c r="F1056" s="130" t="s">
        <v>26</v>
      </c>
      <c r="G1056" s="131" t="s">
        <v>87</v>
      </c>
      <c r="H1056" s="130" t="s">
        <v>124</v>
      </c>
      <c r="I1056" s="132">
        <f>4300-430</f>
        <v>3870</v>
      </c>
      <c r="J1056" s="133" t="s">
        <v>125</v>
      </c>
      <c r="K1056" s="134" t="s">
        <v>769</v>
      </c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</row>
    <row r="1057" ht="12.0" customHeight="1">
      <c r="A1057" s="25"/>
      <c r="B1057" s="126">
        <v>44674.0</v>
      </c>
      <c r="C1057" s="127">
        <f t="shared" si="1"/>
        <v>44652</v>
      </c>
      <c r="D1057" s="128">
        <f t="shared" si="2"/>
        <v>44674</v>
      </c>
      <c r="E1057" s="129">
        <f t="shared" si="3"/>
        <v>17</v>
      </c>
      <c r="F1057" s="130" t="s">
        <v>128</v>
      </c>
      <c r="G1057" s="131" t="s">
        <v>172</v>
      </c>
      <c r="H1057" s="130" t="s">
        <v>124</v>
      </c>
      <c r="I1057" s="132">
        <v>3800.0</v>
      </c>
      <c r="J1057" s="133" t="s">
        <v>125</v>
      </c>
      <c r="K1057" s="134" t="s">
        <v>770</v>
      </c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</row>
    <row r="1058" ht="12.0" customHeight="1">
      <c r="A1058" s="25"/>
      <c r="B1058" s="126">
        <v>44799.0</v>
      </c>
      <c r="C1058" s="127">
        <f t="shared" si="1"/>
        <v>44774</v>
      </c>
      <c r="D1058" s="128">
        <f t="shared" si="2"/>
        <v>44799</v>
      </c>
      <c r="E1058" s="129">
        <f t="shared" si="3"/>
        <v>35</v>
      </c>
      <c r="F1058" s="130" t="s">
        <v>26</v>
      </c>
      <c r="G1058" s="131" t="s">
        <v>87</v>
      </c>
      <c r="H1058" s="130" t="s">
        <v>124</v>
      </c>
      <c r="I1058" s="132">
        <v>3800.0</v>
      </c>
      <c r="J1058" s="133" t="s">
        <v>122</v>
      </c>
      <c r="K1058" s="134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</row>
    <row r="1059" ht="12.0" customHeight="1">
      <c r="A1059" s="25"/>
      <c r="B1059" s="126">
        <v>44814.0</v>
      </c>
      <c r="C1059" s="127">
        <f t="shared" si="1"/>
        <v>44805</v>
      </c>
      <c r="D1059" s="128">
        <f t="shared" si="2"/>
        <v>44814</v>
      </c>
      <c r="E1059" s="129">
        <f t="shared" si="3"/>
        <v>37</v>
      </c>
      <c r="F1059" s="130" t="s">
        <v>26</v>
      </c>
      <c r="G1059" s="131" t="s">
        <v>87</v>
      </c>
      <c r="H1059" s="130" t="s">
        <v>124</v>
      </c>
      <c r="I1059" s="132">
        <f>4200-420</f>
        <v>3780</v>
      </c>
      <c r="J1059" s="133" t="s">
        <v>125</v>
      </c>
      <c r="K1059" s="134" t="s">
        <v>622</v>
      </c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</row>
    <row r="1060" ht="12.0" customHeight="1">
      <c r="A1060" s="25"/>
      <c r="B1060" s="126">
        <v>44716.0</v>
      </c>
      <c r="C1060" s="127">
        <f t="shared" si="1"/>
        <v>44713</v>
      </c>
      <c r="D1060" s="128">
        <f t="shared" si="2"/>
        <v>44716</v>
      </c>
      <c r="E1060" s="129">
        <f t="shared" si="3"/>
        <v>23</v>
      </c>
      <c r="F1060" s="130" t="s">
        <v>26</v>
      </c>
      <c r="G1060" s="131" t="s">
        <v>72</v>
      </c>
      <c r="H1060" s="130" t="s">
        <v>124</v>
      </c>
      <c r="I1060" s="132">
        <f>14500*0.95-10000</f>
        <v>3775</v>
      </c>
      <c r="J1060" s="133" t="s">
        <v>122</v>
      </c>
      <c r="K1060" s="134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</row>
    <row r="1061" ht="12.0" customHeight="1">
      <c r="A1061" s="25"/>
      <c r="B1061" s="126">
        <v>44732.0</v>
      </c>
      <c r="C1061" s="127">
        <f t="shared" si="1"/>
        <v>44713</v>
      </c>
      <c r="D1061" s="128">
        <f t="shared" si="2"/>
        <v>44732</v>
      </c>
      <c r="E1061" s="129">
        <f t="shared" si="3"/>
        <v>26</v>
      </c>
      <c r="F1061" s="130" t="s">
        <v>24</v>
      </c>
      <c r="G1061" s="131" t="s">
        <v>53</v>
      </c>
      <c r="H1061" s="130" t="s">
        <v>121</v>
      </c>
      <c r="I1061" s="132">
        <v>3735.0</v>
      </c>
      <c r="J1061" s="133" t="s">
        <v>122</v>
      </c>
      <c r="K1061" s="134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</row>
    <row r="1062" ht="12.0" customHeight="1">
      <c r="A1062" s="25"/>
      <c r="B1062" s="126">
        <v>44564.0</v>
      </c>
      <c r="C1062" s="127">
        <f t="shared" si="1"/>
        <v>44562</v>
      </c>
      <c r="D1062" s="128">
        <f t="shared" si="2"/>
        <v>44564</v>
      </c>
      <c r="E1062" s="129">
        <f t="shared" si="3"/>
        <v>2</v>
      </c>
      <c r="F1062" s="130" t="s">
        <v>24</v>
      </c>
      <c r="G1062" s="131" t="s">
        <v>54</v>
      </c>
      <c r="H1062" s="130" t="s">
        <v>124</v>
      </c>
      <c r="I1062" s="132">
        <v>3700.0</v>
      </c>
      <c r="J1062" s="133" t="s">
        <v>122</v>
      </c>
      <c r="K1062" s="134" t="s">
        <v>771</v>
      </c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</row>
    <row r="1063" ht="12.0" customHeight="1">
      <c r="A1063" s="25"/>
      <c r="B1063" s="126">
        <v>44917.0</v>
      </c>
      <c r="C1063" s="127">
        <f t="shared" si="1"/>
        <v>44896</v>
      </c>
      <c r="D1063" s="128">
        <f t="shared" si="2"/>
        <v>44917</v>
      </c>
      <c r="E1063" s="129">
        <f t="shared" si="3"/>
        <v>52</v>
      </c>
      <c r="F1063" s="130" t="s">
        <v>24</v>
      </c>
      <c r="G1063" s="131" t="s">
        <v>54</v>
      </c>
      <c r="H1063" s="130" t="s">
        <v>124</v>
      </c>
      <c r="I1063" s="132">
        <v>3690.0</v>
      </c>
      <c r="J1063" s="133" t="s">
        <v>122</v>
      </c>
      <c r="K1063" s="134" t="s">
        <v>772</v>
      </c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</row>
    <row r="1064" ht="12.0" customHeight="1">
      <c r="A1064" s="25"/>
      <c r="B1064" s="126">
        <v>44879.0</v>
      </c>
      <c r="C1064" s="127">
        <f t="shared" si="1"/>
        <v>44866</v>
      </c>
      <c r="D1064" s="128">
        <f t="shared" si="2"/>
        <v>44879</v>
      </c>
      <c r="E1064" s="129">
        <f t="shared" si="3"/>
        <v>47</v>
      </c>
      <c r="F1064" s="130" t="s">
        <v>26</v>
      </c>
      <c r="G1064" s="131" t="s">
        <v>70</v>
      </c>
      <c r="H1064" s="130" t="s">
        <v>124</v>
      </c>
      <c r="I1064" s="132">
        <v>3605.0</v>
      </c>
      <c r="J1064" s="133" t="s">
        <v>122</v>
      </c>
      <c r="K1064" s="134" t="s">
        <v>773</v>
      </c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</row>
    <row r="1065" ht="12.0" customHeight="1">
      <c r="A1065" s="25"/>
      <c r="B1065" s="126">
        <v>44757.0</v>
      </c>
      <c r="C1065" s="127">
        <f t="shared" si="1"/>
        <v>44743</v>
      </c>
      <c r="D1065" s="128">
        <f t="shared" si="2"/>
        <v>44757</v>
      </c>
      <c r="E1065" s="129">
        <f t="shared" si="3"/>
        <v>29</v>
      </c>
      <c r="F1065" s="130" t="s">
        <v>26</v>
      </c>
      <c r="G1065" s="131" t="s">
        <v>79</v>
      </c>
      <c r="H1065" s="130" t="s">
        <v>121</v>
      </c>
      <c r="I1065" s="132">
        <f>4000*0.9</f>
        <v>3600</v>
      </c>
      <c r="J1065" s="133" t="s">
        <v>125</v>
      </c>
      <c r="K1065" s="134" t="s">
        <v>774</v>
      </c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</row>
    <row r="1066" ht="12.0" customHeight="1">
      <c r="A1066" s="25"/>
      <c r="B1066" s="126">
        <v>44774.0</v>
      </c>
      <c r="C1066" s="127">
        <f t="shared" si="1"/>
        <v>44774</v>
      </c>
      <c r="D1066" s="128">
        <f t="shared" si="2"/>
        <v>44774</v>
      </c>
      <c r="E1066" s="129">
        <f t="shared" si="3"/>
        <v>32</v>
      </c>
      <c r="F1066" s="130" t="s">
        <v>24</v>
      </c>
      <c r="G1066" s="131" t="s">
        <v>54</v>
      </c>
      <c r="H1066" s="130" t="s">
        <v>124</v>
      </c>
      <c r="I1066" s="132">
        <v>3600.0</v>
      </c>
      <c r="J1066" s="133" t="s">
        <v>122</v>
      </c>
      <c r="K1066" s="134" t="s">
        <v>775</v>
      </c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</row>
    <row r="1067" ht="12.0" customHeight="1">
      <c r="A1067" s="25"/>
      <c r="B1067" s="126">
        <v>44581.0</v>
      </c>
      <c r="C1067" s="127">
        <f t="shared" si="1"/>
        <v>44562</v>
      </c>
      <c r="D1067" s="128">
        <f t="shared" si="2"/>
        <v>44581</v>
      </c>
      <c r="E1067" s="129">
        <f t="shared" si="3"/>
        <v>4</v>
      </c>
      <c r="F1067" s="130" t="s">
        <v>26</v>
      </c>
      <c r="G1067" s="131" t="s">
        <v>82</v>
      </c>
      <c r="H1067" s="130" t="s">
        <v>124</v>
      </c>
      <c r="I1067" s="132">
        <f>16632-13131</f>
        <v>3501</v>
      </c>
      <c r="J1067" s="133" t="s">
        <v>125</v>
      </c>
      <c r="K1067" s="134" t="s">
        <v>776</v>
      </c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</row>
    <row r="1068" ht="12.0" customHeight="1">
      <c r="A1068" s="25"/>
      <c r="B1068" s="126">
        <v>44568.0</v>
      </c>
      <c r="C1068" s="127">
        <f t="shared" si="1"/>
        <v>44562</v>
      </c>
      <c r="D1068" s="128">
        <f t="shared" si="2"/>
        <v>44568</v>
      </c>
      <c r="E1068" s="129">
        <f t="shared" si="3"/>
        <v>2</v>
      </c>
      <c r="F1068" s="130" t="s">
        <v>26</v>
      </c>
      <c r="G1068" s="131" t="s">
        <v>79</v>
      </c>
      <c r="H1068" s="130" t="s">
        <v>121</v>
      </c>
      <c r="I1068" s="132">
        <v>3500.0</v>
      </c>
      <c r="J1068" s="133" t="s">
        <v>125</v>
      </c>
      <c r="K1068" s="134" t="s">
        <v>777</v>
      </c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</row>
    <row r="1069" ht="12.0" customHeight="1">
      <c r="A1069" s="25"/>
      <c r="B1069" s="126">
        <v>44625.0</v>
      </c>
      <c r="C1069" s="127">
        <f t="shared" si="1"/>
        <v>44621</v>
      </c>
      <c r="D1069" s="128">
        <f t="shared" si="2"/>
        <v>44625</v>
      </c>
      <c r="E1069" s="129">
        <f t="shared" si="3"/>
        <v>10</v>
      </c>
      <c r="F1069" s="130" t="s">
        <v>26</v>
      </c>
      <c r="G1069" s="131" t="s">
        <v>79</v>
      </c>
      <c r="H1069" s="130" t="s">
        <v>124</v>
      </c>
      <c r="I1069" s="132">
        <v>3500.0</v>
      </c>
      <c r="J1069" s="133" t="s">
        <v>125</v>
      </c>
      <c r="K1069" s="134" t="s">
        <v>778</v>
      </c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</row>
    <row r="1070" ht="12.0" customHeight="1">
      <c r="A1070" s="25"/>
      <c r="B1070" s="126">
        <v>44741.0</v>
      </c>
      <c r="C1070" s="127">
        <f t="shared" si="1"/>
        <v>44713</v>
      </c>
      <c r="D1070" s="128">
        <f t="shared" si="2"/>
        <v>44741</v>
      </c>
      <c r="E1070" s="129">
        <f t="shared" si="3"/>
        <v>27</v>
      </c>
      <c r="F1070" s="130" t="s">
        <v>24</v>
      </c>
      <c r="G1070" s="131" t="s">
        <v>54</v>
      </c>
      <c r="H1070" s="130" t="s">
        <v>124</v>
      </c>
      <c r="I1070" s="132">
        <v>3500.0</v>
      </c>
      <c r="J1070" s="133" t="s">
        <v>122</v>
      </c>
      <c r="K1070" s="134" t="s">
        <v>779</v>
      </c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</row>
    <row r="1071" ht="12.0" customHeight="1">
      <c r="A1071" s="25"/>
      <c r="B1071" s="126">
        <v>44826.0</v>
      </c>
      <c r="C1071" s="127">
        <f t="shared" si="1"/>
        <v>44805</v>
      </c>
      <c r="D1071" s="128">
        <f t="shared" si="2"/>
        <v>44826</v>
      </c>
      <c r="E1071" s="129">
        <f t="shared" si="3"/>
        <v>39</v>
      </c>
      <c r="F1071" s="130" t="s">
        <v>26</v>
      </c>
      <c r="G1071" s="131" t="s">
        <v>79</v>
      </c>
      <c r="H1071" s="130" t="s">
        <v>124</v>
      </c>
      <c r="I1071" s="132">
        <v>3500.0</v>
      </c>
      <c r="J1071" s="133" t="s">
        <v>122</v>
      </c>
      <c r="K1071" s="134" t="s">
        <v>780</v>
      </c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</row>
    <row r="1072" ht="12.0" customHeight="1">
      <c r="A1072" s="25"/>
      <c r="B1072" s="126">
        <v>44872.0</v>
      </c>
      <c r="C1072" s="127">
        <f t="shared" si="1"/>
        <v>44866</v>
      </c>
      <c r="D1072" s="128">
        <f t="shared" si="2"/>
        <v>44872</v>
      </c>
      <c r="E1072" s="129">
        <f t="shared" si="3"/>
        <v>46</v>
      </c>
      <c r="F1072" s="130" t="s">
        <v>24</v>
      </c>
      <c r="G1072" s="131" t="s">
        <v>54</v>
      </c>
      <c r="H1072" s="130" t="s">
        <v>124</v>
      </c>
      <c r="I1072" s="132">
        <v>3500.0</v>
      </c>
      <c r="J1072" s="133" t="s">
        <v>122</v>
      </c>
      <c r="K1072" s="134" t="s">
        <v>781</v>
      </c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</row>
    <row r="1073" ht="12.0" customHeight="1">
      <c r="A1073" s="25"/>
      <c r="B1073" s="126">
        <v>44615.0</v>
      </c>
      <c r="C1073" s="127">
        <f t="shared" si="1"/>
        <v>44593</v>
      </c>
      <c r="D1073" s="128">
        <f t="shared" si="2"/>
        <v>44615</v>
      </c>
      <c r="E1073" s="129">
        <f t="shared" si="3"/>
        <v>9</v>
      </c>
      <c r="F1073" s="130" t="s">
        <v>26</v>
      </c>
      <c r="G1073" s="131" t="s">
        <v>82</v>
      </c>
      <c r="H1073" s="130" t="s">
        <v>124</v>
      </c>
      <c r="I1073" s="132">
        <v>3485.0</v>
      </c>
      <c r="J1073" s="133" t="s">
        <v>125</v>
      </c>
      <c r="K1073" s="134" t="s">
        <v>755</v>
      </c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</row>
    <row r="1074" ht="12.0" customHeight="1">
      <c r="A1074" s="25"/>
      <c r="B1074" s="126">
        <v>44620.0</v>
      </c>
      <c r="C1074" s="127">
        <f t="shared" si="1"/>
        <v>44593</v>
      </c>
      <c r="D1074" s="128">
        <f t="shared" si="2"/>
        <v>44620</v>
      </c>
      <c r="E1074" s="129">
        <f t="shared" si="3"/>
        <v>10</v>
      </c>
      <c r="F1074" s="130" t="s">
        <v>24</v>
      </c>
      <c r="G1074" s="131" t="s">
        <v>29</v>
      </c>
      <c r="H1074" s="130" t="s">
        <v>124</v>
      </c>
      <c r="I1074" s="132">
        <f>3700-740+650-130</f>
        <v>3480</v>
      </c>
      <c r="J1074" s="133" t="s">
        <v>125</v>
      </c>
      <c r="K1074" s="134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</row>
    <row r="1075" ht="12.0" customHeight="1">
      <c r="A1075" s="25"/>
      <c r="B1075" s="126">
        <v>44621.0</v>
      </c>
      <c r="C1075" s="127">
        <f t="shared" si="1"/>
        <v>44621</v>
      </c>
      <c r="D1075" s="128">
        <f t="shared" si="2"/>
        <v>44621</v>
      </c>
      <c r="E1075" s="129">
        <f t="shared" si="3"/>
        <v>10</v>
      </c>
      <c r="F1075" s="130" t="s">
        <v>24</v>
      </c>
      <c r="G1075" s="131" t="s">
        <v>52</v>
      </c>
      <c r="H1075" s="130" t="s">
        <v>124</v>
      </c>
      <c r="I1075" s="132">
        <v>3450.0</v>
      </c>
      <c r="J1075" s="133" t="s">
        <v>122</v>
      </c>
      <c r="K1075" s="134" t="s">
        <v>782</v>
      </c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</row>
    <row r="1076" ht="12.0" customHeight="1">
      <c r="A1076" s="25"/>
      <c r="B1076" s="126">
        <v>44657.0</v>
      </c>
      <c r="C1076" s="127">
        <f t="shared" si="1"/>
        <v>44652</v>
      </c>
      <c r="D1076" s="128">
        <f t="shared" si="2"/>
        <v>44657</v>
      </c>
      <c r="E1076" s="129">
        <f t="shared" si="3"/>
        <v>15</v>
      </c>
      <c r="F1076" s="130" t="s">
        <v>26</v>
      </c>
      <c r="G1076" s="131" t="s">
        <v>82</v>
      </c>
      <c r="H1076" s="130" t="s">
        <v>124</v>
      </c>
      <c r="I1076" s="132">
        <v>3400.0</v>
      </c>
      <c r="J1076" s="133" t="s">
        <v>122</v>
      </c>
      <c r="K1076" s="134" t="s">
        <v>783</v>
      </c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</row>
    <row r="1077" ht="12.0" customHeight="1">
      <c r="A1077" s="25"/>
      <c r="B1077" s="126">
        <v>44809.0</v>
      </c>
      <c r="C1077" s="127">
        <f t="shared" si="1"/>
        <v>44805</v>
      </c>
      <c r="D1077" s="128">
        <f t="shared" si="2"/>
        <v>44809</v>
      </c>
      <c r="E1077" s="129">
        <f t="shared" si="3"/>
        <v>37</v>
      </c>
      <c r="F1077" s="130" t="s">
        <v>24</v>
      </c>
      <c r="G1077" s="131" t="s">
        <v>54</v>
      </c>
      <c r="H1077" s="130" t="s">
        <v>124</v>
      </c>
      <c r="I1077" s="132">
        <v>3400.0</v>
      </c>
      <c r="J1077" s="133" t="s">
        <v>122</v>
      </c>
      <c r="K1077" s="134" t="s">
        <v>784</v>
      </c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</row>
    <row r="1078" ht="12.0" customHeight="1">
      <c r="A1078" s="25"/>
      <c r="B1078" s="126">
        <v>44767.0</v>
      </c>
      <c r="C1078" s="127">
        <f t="shared" si="1"/>
        <v>44743</v>
      </c>
      <c r="D1078" s="128">
        <f t="shared" si="2"/>
        <v>44767</v>
      </c>
      <c r="E1078" s="129">
        <f t="shared" si="3"/>
        <v>31</v>
      </c>
      <c r="F1078" s="130" t="s">
        <v>128</v>
      </c>
      <c r="G1078" s="131" t="s">
        <v>129</v>
      </c>
      <c r="H1078" s="130" t="s">
        <v>124</v>
      </c>
      <c r="I1078" s="132">
        <v>3312.0</v>
      </c>
      <c r="J1078" s="133" t="s">
        <v>125</v>
      </c>
      <c r="K1078" s="134" t="s">
        <v>785</v>
      </c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</row>
    <row r="1079" ht="12.0" customHeight="1">
      <c r="A1079" s="25"/>
      <c r="B1079" s="126">
        <v>44781.0</v>
      </c>
      <c r="C1079" s="127">
        <f t="shared" si="1"/>
        <v>44774</v>
      </c>
      <c r="D1079" s="128">
        <f t="shared" si="2"/>
        <v>44781</v>
      </c>
      <c r="E1079" s="129">
        <f t="shared" si="3"/>
        <v>33</v>
      </c>
      <c r="F1079" s="130" t="s">
        <v>24</v>
      </c>
      <c r="G1079" s="131" t="s">
        <v>54</v>
      </c>
      <c r="H1079" s="130" t="s">
        <v>124</v>
      </c>
      <c r="I1079" s="132">
        <v>3300.0</v>
      </c>
      <c r="J1079" s="133" t="s">
        <v>122</v>
      </c>
      <c r="K1079" s="134" t="s">
        <v>786</v>
      </c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</row>
    <row r="1080" ht="12.0" customHeight="1">
      <c r="A1080" s="25"/>
      <c r="B1080" s="126">
        <v>44818.0</v>
      </c>
      <c r="C1080" s="127">
        <f t="shared" si="1"/>
        <v>44805</v>
      </c>
      <c r="D1080" s="128">
        <f t="shared" si="2"/>
        <v>44818</v>
      </c>
      <c r="E1080" s="129">
        <f t="shared" si="3"/>
        <v>38</v>
      </c>
      <c r="F1080" s="130" t="s">
        <v>26</v>
      </c>
      <c r="G1080" s="131" t="s">
        <v>70</v>
      </c>
      <c r="H1080" s="130" t="s">
        <v>124</v>
      </c>
      <c r="I1080" s="132">
        <v>3300.0</v>
      </c>
      <c r="J1080" s="133" t="s">
        <v>122</v>
      </c>
      <c r="K1080" s="134" t="s">
        <v>787</v>
      </c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</row>
    <row r="1081" ht="12.0" customHeight="1">
      <c r="A1081" s="25"/>
      <c r="B1081" s="126">
        <v>44848.0</v>
      </c>
      <c r="C1081" s="127">
        <f t="shared" si="1"/>
        <v>44835</v>
      </c>
      <c r="D1081" s="128">
        <f t="shared" si="2"/>
        <v>44848</v>
      </c>
      <c r="E1081" s="129">
        <f t="shared" si="3"/>
        <v>42</v>
      </c>
      <c r="F1081" s="130" t="s">
        <v>26</v>
      </c>
      <c r="G1081" s="131" t="s">
        <v>70</v>
      </c>
      <c r="H1081" s="130" t="s">
        <v>124</v>
      </c>
      <c r="I1081" s="132">
        <v>3300.0</v>
      </c>
      <c r="J1081" s="133" t="s">
        <v>122</v>
      </c>
      <c r="K1081" s="134" t="s">
        <v>787</v>
      </c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</row>
    <row r="1082" ht="12.0" customHeight="1">
      <c r="A1082" s="25"/>
      <c r="B1082" s="126">
        <v>44879.0</v>
      </c>
      <c r="C1082" s="127">
        <f t="shared" si="1"/>
        <v>44866</v>
      </c>
      <c r="D1082" s="128">
        <f t="shared" si="2"/>
        <v>44879</v>
      </c>
      <c r="E1082" s="129">
        <f t="shared" si="3"/>
        <v>47</v>
      </c>
      <c r="F1082" s="130" t="s">
        <v>26</v>
      </c>
      <c r="G1082" s="131" t="s">
        <v>70</v>
      </c>
      <c r="H1082" s="130" t="s">
        <v>124</v>
      </c>
      <c r="I1082" s="132">
        <v>3300.0</v>
      </c>
      <c r="J1082" s="133" t="s">
        <v>122</v>
      </c>
      <c r="K1082" s="134" t="s">
        <v>787</v>
      </c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</row>
    <row r="1083" ht="12.0" customHeight="1">
      <c r="A1083" s="25"/>
      <c r="B1083" s="126">
        <v>44909.0</v>
      </c>
      <c r="C1083" s="127">
        <f t="shared" si="1"/>
        <v>44896</v>
      </c>
      <c r="D1083" s="128">
        <f t="shared" si="2"/>
        <v>44909</v>
      </c>
      <c r="E1083" s="129">
        <f t="shared" si="3"/>
        <v>51</v>
      </c>
      <c r="F1083" s="130" t="s">
        <v>26</v>
      </c>
      <c r="G1083" s="131" t="s">
        <v>70</v>
      </c>
      <c r="H1083" s="130" t="s">
        <v>124</v>
      </c>
      <c r="I1083" s="132">
        <v>3300.0</v>
      </c>
      <c r="J1083" s="133" t="s">
        <v>122</v>
      </c>
      <c r="K1083" s="134" t="s">
        <v>787</v>
      </c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</row>
    <row r="1084" ht="12.0" customHeight="1">
      <c r="A1084" s="25"/>
      <c r="B1084" s="126">
        <v>44859.0</v>
      </c>
      <c r="C1084" s="127">
        <f t="shared" si="1"/>
        <v>44835</v>
      </c>
      <c r="D1084" s="128">
        <f t="shared" si="2"/>
        <v>44859</v>
      </c>
      <c r="E1084" s="129">
        <f t="shared" si="3"/>
        <v>44</v>
      </c>
      <c r="F1084" s="130" t="s">
        <v>26</v>
      </c>
      <c r="G1084" s="131" t="s">
        <v>76</v>
      </c>
      <c r="H1084" s="130" t="s">
        <v>124</v>
      </c>
      <c r="I1084" s="132">
        <f>3400*0.95</f>
        <v>3230</v>
      </c>
      <c r="J1084" s="133" t="s">
        <v>122</v>
      </c>
      <c r="K1084" s="134" t="s">
        <v>788</v>
      </c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</row>
    <row r="1085" ht="12.0" customHeight="1">
      <c r="A1085" s="25"/>
      <c r="B1085" s="126">
        <v>44884.0</v>
      </c>
      <c r="C1085" s="127">
        <f t="shared" si="1"/>
        <v>44866</v>
      </c>
      <c r="D1085" s="128">
        <f t="shared" si="2"/>
        <v>44884</v>
      </c>
      <c r="E1085" s="129">
        <f t="shared" si="3"/>
        <v>47</v>
      </c>
      <c r="F1085" s="130" t="s">
        <v>24</v>
      </c>
      <c r="G1085" s="131" t="s">
        <v>29</v>
      </c>
      <c r="H1085" s="130" t="s">
        <v>124</v>
      </c>
      <c r="I1085" s="132">
        <f>4000-800</f>
        <v>3200</v>
      </c>
      <c r="J1085" s="133" t="s">
        <v>125</v>
      </c>
      <c r="K1085" s="134" t="s">
        <v>592</v>
      </c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</row>
    <row r="1086" ht="12.0" customHeight="1">
      <c r="A1086" s="25"/>
      <c r="B1086" s="126">
        <v>44787.0</v>
      </c>
      <c r="C1086" s="127">
        <f t="shared" si="1"/>
        <v>44774</v>
      </c>
      <c r="D1086" s="128">
        <f t="shared" si="2"/>
        <v>44787</v>
      </c>
      <c r="E1086" s="129">
        <f t="shared" si="3"/>
        <v>34</v>
      </c>
      <c r="F1086" s="130" t="s">
        <v>26</v>
      </c>
      <c r="G1086" s="131" t="s">
        <v>70</v>
      </c>
      <c r="H1086" s="130" t="s">
        <v>124</v>
      </c>
      <c r="I1086" s="132">
        <v>3194.0</v>
      </c>
      <c r="J1086" s="133" t="s">
        <v>122</v>
      </c>
      <c r="K1086" s="134" t="s">
        <v>789</v>
      </c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</row>
    <row r="1087" ht="12.0" customHeight="1">
      <c r="A1087" s="25"/>
      <c r="B1087" s="126">
        <v>44691.0</v>
      </c>
      <c r="C1087" s="127">
        <f t="shared" si="1"/>
        <v>44682</v>
      </c>
      <c r="D1087" s="128">
        <f t="shared" si="2"/>
        <v>44691</v>
      </c>
      <c r="E1087" s="129">
        <f t="shared" si="3"/>
        <v>20</v>
      </c>
      <c r="F1087" s="130" t="s">
        <v>26</v>
      </c>
      <c r="G1087" s="131" t="s">
        <v>76</v>
      </c>
      <c r="H1087" s="130" t="s">
        <v>124</v>
      </c>
      <c r="I1087" s="132">
        <v>3170.0</v>
      </c>
      <c r="J1087" s="133" t="s">
        <v>125</v>
      </c>
      <c r="K1087" s="134" t="s">
        <v>596</v>
      </c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</row>
    <row r="1088" ht="12.0" customHeight="1">
      <c r="A1088" s="25"/>
      <c r="B1088" s="126">
        <v>44655.0</v>
      </c>
      <c r="C1088" s="127">
        <f t="shared" si="1"/>
        <v>44652</v>
      </c>
      <c r="D1088" s="128">
        <f t="shared" si="2"/>
        <v>44655</v>
      </c>
      <c r="E1088" s="129">
        <f t="shared" si="3"/>
        <v>15</v>
      </c>
      <c r="F1088" s="130" t="s">
        <v>26</v>
      </c>
      <c r="G1088" s="131" t="s">
        <v>87</v>
      </c>
      <c r="H1088" s="130" t="s">
        <v>124</v>
      </c>
      <c r="I1088" s="132">
        <f>6300-3150</f>
        <v>3150</v>
      </c>
      <c r="J1088" s="133" t="s">
        <v>125</v>
      </c>
      <c r="K1088" s="134" t="s">
        <v>718</v>
      </c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</row>
    <row r="1089" ht="12.0" customHeight="1">
      <c r="A1089" s="25"/>
      <c r="B1089" s="126">
        <v>44727.0</v>
      </c>
      <c r="C1089" s="127">
        <f t="shared" si="1"/>
        <v>44713</v>
      </c>
      <c r="D1089" s="128">
        <f t="shared" si="2"/>
        <v>44727</v>
      </c>
      <c r="E1089" s="129">
        <f t="shared" si="3"/>
        <v>25</v>
      </c>
      <c r="F1089" s="130" t="s">
        <v>26</v>
      </c>
      <c r="G1089" s="131" t="s">
        <v>87</v>
      </c>
      <c r="H1089" s="130" t="s">
        <v>124</v>
      </c>
      <c r="I1089" s="132">
        <f>3500-350</f>
        <v>3150</v>
      </c>
      <c r="J1089" s="133" t="s">
        <v>125</v>
      </c>
      <c r="K1089" s="134" t="s">
        <v>790</v>
      </c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</row>
    <row r="1090" ht="12.0" customHeight="1">
      <c r="A1090" s="25"/>
      <c r="B1090" s="126">
        <v>44680.0</v>
      </c>
      <c r="C1090" s="127">
        <f t="shared" si="1"/>
        <v>44652</v>
      </c>
      <c r="D1090" s="128">
        <f t="shared" si="2"/>
        <v>44680</v>
      </c>
      <c r="E1090" s="129">
        <f t="shared" si="3"/>
        <v>18</v>
      </c>
      <c r="F1090" s="130" t="s">
        <v>26</v>
      </c>
      <c r="G1090" s="131" t="s">
        <v>84</v>
      </c>
      <c r="H1090" s="130" t="s">
        <v>124</v>
      </c>
      <c r="I1090" s="132">
        <v>3100.0</v>
      </c>
      <c r="J1090" s="133" t="s">
        <v>122</v>
      </c>
      <c r="K1090" s="134" t="s">
        <v>791</v>
      </c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</row>
    <row r="1091" ht="12.0" customHeight="1">
      <c r="A1091" s="25"/>
      <c r="B1091" s="126">
        <v>44753.0</v>
      </c>
      <c r="C1091" s="127">
        <f t="shared" si="1"/>
        <v>44743</v>
      </c>
      <c r="D1091" s="128">
        <f t="shared" si="2"/>
        <v>44753</v>
      </c>
      <c r="E1091" s="129">
        <f t="shared" si="3"/>
        <v>29</v>
      </c>
      <c r="F1091" s="130" t="s">
        <v>26</v>
      </c>
      <c r="G1091" s="131" t="s">
        <v>70</v>
      </c>
      <c r="H1091" s="130" t="s">
        <v>124</v>
      </c>
      <c r="I1091" s="132">
        <f>6000-2903</f>
        <v>3097</v>
      </c>
      <c r="J1091" s="133" t="s">
        <v>122</v>
      </c>
      <c r="K1091" s="134" t="s">
        <v>792</v>
      </c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</row>
    <row r="1092" ht="12.0" customHeight="1">
      <c r="A1092" s="25"/>
      <c r="B1092" s="126">
        <v>44583.0</v>
      </c>
      <c r="C1092" s="127">
        <f t="shared" si="1"/>
        <v>44562</v>
      </c>
      <c r="D1092" s="128">
        <f t="shared" si="2"/>
        <v>44583</v>
      </c>
      <c r="E1092" s="129">
        <f t="shared" si="3"/>
        <v>4</v>
      </c>
      <c r="F1092" s="130" t="s">
        <v>24</v>
      </c>
      <c r="G1092" s="131" t="s">
        <v>46</v>
      </c>
      <c r="H1092" s="130" t="s">
        <v>121</v>
      </c>
      <c r="I1092" s="132">
        <v>3000.0</v>
      </c>
      <c r="J1092" s="133" t="s">
        <v>125</v>
      </c>
      <c r="K1092" s="134" t="s">
        <v>764</v>
      </c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</row>
    <row r="1093" ht="12.0" customHeight="1">
      <c r="A1093" s="25"/>
      <c r="B1093" s="126">
        <v>44621.0</v>
      </c>
      <c r="C1093" s="127">
        <f t="shared" si="1"/>
        <v>44621</v>
      </c>
      <c r="D1093" s="128">
        <f t="shared" si="2"/>
        <v>44621</v>
      </c>
      <c r="E1093" s="129">
        <f t="shared" si="3"/>
        <v>10</v>
      </c>
      <c r="F1093" s="130" t="s">
        <v>26</v>
      </c>
      <c r="G1093" s="131" t="s">
        <v>70</v>
      </c>
      <c r="H1093" s="130" t="s">
        <v>124</v>
      </c>
      <c r="I1093" s="132">
        <v>3000.0</v>
      </c>
      <c r="J1093" s="133" t="s">
        <v>125</v>
      </c>
      <c r="K1093" s="134" t="s">
        <v>793</v>
      </c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</row>
    <row r="1094" ht="12.0" customHeight="1">
      <c r="A1094" s="25"/>
      <c r="B1094" s="126">
        <v>44625.0</v>
      </c>
      <c r="C1094" s="127">
        <f t="shared" si="1"/>
        <v>44621</v>
      </c>
      <c r="D1094" s="128">
        <f t="shared" si="2"/>
        <v>44625</v>
      </c>
      <c r="E1094" s="129">
        <f t="shared" si="3"/>
        <v>10</v>
      </c>
      <c r="F1094" s="130" t="s">
        <v>24</v>
      </c>
      <c r="G1094" s="131" t="s">
        <v>46</v>
      </c>
      <c r="H1094" s="130" t="s">
        <v>124</v>
      </c>
      <c r="I1094" s="132">
        <v>3000.0</v>
      </c>
      <c r="J1094" s="133" t="s">
        <v>125</v>
      </c>
      <c r="K1094" s="134" t="s">
        <v>764</v>
      </c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</row>
    <row r="1095" ht="12.0" customHeight="1">
      <c r="A1095" s="25"/>
      <c r="B1095" s="126">
        <v>44657.0</v>
      </c>
      <c r="C1095" s="127">
        <f t="shared" si="1"/>
        <v>44652</v>
      </c>
      <c r="D1095" s="128">
        <f t="shared" si="2"/>
        <v>44657</v>
      </c>
      <c r="E1095" s="129">
        <f t="shared" si="3"/>
        <v>15</v>
      </c>
      <c r="F1095" s="130" t="s">
        <v>26</v>
      </c>
      <c r="G1095" s="131" t="s">
        <v>82</v>
      </c>
      <c r="H1095" s="130" t="s">
        <v>121</v>
      </c>
      <c r="I1095" s="132">
        <v>3000.0</v>
      </c>
      <c r="J1095" s="133" t="s">
        <v>122</v>
      </c>
      <c r="K1095" s="134" t="s">
        <v>794</v>
      </c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</row>
    <row r="1096" ht="12.0" customHeight="1">
      <c r="A1096" s="25"/>
      <c r="B1096" s="126">
        <v>44666.0</v>
      </c>
      <c r="C1096" s="127">
        <f t="shared" si="1"/>
        <v>44652</v>
      </c>
      <c r="D1096" s="128">
        <f t="shared" si="2"/>
        <v>44666</v>
      </c>
      <c r="E1096" s="129">
        <f t="shared" si="3"/>
        <v>16</v>
      </c>
      <c r="F1096" s="130" t="s">
        <v>24</v>
      </c>
      <c r="G1096" s="131" t="s">
        <v>46</v>
      </c>
      <c r="H1096" s="130" t="s">
        <v>121</v>
      </c>
      <c r="I1096" s="132">
        <v>3000.0</v>
      </c>
      <c r="J1096" s="133" t="s">
        <v>125</v>
      </c>
      <c r="K1096" s="134" t="s">
        <v>764</v>
      </c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</row>
    <row r="1097" ht="12.0" customHeight="1">
      <c r="A1097" s="25"/>
      <c r="B1097" s="126">
        <v>44713.0</v>
      </c>
      <c r="C1097" s="127">
        <f t="shared" si="1"/>
        <v>44713</v>
      </c>
      <c r="D1097" s="128">
        <f t="shared" si="2"/>
        <v>44713</v>
      </c>
      <c r="E1097" s="129">
        <f t="shared" si="3"/>
        <v>23</v>
      </c>
      <c r="F1097" s="130" t="s">
        <v>26</v>
      </c>
      <c r="G1097" s="131" t="s">
        <v>70</v>
      </c>
      <c r="H1097" s="130" t="s">
        <v>124</v>
      </c>
      <c r="I1097" s="132">
        <v>3000.0</v>
      </c>
      <c r="J1097" s="133" t="s">
        <v>125</v>
      </c>
      <c r="K1097" s="134" t="s">
        <v>793</v>
      </c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</row>
    <row r="1098" ht="12.0" customHeight="1">
      <c r="A1098" s="25"/>
      <c r="B1098" s="126">
        <v>44766.0</v>
      </c>
      <c r="C1098" s="127">
        <f t="shared" si="1"/>
        <v>44743</v>
      </c>
      <c r="D1098" s="128">
        <f t="shared" si="2"/>
        <v>44766</v>
      </c>
      <c r="E1098" s="129">
        <f t="shared" si="3"/>
        <v>31</v>
      </c>
      <c r="F1098" s="130" t="s">
        <v>26</v>
      </c>
      <c r="G1098" s="131" t="s">
        <v>70</v>
      </c>
      <c r="H1098" s="130" t="s">
        <v>124</v>
      </c>
      <c r="I1098" s="132">
        <v>3000.0</v>
      </c>
      <c r="J1098" s="133" t="s">
        <v>125</v>
      </c>
      <c r="K1098" s="134" t="s">
        <v>795</v>
      </c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</row>
    <row r="1099" ht="12.0" customHeight="1">
      <c r="A1099" s="25"/>
      <c r="B1099" s="126">
        <v>44651.0</v>
      </c>
      <c r="C1099" s="127">
        <f t="shared" si="1"/>
        <v>44621</v>
      </c>
      <c r="D1099" s="128">
        <f t="shared" si="2"/>
        <v>44651</v>
      </c>
      <c r="E1099" s="129">
        <f t="shared" si="3"/>
        <v>14</v>
      </c>
      <c r="F1099" s="130" t="s">
        <v>26</v>
      </c>
      <c r="G1099" s="131" t="s">
        <v>82</v>
      </c>
      <c r="H1099" s="130" t="s">
        <v>124</v>
      </c>
      <c r="I1099" s="132">
        <v>2950.0</v>
      </c>
      <c r="J1099" s="133" t="s">
        <v>122</v>
      </c>
      <c r="K1099" s="134" t="s">
        <v>796</v>
      </c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</row>
    <row r="1100" ht="12.0" customHeight="1">
      <c r="A1100" s="25"/>
      <c r="B1100" s="126">
        <v>44581.0</v>
      </c>
      <c r="C1100" s="127">
        <f t="shared" si="1"/>
        <v>44562</v>
      </c>
      <c r="D1100" s="128">
        <f t="shared" si="2"/>
        <v>44581</v>
      </c>
      <c r="E1100" s="129">
        <f t="shared" si="3"/>
        <v>4</v>
      </c>
      <c r="F1100" s="130" t="s">
        <v>26</v>
      </c>
      <c r="G1100" s="131" t="s">
        <v>70</v>
      </c>
      <c r="H1100" s="130" t="s">
        <v>124</v>
      </c>
      <c r="I1100" s="132">
        <v>2900.0</v>
      </c>
      <c r="J1100" s="133" t="s">
        <v>122</v>
      </c>
      <c r="K1100" s="134" t="s">
        <v>744</v>
      </c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</row>
    <row r="1101" ht="12.0" customHeight="1">
      <c r="A1101" s="25"/>
      <c r="B1101" s="126">
        <v>44612.0</v>
      </c>
      <c r="C1101" s="127">
        <f t="shared" si="1"/>
        <v>44593</v>
      </c>
      <c r="D1101" s="128">
        <f t="shared" si="2"/>
        <v>44612</v>
      </c>
      <c r="E1101" s="129">
        <f t="shared" si="3"/>
        <v>9</v>
      </c>
      <c r="F1101" s="130" t="s">
        <v>26</v>
      </c>
      <c r="G1101" s="131" t="s">
        <v>70</v>
      </c>
      <c r="H1101" s="130" t="s">
        <v>124</v>
      </c>
      <c r="I1101" s="132">
        <v>2900.0</v>
      </c>
      <c r="J1101" s="133" t="s">
        <v>122</v>
      </c>
      <c r="K1101" s="134" t="s">
        <v>744</v>
      </c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</row>
    <row r="1102" ht="12.0" customHeight="1">
      <c r="A1102" s="25"/>
      <c r="B1102" s="126">
        <v>44640.0</v>
      </c>
      <c r="C1102" s="127">
        <f t="shared" si="1"/>
        <v>44621</v>
      </c>
      <c r="D1102" s="128">
        <f t="shared" si="2"/>
        <v>44640</v>
      </c>
      <c r="E1102" s="129">
        <f t="shared" si="3"/>
        <v>13</v>
      </c>
      <c r="F1102" s="130" t="s">
        <v>26</v>
      </c>
      <c r="G1102" s="131" t="s">
        <v>70</v>
      </c>
      <c r="H1102" s="130" t="s">
        <v>124</v>
      </c>
      <c r="I1102" s="132">
        <v>2900.0</v>
      </c>
      <c r="J1102" s="133" t="s">
        <v>122</v>
      </c>
      <c r="K1102" s="134" t="s">
        <v>744</v>
      </c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</row>
    <row r="1103" ht="12.0" customHeight="1">
      <c r="A1103" s="25"/>
      <c r="B1103" s="126">
        <v>44671.0</v>
      </c>
      <c r="C1103" s="127">
        <f t="shared" si="1"/>
        <v>44652</v>
      </c>
      <c r="D1103" s="128">
        <f t="shared" si="2"/>
        <v>44671</v>
      </c>
      <c r="E1103" s="129">
        <f t="shared" si="3"/>
        <v>17</v>
      </c>
      <c r="F1103" s="130" t="s">
        <v>26</v>
      </c>
      <c r="G1103" s="131" t="s">
        <v>70</v>
      </c>
      <c r="H1103" s="130" t="s">
        <v>124</v>
      </c>
      <c r="I1103" s="132">
        <v>2900.0</v>
      </c>
      <c r="J1103" s="133" t="s">
        <v>122</v>
      </c>
      <c r="K1103" s="134" t="s">
        <v>744</v>
      </c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</row>
    <row r="1104" ht="12.0" customHeight="1">
      <c r="A1104" s="25"/>
      <c r="B1104" s="126">
        <v>44701.0</v>
      </c>
      <c r="C1104" s="127">
        <f t="shared" si="1"/>
        <v>44682</v>
      </c>
      <c r="D1104" s="128">
        <f t="shared" si="2"/>
        <v>44701</v>
      </c>
      <c r="E1104" s="129">
        <f t="shared" si="3"/>
        <v>21</v>
      </c>
      <c r="F1104" s="130" t="s">
        <v>26</v>
      </c>
      <c r="G1104" s="131" t="s">
        <v>70</v>
      </c>
      <c r="H1104" s="130" t="s">
        <v>124</v>
      </c>
      <c r="I1104" s="132">
        <v>2900.0</v>
      </c>
      <c r="J1104" s="133" t="s">
        <v>122</v>
      </c>
      <c r="K1104" s="134" t="s">
        <v>744</v>
      </c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</row>
    <row r="1105" ht="12.0" customHeight="1">
      <c r="A1105" s="25"/>
      <c r="B1105" s="126">
        <v>44684.0</v>
      </c>
      <c r="C1105" s="127">
        <f t="shared" si="1"/>
        <v>44682</v>
      </c>
      <c r="D1105" s="128">
        <f t="shared" si="2"/>
        <v>44684</v>
      </c>
      <c r="E1105" s="129">
        <f t="shared" si="3"/>
        <v>19</v>
      </c>
      <c r="F1105" s="130" t="s">
        <v>26</v>
      </c>
      <c r="G1105" s="131" t="s">
        <v>76</v>
      </c>
      <c r="H1105" s="130" t="s">
        <v>124</v>
      </c>
      <c r="I1105" s="132">
        <v>2880.0</v>
      </c>
      <c r="J1105" s="133" t="s">
        <v>125</v>
      </c>
      <c r="K1105" s="134" t="s">
        <v>596</v>
      </c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</row>
    <row r="1106" ht="12.0" customHeight="1">
      <c r="A1106" s="25"/>
      <c r="B1106" s="126">
        <v>44709.0</v>
      </c>
      <c r="C1106" s="127">
        <f t="shared" si="1"/>
        <v>44682</v>
      </c>
      <c r="D1106" s="128">
        <f t="shared" si="2"/>
        <v>44709</v>
      </c>
      <c r="E1106" s="129">
        <f t="shared" si="3"/>
        <v>22</v>
      </c>
      <c r="F1106" s="130" t="s">
        <v>26</v>
      </c>
      <c r="G1106" s="131" t="s">
        <v>70</v>
      </c>
      <c r="H1106" s="130" t="s">
        <v>124</v>
      </c>
      <c r="I1106" s="132">
        <v>2800.0</v>
      </c>
      <c r="J1106" s="133" t="s">
        <v>125</v>
      </c>
      <c r="K1106" s="134" t="s">
        <v>797</v>
      </c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</row>
    <row r="1107" ht="12.0" customHeight="1">
      <c r="A1107" s="25"/>
      <c r="B1107" s="126">
        <v>44740.0</v>
      </c>
      <c r="C1107" s="127">
        <f t="shared" si="1"/>
        <v>44713</v>
      </c>
      <c r="D1107" s="128">
        <f t="shared" si="2"/>
        <v>44740</v>
      </c>
      <c r="E1107" s="129">
        <f t="shared" si="3"/>
        <v>27</v>
      </c>
      <c r="F1107" s="130" t="s">
        <v>24</v>
      </c>
      <c r="G1107" s="131" t="s">
        <v>54</v>
      </c>
      <c r="H1107" s="130" t="s">
        <v>124</v>
      </c>
      <c r="I1107" s="132">
        <v>2800.0</v>
      </c>
      <c r="J1107" s="133" t="s">
        <v>122</v>
      </c>
      <c r="K1107" s="134" t="s">
        <v>798</v>
      </c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</row>
    <row r="1108" ht="12.0" customHeight="1">
      <c r="A1108" s="25"/>
      <c r="B1108" s="126">
        <v>44865.0</v>
      </c>
      <c r="C1108" s="127">
        <f t="shared" si="1"/>
        <v>44835</v>
      </c>
      <c r="D1108" s="128">
        <f t="shared" si="2"/>
        <v>44865</v>
      </c>
      <c r="E1108" s="129">
        <f t="shared" si="3"/>
        <v>45</v>
      </c>
      <c r="F1108" s="130" t="s">
        <v>24</v>
      </c>
      <c r="G1108" s="131" t="s">
        <v>54</v>
      </c>
      <c r="H1108" s="130" t="s">
        <v>124</v>
      </c>
      <c r="I1108" s="132">
        <v>2800.0</v>
      </c>
      <c r="J1108" s="133" t="s">
        <v>122</v>
      </c>
      <c r="K1108" s="134" t="s">
        <v>798</v>
      </c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</row>
    <row r="1109" ht="12.0" customHeight="1">
      <c r="A1109" s="25"/>
      <c r="B1109" s="126">
        <v>44839.0</v>
      </c>
      <c r="C1109" s="127">
        <f t="shared" si="1"/>
        <v>44835</v>
      </c>
      <c r="D1109" s="128">
        <f t="shared" si="2"/>
        <v>44839</v>
      </c>
      <c r="E1109" s="129">
        <f t="shared" si="3"/>
        <v>41</v>
      </c>
      <c r="F1109" s="130" t="s">
        <v>26</v>
      </c>
      <c r="G1109" s="131" t="s">
        <v>79</v>
      </c>
      <c r="H1109" s="130" t="s">
        <v>124</v>
      </c>
      <c r="I1109" s="132">
        <f>3000-300</f>
        <v>2700</v>
      </c>
      <c r="J1109" s="133" t="s">
        <v>125</v>
      </c>
      <c r="K1109" s="134" t="s">
        <v>799</v>
      </c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</row>
    <row r="1110" ht="12.0" customHeight="1">
      <c r="A1110" s="25"/>
      <c r="B1110" s="126">
        <v>44615.0</v>
      </c>
      <c r="C1110" s="127">
        <f t="shared" si="1"/>
        <v>44593</v>
      </c>
      <c r="D1110" s="128">
        <f t="shared" si="2"/>
        <v>44615</v>
      </c>
      <c r="E1110" s="129">
        <f t="shared" si="3"/>
        <v>9</v>
      </c>
      <c r="F1110" s="130" t="s">
        <v>24</v>
      </c>
      <c r="G1110" s="131" t="s">
        <v>53</v>
      </c>
      <c r="H1110" s="130" t="s">
        <v>121</v>
      </c>
      <c r="I1110" s="132">
        <v>2534.0</v>
      </c>
      <c r="J1110" s="133" t="s">
        <v>122</v>
      </c>
      <c r="K1110" s="134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</row>
    <row r="1111" ht="12.0" customHeight="1">
      <c r="A1111" s="25"/>
      <c r="B1111" s="126">
        <v>44681.0</v>
      </c>
      <c r="C1111" s="127">
        <f t="shared" si="1"/>
        <v>44652</v>
      </c>
      <c r="D1111" s="128">
        <f t="shared" si="2"/>
        <v>44681</v>
      </c>
      <c r="E1111" s="129">
        <f t="shared" si="3"/>
        <v>18</v>
      </c>
      <c r="F1111" s="130" t="s">
        <v>24</v>
      </c>
      <c r="G1111" s="131" t="s">
        <v>46</v>
      </c>
      <c r="H1111" s="130" t="s">
        <v>124</v>
      </c>
      <c r="I1111" s="132">
        <v>2500.0</v>
      </c>
      <c r="J1111" s="133" t="s">
        <v>125</v>
      </c>
      <c r="K1111" s="134" t="s">
        <v>248</v>
      </c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</row>
    <row r="1112" ht="12.0" customHeight="1">
      <c r="A1112" s="25"/>
      <c r="B1112" s="126">
        <v>44831.0</v>
      </c>
      <c r="C1112" s="127">
        <f t="shared" si="1"/>
        <v>44805</v>
      </c>
      <c r="D1112" s="128">
        <f t="shared" si="2"/>
        <v>44831</v>
      </c>
      <c r="E1112" s="129">
        <f t="shared" si="3"/>
        <v>40</v>
      </c>
      <c r="F1112" s="130" t="s">
        <v>26</v>
      </c>
      <c r="G1112" s="131" t="s">
        <v>79</v>
      </c>
      <c r="H1112" s="130" t="s">
        <v>124</v>
      </c>
      <c r="I1112" s="132">
        <v>2500.0</v>
      </c>
      <c r="J1112" s="133" t="s">
        <v>125</v>
      </c>
      <c r="K1112" s="134" t="s">
        <v>800</v>
      </c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</row>
    <row r="1113" ht="12.0" customHeight="1">
      <c r="A1113" s="25"/>
      <c r="B1113" s="126">
        <v>44620.0</v>
      </c>
      <c r="C1113" s="127">
        <f t="shared" si="1"/>
        <v>44593</v>
      </c>
      <c r="D1113" s="128">
        <f t="shared" si="2"/>
        <v>44620</v>
      </c>
      <c r="E1113" s="129">
        <f t="shared" si="3"/>
        <v>10</v>
      </c>
      <c r="F1113" s="130" t="s">
        <v>26</v>
      </c>
      <c r="G1113" s="131" t="s">
        <v>76</v>
      </c>
      <c r="H1113" s="130" t="s">
        <v>124</v>
      </c>
      <c r="I1113" s="132">
        <v>2490.0</v>
      </c>
      <c r="J1113" s="133" t="s">
        <v>125</v>
      </c>
      <c r="K1113" s="134" t="s">
        <v>801</v>
      </c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</row>
    <row r="1114" ht="12.0" customHeight="1">
      <c r="A1114" s="25"/>
      <c r="B1114" s="126">
        <v>44881.0</v>
      </c>
      <c r="C1114" s="127">
        <f t="shared" si="1"/>
        <v>44866</v>
      </c>
      <c r="D1114" s="128">
        <f t="shared" si="2"/>
        <v>44881</v>
      </c>
      <c r="E1114" s="129">
        <f t="shared" si="3"/>
        <v>47</v>
      </c>
      <c r="F1114" s="130" t="s">
        <v>26</v>
      </c>
      <c r="G1114" s="131" t="s">
        <v>76</v>
      </c>
      <c r="H1114" s="130" t="s">
        <v>124</v>
      </c>
      <c r="I1114" s="132">
        <v>2480.0</v>
      </c>
      <c r="J1114" s="133" t="s">
        <v>125</v>
      </c>
      <c r="K1114" s="134" t="s">
        <v>596</v>
      </c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</row>
    <row r="1115" ht="12.0" customHeight="1">
      <c r="A1115" s="25"/>
      <c r="B1115" s="126">
        <v>44795.0</v>
      </c>
      <c r="C1115" s="127">
        <f t="shared" si="1"/>
        <v>44774</v>
      </c>
      <c r="D1115" s="128">
        <f t="shared" si="2"/>
        <v>44795</v>
      </c>
      <c r="E1115" s="129">
        <f t="shared" si="3"/>
        <v>35</v>
      </c>
      <c r="F1115" s="130" t="s">
        <v>24</v>
      </c>
      <c r="G1115" s="131" t="s">
        <v>53</v>
      </c>
      <c r="H1115" s="130" t="s">
        <v>121</v>
      </c>
      <c r="I1115" s="132">
        <v>2469.0</v>
      </c>
      <c r="J1115" s="133" t="s">
        <v>122</v>
      </c>
      <c r="K1115" s="134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</row>
    <row r="1116" ht="12.0" customHeight="1">
      <c r="A1116" s="25"/>
      <c r="B1116" s="126">
        <v>44788.0</v>
      </c>
      <c r="C1116" s="127">
        <f t="shared" si="1"/>
        <v>44774</v>
      </c>
      <c r="D1116" s="128">
        <f t="shared" si="2"/>
        <v>44788</v>
      </c>
      <c r="E1116" s="129">
        <f t="shared" si="3"/>
        <v>34</v>
      </c>
      <c r="F1116" s="130" t="s">
        <v>26</v>
      </c>
      <c r="G1116" s="131" t="s">
        <v>76</v>
      </c>
      <c r="H1116" s="130" t="s">
        <v>124</v>
      </c>
      <c r="I1116" s="132">
        <v>2410.0</v>
      </c>
      <c r="J1116" s="133" t="s">
        <v>125</v>
      </c>
      <c r="K1116" s="134" t="s">
        <v>802</v>
      </c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</row>
    <row r="1117" ht="12.0" customHeight="1">
      <c r="A1117" s="25"/>
      <c r="B1117" s="126">
        <v>44775.0</v>
      </c>
      <c r="C1117" s="127">
        <f t="shared" si="1"/>
        <v>44774</v>
      </c>
      <c r="D1117" s="128">
        <f t="shared" si="2"/>
        <v>44775</v>
      </c>
      <c r="E1117" s="129">
        <f t="shared" si="3"/>
        <v>32</v>
      </c>
      <c r="F1117" s="130" t="s">
        <v>24</v>
      </c>
      <c r="G1117" s="131" t="s">
        <v>53</v>
      </c>
      <c r="H1117" s="130" t="s">
        <v>121</v>
      </c>
      <c r="I1117" s="132">
        <v>2324.0</v>
      </c>
      <c r="J1117" s="133" t="s">
        <v>122</v>
      </c>
      <c r="K1117" s="134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</row>
    <row r="1118" ht="12.0" customHeight="1">
      <c r="A1118" s="25"/>
      <c r="B1118" s="126">
        <v>44872.0</v>
      </c>
      <c r="C1118" s="127">
        <f t="shared" si="1"/>
        <v>44866</v>
      </c>
      <c r="D1118" s="128">
        <f t="shared" si="2"/>
        <v>44872</v>
      </c>
      <c r="E1118" s="129">
        <f t="shared" si="3"/>
        <v>46</v>
      </c>
      <c r="F1118" s="130" t="s">
        <v>24</v>
      </c>
      <c r="G1118" s="131" t="s">
        <v>54</v>
      </c>
      <c r="H1118" s="130" t="s">
        <v>124</v>
      </c>
      <c r="I1118" s="132">
        <v>2300.0</v>
      </c>
      <c r="J1118" s="133" t="s">
        <v>122</v>
      </c>
      <c r="K1118" s="134" t="s">
        <v>798</v>
      </c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</row>
    <row r="1119" ht="12.0" customHeight="1">
      <c r="A1119" s="25"/>
      <c r="B1119" s="126">
        <v>44650.0</v>
      </c>
      <c r="C1119" s="127">
        <f t="shared" si="1"/>
        <v>44621</v>
      </c>
      <c r="D1119" s="128">
        <f t="shared" si="2"/>
        <v>44650</v>
      </c>
      <c r="E1119" s="129">
        <f t="shared" si="3"/>
        <v>14</v>
      </c>
      <c r="F1119" s="130" t="s">
        <v>24</v>
      </c>
      <c r="G1119" s="131" t="s">
        <v>53</v>
      </c>
      <c r="H1119" s="130" t="s">
        <v>121</v>
      </c>
      <c r="I1119" s="132">
        <v>2282.0</v>
      </c>
      <c r="J1119" s="133" t="s">
        <v>122</v>
      </c>
      <c r="K1119" s="134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</row>
    <row r="1120" ht="12.0" customHeight="1">
      <c r="A1120" s="25"/>
      <c r="B1120" s="126">
        <v>44618.0</v>
      </c>
      <c r="C1120" s="127">
        <f t="shared" si="1"/>
        <v>44593</v>
      </c>
      <c r="D1120" s="128">
        <f t="shared" si="2"/>
        <v>44618</v>
      </c>
      <c r="E1120" s="129">
        <f t="shared" si="3"/>
        <v>9</v>
      </c>
      <c r="F1120" s="130" t="s">
        <v>128</v>
      </c>
      <c r="G1120" s="131" t="s">
        <v>172</v>
      </c>
      <c r="H1120" s="130" t="s">
        <v>124</v>
      </c>
      <c r="I1120" s="132">
        <f>2400*0.95</f>
        <v>2280</v>
      </c>
      <c r="J1120" s="133" t="s">
        <v>122</v>
      </c>
      <c r="K1120" s="134" t="s">
        <v>803</v>
      </c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</row>
    <row r="1121" ht="12.0" customHeight="1">
      <c r="A1121" s="25"/>
      <c r="B1121" s="126">
        <v>44674.0</v>
      </c>
      <c r="C1121" s="127">
        <f t="shared" si="1"/>
        <v>44652</v>
      </c>
      <c r="D1121" s="128">
        <f t="shared" si="2"/>
        <v>44674</v>
      </c>
      <c r="E1121" s="129">
        <f t="shared" si="3"/>
        <v>17</v>
      </c>
      <c r="F1121" s="130" t="s">
        <v>128</v>
      </c>
      <c r="G1121" s="131" t="s">
        <v>172</v>
      </c>
      <c r="H1121" s="130" t="s">
        <v>124</v>
      </c>
      <c r="I1121" s="132">
        <f>4500*0.5</f>
        <v>2250</v>
      </c>
      <c r="J1121" s="133" t="s">
        <v>125</v>
      </c>
      <c r="K1121" s="134" t="s">
        <v>804</v>
      </c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</row>
    <row r="1122" ht="12.0" customHeight="1">
      <c r="A1122" s="25"/>
      <c r="B1122" s="126">
        <v>44734.0</v>
      </c>
      <c r="C1122" s="127">
        <f t="shared" si="1"/>
        <v>44713</v>
      </c>
      <c r="D1122" s="128">
        <f t="shared" si="2"/>
        <v>44734</v>
      </c>
      <c r="E1122" s="129">
        <f t="shared" si="3"/>
        <v>26</v>
      </c>
      <c r="F1122" s="130" t="s">
        <v>26</v>
      </c>
      <c r="G1122" s="131" t="s">
        <v>70</v>
      </c>
      <c r="H1122" s="130" t="s">
        <v>124</v>
      </c>
      <c r="I1122" s="132">
        <v>2250.0</v>
      </c>
      <c r="J1122" s="133" t="s">
        <v>122</v>
      </c>
      <c r="K1122" s="134" t="s">
        <v>805</v>
      </c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</row>
    <row r="1123" ht="12.0" customHeight="1">
      <c r="A1123" s="25"/>
      <c r="B1123" s="126">
        <v>44846.0</v>
      </c>
      <c r="C1123" s="127">
        <f t="shared" si="1"/>
        <v>44835</v>
      </c>
      <c r="D1123" s="128">
        <f t="shared" si="2"/>
        <v>44846</v>
      </c>
      <c r="E1123" s="129">
        <f t="shared" si="3"/>
        <v>42</v>
      </c>
      <c r="F1123" s="130" t="s">
        <v>26</v>
      </c>
      <c r="G1123" s="131" t="s">
        <v>87</v>
      </c>
      <c r="H1123" s="130" t="s">
        <v>124</v>
      </c>
      <c r="I1123" s="132">
        <f>4500*0.5</f>
        <v>2250</v>
      </c>
      <c r="J1123" s="133" t="s">
        <v>122</v>
      </c>
      <c r="K1123" s="134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</row>
    <row r="1124" ht="12.0" customHeight="1">
      <c r="A1124" s="25"/>
      <c r="B1124" s="126">
        <v>44586.0</v>
      </c>
      <c r="C1124" s="127">
        <f t="shared" si="1"/>
        <v>44562</v>
      </c>
      <c r="D1124" s="128">
        <f t="shared" si="2"/>
        <v>44586</v>
      </c>
      <c r="E1124" s="129">
        <f t="shared" si="3"/>
        <v>5</v>
      </c>
      <c r="F1124" s="130" t="s">
        <v>26</v>
      </c>
      <c r="G1124" s="131" t="s">
        <v>87</v>
      </c>
      <c r="H1124" s="130" t="s">
        <v>124</v>
      </c>
      <c r="I1124" s="132">
        <f>6700-4500</f>
        <v>2200</v>
      </c>
      <c r="J1124" s="133" t="s">
        <v>125</v>
      </c>
      <c r="K1124" s="134" t="s">
        <v>806</v>
      </c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</row>
    <row r="1125" ht="12.0" customHeight="1">
      <c r="A1125" s="25"/>
      <c r="B1125" s="126">
        <v>44742.0</v>
      </c>
      <c r="C1125" s="127">
        <f t="shared" si="1"/>
        <v>44713</v>
      </c>
      <c r="D1125" s="128">
        <f t="shared" si="2"/>
        <v>44742</v>
      </c>
      <c r="E1125" s="129">
        <f t="shared" si="3"/>
        <v>27</v>
      </c>
      <c r="F1125" s="130" t="s">
        <v>24</v>
      </c>
      <c r="G1125" s="131" t="s">
        <v>46</v>
      </c>
      <c r="H1125" s="130" t="s">
        <v>124</v>
      </c>
      <c r="I1125" s="132">
        <v>2200.0</v>
      </c>
      <c r="J1125" s="133" t="s">
        <v>125</v>
      </c>
      <c r="K1125" s="134" t="s">
        <v>248</v>
      </c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</row>
    <row r="1126" ht="12.0" customHeight="1">
      <c r="A1126" s="25"/>
      <c r="B1126" s="126">
        <v>44773.0</v>
      </c>
      <c r="C1126" s="127">
        <f t="shared" si="1"/>
        <v>44743</v>
      </c>
      <c r="D1126" s="128">
        <f t="shared" si="2"/>
        <v>44773</v>
      </c>
      <c r="E1126" s="129">
        <f t="shared" si="3"/>
        <v>32</v>
      </c>
      <c r="F1126" s="130" t="s">
        <v>24</v>
      </c>
      <c r="G1126" s="131" t="s">
        <v>53</v>
      </c>
      <c r="H1126" s="130" t="s">
        <v>121</v>
      </c>
      <c r="I1126" s="132">
        <v>2158.0</v>
      </c>
      <c r="J1126" s="133" t="s">
        <v>122</v>
      </c>
      <c r="K1126" s="134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</row>
    <row r="1127" ht="12.0" customHeight="1">
      <c r="A1127" s="25"/>
      <c r="B1127" s="126">
        <v>44586.0</v>
      </c>
      <c r="C1127" s="127">
        <f t="shared" si="1"/>
        <v>44562</v>
      </c>
      <c r="D1127" s="128">
        <f t="shared" si="2"/>
        <v>44586</v>
      </c>
      <c r="E1127" s="129">
        <f t="shared" si="3"/>
        <v>5</v>
      </c>
      <c r="F1127" s="130" t="s">
        <v>26</v>
      </c>
      <c r="G1127" s="131" t="s">
        <v>87</v>
      </c>
      <c r="H1127" s="130" t="s">
        <v>124</v>
      </c>
      <c r="I1127" s="132">
        <v>2100.0</v>
      </c>
      <c r="J1127" s="133" t="s">
        <v>122</v>
      </c>
      <c r="K1127" s="134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</row>
    <row r="1128" ht="12.0" customHeight="1">
      <c r="A1128" s="25"/>
      <c r="B1128" s="126">
        <v>44617.0</v>
      </c>
      <c r="C1128" s="127">
        <f t="shared" si="1"/>
        <v>44593</v>
      </c>
      <c r="D1128" s="128">
        <f t="shared" si="2"/>
        <v>44617</v>
      </c>
      <c r="E1128" s="129">
        <f t="shared" si="3"/>
        <v>9</v>
      </c>
      <c r="F1128" s="130" t="s">
        <v>26</v>
      </c>
      <c r="G1128" s="131" t="s">
        <v>70</v>
      </c>
      <c r="H1128" s="130" t="s">
        <v>121</v>
      </c>
      <c r="I1128" s="132">
        <v>2100.0</v>
      </c>
      <c r="J1128" s="133" t="s">
        <v>125</v>
      </c>
      <c r="K1128" s="134" t="s">
        <v>807</v>
      </c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</row>
    <row r="1129" ht="12.0" customHeight="1">
      <c r="A1129" s="25"/>
      <c r="B1129" s="126">
        <v>44675.0</v>
      </c>
      <c r="C1129" s="127">
        <f t="shared" si="1"/>
        <v>44652</v>
      </c>
      <c r="D1129" s="128">
        <f t="shared" si="2"/>
        <v>44675</v>
      </c>
      <c r="E1129" s="129">
        <f t="shared" si="3"/>
        <v>18</v>
      </c>
      <c r="F1129" s="130" t="s">
        <v>26</v>
      </c>
      <c r="G1129" s="131" t="s">
        <v>70</v>
      </c>
      <c r="H1129" s="130" t="s">
        <v>124</v>
      </c>
      <c r="I1129" s="132">
        <v>2000.0</v>
      </c>
      <c r="J1129" s="133" t="s">
        <v>122</v>
      </c>
      <c r="K1129" s="134" t="s">
        <v>808</v>
      </c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</row>
    <row r="1130" ht="12.0" customHeight="1">
      <c r="A1130" s="25"/>
      <c r="B1130" s="126">
        <v>44839.0</v>
      </c>
      <c r="C1130" s="127">
        <f t="shared" si="1"/>
        <v>44835</v>
      </c>
      <c r="D1130" s="128">
        <f t="shared" si="2"/>
        <v>44839</v>
      </c>
      <c r="E1130" s="129">
        <f t="shared" si="3"/>
        <v>41</v>
      </c>
      <c r="F1130" s="130" t="s">
        <v>24</v>
      </c>
      <c r="G1130" s="131" t="s">
        <v>46</v>
      </c>
      <c r="H1130" s="130" t="s">
        <v>124</v>
      </c>
      <c r="I1130" s="132">
        <v>2000.0</v>
      </c>
      <c r="J1130" s="133" t="s">
        <v>125</v>
      </c>
      <c r="K1130" s="134" t="s">
        <v>809</v>
      </c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</row>
    <row r="1131" ht="12.0" customHeight="1">
      <c r="A1131" s="25"/>
      <c r="B1131" s="126">
        <v>44906.0</v>
      </c>
      <c r="C1131" s="127">
        <f t="shared" si="1"/>
        <v>44896</v>
      </c>
      <c r="D1131" s="128">
        <f t="shared" si="2"/>
        <v>44906</v>
      </c>
      <c r="E1131" s="129">
        <f t="shared" si="3"/>
        <v>51</v>
      </c>
      <c r="F1131" s="130" t="s">
        <v>26</v>
      </c>
      <c r="G1131" s="131" t="s">
        <v>70</v>
      </c>
      <c r="H1131" s="130" t="s">
        <v>124</v>
      </c>
      <c r="I1131" s="132">
        <v>2000.0</v>
      </c>
      <c r="J1131" s="133" t="s">
        <v>122</v>
      </c>
      <c r="K1131" s="134" t="s">
        <v>810</v>
      </c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</row>
    <row r="1132" ht="12.0" customHeight="1">
      <c r="A1132" s="25"/>
      <c r="B1132" s="126">
        <v>44804.0</v>
      </c>
      <c r="C1132" s="127">
        <f t="shared" si="1"/>
        <v>44774</v>
      </c>
      <c r="D1132" s="128">
        <f t="shared" si="2"/>
        <v>44804</v>
      </c>
      <c r="E1132" s="129">
        <f t="shared" si="3"/>
        <v>36</v>
      </c>
      <c r="F1132" s="130" t="s">
        <v>26</v>
      </c>
      <c r="G1132" s="131" t="s">
        <v>70</v>
      </c>
      <c r="H1132" s="130" t="s">
        <v>124</v>
      </c>
      <c r="I1132" s="132">
        <f>2100-105</f>
        <v>1995</v>
      </c>
      <c r="J1132" s="133" t="s">
        <v>125</v>
      </c>
      <c r="K1132" s="134" t="s">
        <v>811</v>
      </c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</row>
    <row r="1133" ht="12.0" customHeight="1">
      <c r="A1133" s="25"/>
      <c r="B1133" s="126">
        <v>44843.0</v>
      </c>
      <c r="C1133" s="127">
        <f t="shared" si="1"/>
        <v>44835</v>
      </c>
      <c r="D1133" s="128">
        <f t="shared" si="2"/>
        <v>44843</v>
      </c>
      <c r="E1133" s="129">
        <f t="shared" si="3"/>
        <v>42</v>
      </c>
      <c r="F1133" s="130" t="s">
        <v>24</v>
      </c>
      <c r="G1133" s="131" t="s">
        <v>34</v>
      </c>
      <c r="H1133" s="130" t="s">
        <v>124</v>
      </c>
      <c r="I1133" s="132">
        <f>1900*0.95</f>
        <v>1805</v>
      </c>
      <c r="J1133" s="133" t="s">
        <v>122</v>
      </c>
      <c r="K1133" s="134" t="s">
        <v>812</v>
      </c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</row>
    <row r="1134" ht="12.0" customHeight="1">
      <c r="A1134" s="25"/>
      <c r="B1134" s="126">
        <v>44591.0</v>
      </c>
      <c r="C1134" s="127">
        <f t="shared" si="1"/>
        <v>44562</v>
      </c>
      <c r="D1134" s="128">
        <f t="shared" si="2"/>
        <v>44591</v>
      </c>
      <c r="E1134" s="129">
        <f t="shared" si="3"/>
        <v>6</v>
      </c>
      <c r="F1134" s="130" t="s">
        <v>26</v>
      </c>
      <c r="G1134" s="131" t="s">
        <v>87</v>
      </c>
      <c r="H1134" s="130" t="s">
        <v>124</v>
      </c>
      <c r="I1134" s="132">
        <f t="shared" ref="I1134:I1135" si="27">1800*0.95</f>
        <v>1710</v>
      </c>
      <c r="J1134" s="133" t="s">
        <v>122</v>
      </c>
      <c r="K1134" s="134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</row>
    <row r="1135" ht="12.0" customHeight="1">
      <c r="A1135" s="25"/>
      <c r="B1135" s="126">
        <v>44824.0</v>
      </c>
      <c r="C1135" s="127">
        <f t="shared" si="1"/>
        <v>44805</v>
      </c>
      <c r="D1135" s="128">
        <f t="shared" si="2"/>
        <v>44824</v>
      </c>
      <c r="E1135" s="129">
        <f t="shared" si="3"/>
        <v>39</v>
      </c>
      <c r="F1135" s="130" t="s">
        <v>26</v>
      </c>
      <c r="G1135" s="131" t="s">
        <v>70</v>
      </c>
      <c r="H1135" s="130" t="s">
        <v>124</v>
      </c>
      <c r="I1135" s="132">
        <f t="shared" si="27"/>
        <v>1710</v>
      </c>
      <c r="J1135" s="133" t="s">
        <v>122</v>
      </c>
      <c r="K1135" s="134" t="s">
        <v>813</v>
      </c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</row>
    <row r="1136" ht="12.0" customHeight="1">
      <c r="A1136" s="25"/>
      <c r="B1136" s="126">
        <v>44921.0</v>
      </c>
      <c r="C1136" s="127">
        <f t="shared" si="1"/>
        <v>44896</v>
      </c>
      <c r="D1136" s="128">
        <f t="shared" si="2"/>
        <v>44921</v>
      </c>
      <c r="E1136" s="129">
        <f t="shared" si="3"/>
        <v>53</v>
      </c>
      <c r="F1136" s="130" t="s">
        <v>128</v>
      </c>
      <c r="G1136" s="131" t="s">
        <v>172</v>
      </c>
      <c r="H1136" s="130" t="s">
        <v>124</v>
      </c>
      <c r="I1136" s="132">
        <f>1800-90</f>
        <v>1710</v>
      </c>
      <c r="J1136" s="133" t="s">
        <v>122</v>
      </c>
      <c r="K1136" s="134" t="s">
        <v>768</v>
      </c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</row>
    <row r="1137" ht="12.0" customHeight="1">
      <c r="A1137" s="25"/>
      <c r="B1137" s="126">
        <v>44666.0</v>
      </c>
      <c r="C1137" s="127">
        <f t="shared" si="1"/>
        <v>44652</v>
      </c>
      <c r="D1137" s="128">
        <f t="shared" si="2"/>
        <v>44666</v>
      </c>
      <c r="E1137" s="129">
        <f t="shared" si="3"/>
        <v>16</v>
      </c>
      <c r="F1137" s="130" t="s">
        <v>24</v>
      </c>
      <c r="G1137" s="131" t="s">
        <v>53</v>
      </c>
      <c r="H1137" s="130" t="s">
        <v>121</v>
      </c>
      <c r="I1137" s="132">
        <v>1622.0</v>
      </c>
      <c r="J1137" s="133" t="s">
        <v>122</v>
      </c>
      <c r="K1137" s="134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</row>
    <row r="1138" ht="12.0" customHeight="1">
      <c r="A1138" s="25"/>
      <c r="B1138" s="126">
        <v>44582.0</v>
      </c>
      <c r="C1138" s="127">
        <f t="shared" si="1"/>
        <v>44562</v>
      </c>
      <c r="D1138" s="128">
        <f t="shared" si="2"/>
        <v>44582</v>
      </c>
      <c r="E1138" s="129">
        <f t="shared" si="3"/>
        <v>4</v>
      </c>
      <c r="F1138" s="130" t="s">
        <v>26</v>
      </c>
      <c r="G1138" s="131" t="s">
        <v>76</v>
      </c>
      <c r="H1138" s="130" t="s">
        <v>124</v>
      </c>
      <c r="I1138" s="132">
        <f>1700-85</f>
        <v>1615</v>
      </c>
      <c r="J1138" s="133" t="s">
        <v>122</v>
      </c>
      <c r="K1138" s="134" t="s">
        <v>813</v>
      </c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</row>
    <row r="1139" ht="12.0" customHeight="1">
      <c r="A1139" s="25"/>
      <c r="B1139" s="126">
        <v>44796.0</v>
      </c>
      <c r="C1139" s="127">
        <f t="shared" si="1"/>
        <v>44774</v>
      </c>
      <c r="D1139" s="128">
        <f t="shared" si="2"/>
        <v>44796</v>
      </c>
      <c r="E1139" s="129">
        <f t="shared" si="3"/>
        <v>35</v>
      </c>
      <c r="F1139" s="130" t="s">
        <v>26</v>
      </c>
      <c r="G1139" s="131" t="s">
        <v>87</v>
      </c>
      <c r="H1139" s="130" t="s">
        <v>124</v>
      </c>
      <c r="I1139" s="132">
        <v>1600.0</v>
      </c>
      <c r="J1139" s="133" t="s">
        <v>122</v>
      </c>
      <c r="K1139" s="134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</row>
    <row r="1140" ht="12.0" customHeight="1">
      <c r="A1140" s="25"/>
      <c r="B1140" s="126">
        <v>44588.0</v>
      </c>
      <c r="C1140" s="127">
        <f t="shared" si="1"/>
        <v>44562</v>
      </c>
      <c r="D1140" s="128">
        <f t="shared" si="2"/>
        <v>44588</v>
      </c>
      <c r="E1140" s="129">
        <f t="shared" si="3"/>
        <v>5</v>
      </c>
      <c r="F1140" s="130" t="s">
        <v>26</v>
      </c>
      <c r="G1140" s="131" t="s">
        <v>70</v>
      </c>
      <c r="H1140" s="130" t="s">
        <v>124</v>
      </c>
      <c r="I1140" s="132">
        <f>4570-3027</f>
        <v>1543</v>
      </c>
      <c r="J1140" s="133" t="s">
        <v>122</v>
      </c>
      <c r="K1140" s="134" t="s">
        <v>814</v>
      </c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</row>
    <row r="1141" ht="12.0" customHeight="1">
      <c r="A1141" s="25"/>
      <c r="B1141" s="126">
        <v>44896.0</v>
      </c>
      <c r="C1141" s="127">
        <f t="shared" si="1"/>
        <v>44896</v>
      </c>
      <c r="D1141" s="128">
        <f t="shared" si="2"/>
        <v>44896</v>
      </c>
      <c r="E1141" s="129">
        <f t="shared" si="3"/>
        <v>49</v>
      </c>
      <c r="F1141" s="130" t="s">
        <v>26</v>
      </c>
      <c r="G1141" s="131" t="s">
        <v>76</v>
      </c>
      <c r="H1141" s="130" t="s">
        <v>124</v>
      </c>
      <c r="I1141" s="132">
        <f>1600-80</f>
        <v>1520</v>
      </c>
      <c r="J1141" s="133" t="s">
        <v>125</v>
      </c>
      <c r="K1141" s="134" t="s">
        <v>815</v>
      </c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</row>
    <row r="1142" ht="12.0" customHeight="1">
      <c r="A1142" s="25"/>
      <c r="B1142" s="126">
        <v>44586.0</v>
      </c>
      <c r="C1142" s="127">
        <f t="shared" si="1"/>
        <v>44562</v>
      </c>
      <c r="D1142" s="128">
        <f t="shared" si="2"/>
        <v>44586</v>
      </c>
      <c r="E1142" s="129">
        <f t="shared" si="3"/>
        <v>5</v>
      </c>
      <c r="F1142" s="130" t="s">
        <v>26</v>
      </c>
      <c r="G1142" s="131" t="s">
        <v>87</v>
      </c>
      <c r="H1142" s="130" t="s">
        <v>124</v>
      </c>
      <c r="I1142" s="132">
        <v>1500.0</v>
      </c>
      <c r="J1142" s="133" t="s">
        <v>122</v>
      </c>
      <c r="K1142" s="134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</row>
    <row r="1143" ht="12.0" customHeight="1">
      <c r="A1143" s="25"/>
      <c r="B1143" s="126">
        <v>44680.0</v>
      </c>
      <c r="C1143" s="127">
        <f t="shared" si="1"/>
        <v>44652</v>
      </c>
      <c r="D1143" s="128">
        <f t="shared" si="2"/>
        <v>44680</v>
      </c>
      <c r="E1143" s="129">
        <f t="shared" si="3"/>
        <v>18</v>
      </c>
      <c r="F1143" s="130" t="s">
        <v>26</v>
      </c>
      <c r="G1143" s="131" t="s">
        <v>87</v>
      </c>
      <c r="H1143" s="130" t="s">
        <v>124</v>
      </c>
      <c r="I1143" s="132">
        <v>1500.0</v>
      </c>
      <c r="J1143" s="133" t="s">
        <v>122</v>
      </c>
      <c r="K1143" s="134" t="s">
        <v>816</v>
      </c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</row>
    <row r="1144" ht="12.0" customHeight="1">
      <c r="A1144" s="25"/>
      <c r="B1144" s="126">
        <v>44813.0</v>
      </c>
      <c r="C1144" s="127">
        <f t="shared" si="1"/>
        <v>44805</v>
      </c>
      <c r="D1144" s="128">
        <f t="shared" si="2"/>
        <v>44813</v>
      </c>
      <c r="E1144" s="129">
        <f t="shared" si="3"/>
        <v>37</v>
      </c>
      <c r="F1144" s="130" t="s">
        <v>26</v>
      </c>
      <c r="G1144" s="131" t="s">
        <v>70</v>
      </c>
      <c r="H1144" s="130" t="s">
        <v>124</v>
      </c>
      <c r="I1144" s="132">
        <v>1500.0</v>
      </c>
      <c r="J1144" s="133" t="s">
        <v>122</v>
      </c>
      <c r="K1144" s="134" t="s">
        <v>817</v>
      </c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</row>
    <row r="1145" ht="12.0" customHeight="1">
      <c r="A1145" s="25"/>
      <c r="B1145" s="126">
        <v>44593.0</v>
      </c>
      <c r="C1145" s="127">
        <f t="shared" si="1"/>
        <v>44593</v>
      </c>
      <c r="D1145" s="128">
        <f t="shared" si="2"/>
        <v>44593</v>
      </c>
      <c r="E1145" s="129">
        <f t="shared" si="3"/>
        <v>6</v>
      </c>
      <c r="F1145" s="130" t="s">
        <v>26</v>
      </c>
      <c r="G1145" s="131" t="s">
        <v>87</v>
      </c>
      <c r="H1145" s="130" t="s">
        <v>124</v>
      </c>
      <c r="I1145" s="132">
        <f>1500*0.95</f>
        <v>1425</v>
      </c>
      <c r="J1145" s="133" t="s">
        <v>122</v>
      </c>
      <c r="K1145" s="134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</row>
    <row r="1146" ht="12.0" customHeight="1">
      <c r="A1146" s="25"/>
      <c r="B1146" s="126">
        <v>44764.0</v>
      </c>
      <c r="C1146" s="127">
        <f t="shared" si="1"/>
        <v>44743</v>
      </c>
      <c r="D1146" s="128">
        <f t="shared" si="2"/>
        <v>44764</v>
      </c>
      <c r="E1146" s="129">
        <f t="shared" si="3"/>
        <v>30</v>
      </c>
      <c r="F1146" s="130" t="s">
        <v>24</v>
      </c>
      <c r="G1146" s="131" t="s">
        <v>53</v>
      </c>
      <c r="H1146" s="130" t="s">
        <v>121</v>
      </c>
      <c r="I1146" s="132">
        <v>1421.0</v>
      </c>
      <c r="J1146" s="133" t="s">
        <v>122</v>
      </c>
      <c r="K1146" s="134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</row>
    <row r="1147" ht="12.0" customHeight="1">
      <c r="A1147" s="25"/>
      <c r="B1147" s="126">
        <v>44702.0</v>
      </c>
      <c r="C1147" s="127">
        <f t="shared" si="1"/>
        <v>44682</v>
      </c>
      <c r="D1147" s="128">
        <f t="shared" si="2"/>
        <v>44702</v>
      </c>
      <c r="E1147" s="129">
        <f t="shared" si="3"/>
        <v>21</v>
      </c>
      <c r="F1147" s="130" t="s">
        <v>24</v>
      </c>
      <c r="G1147" s="131" t="s">
        <v>53</v>
      </c>
      <c r="H1147" s="130" t="s">
        <v>121</v>
      </c>
      <c r="I1147" s="132">
        <f>1328</f>
        <v>1328</v>
      </c>
      <c r="J1147" s="133" t="s">
        <v>122</v>
      </c>
      <c r="K1147" s="134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</row>
    <row r="1148" ht="12.0" customHeight="1">
      <c r="A1148" s="25"/>
      <c r="B1148" s="126">
        <v>44704.0</v>
      </c>
      <c r="C1148" s="127">
        <f t="shared" si="1"/>
        <v>44682</v>
      </c>
      <c r="D1148" s="128">
        <f t="shared" si="2"/>
        <v>44704</v>
      </c>
      <c r="E1148" s="129">
        <f t="shared" si="3"/>
        <v>22</v>
      </c>
      <c r="F1148" s="130" t="s">
        <v>26</v>
      </c>
      <c r="G1148" s="131" t="s">
        <v>70</v>
      </c>
      <c r="H1148" s="130" t="s">
        <v>124</v>
      </c>
      <c r="I1148" s="132">
        <v>1247.0</v>
      </c>
      <c r="J1148" s="133" t="s">
        <v>122</v>
      </c>
      <c r="K1148" s="134" t="s">
        <v>818</v>
      </c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</row>
    <row r="1149" ht="12.0" customHeight="1">
      <c r="A1149" s="25"/>
      <c r="B1149" s="126">
        <v>44674.0</v>
      </c>
      <c r="C1149" s="127">
        <f t="shared" si="1"/>
        <v>44652</v>
      </c>
      <c r="D1149" s="128">
        <f t="shared" si="2"/>
        <v>44674</v>
      </c>
      <c r="E1149" s="129">
        <f t="shared" si="3"/>
        <v>17</v>
      </c>
      <c r="F1149" s="130" t="s">
        <v>128</v>
      </c>
      <c r="G1149" s="131" t="s">
        <v>172</v>
      </c>
      <c r="H1149" s="130" t="s">
        <v>124</v>
      </c>
      <c r="I1149" s="132">
        <v>1200.0</v>
      </c>
      <c r="J1149" s="133" t="s">
        <v>125</v>
      </c>
      <c r="K1149" s="134" t="s">
        <v>819</v>
      </c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</row>
    <row r="1150" ht="12.0" customHeight="1">
      <c r="A1150" s="25"/>
      <c r="B1150" s="126">
        <v>44617.0</v>
      </c>
      <c r="C1150" s="127">
        <f t="shared" si="1"/>
        <v>44593</v>
      </c>
      <c r="D1150" s="128">
        <f t="shared" si="2"/>
        <v>44617</v>
      </c>
      <c r="E1150" s="129">
        <f t="shared" si="3"/>
        <v>9</v>
      </c>
      <c r="F1150" s="130" t="s">
        <v>128</v>
      </c>
      <c r="G1150" s="131" t="s">
        <v>172</v>
      </c>
      <c r="H1150" s="130" t="s">
        <v>124</v>
      </c>
      <c r="I1150" s="132">
        <v>1100.0</v>
      </c>
      <c r="J1150" s="133" t="s">
        <v>122</v>
      </c>
      <c r="K1150" s="134" t="s">
        <v>820</v>
      </c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</row>
    <row r="1151" ht="12.0" customHeight="1">
      <c r="A1151" s="25"/>
      <c r="B1151" s="126">
        <v>44646.0</v>
      </c>
      <c r="C1151" s="127">
        <f t="shared" si="1"/>
        <v>44621</v>
      </c>
      <c r="D1151" s="128">
        <f t="shared" si="2"/>
        <v>44646</v>
      </c>
      <c r="E1151" s="129">
        <f t="shared" si="3"/>
        <v>13</v>
      </c>
      <c r="F1151" s="130" t="s">
        <v>26</v>
      </c>
      <c r="G1151" s="131" t="s">
        <v>70</v>
      </c>
      <c r="H1151" s="130" t="s">
        <v>124</v>
      </c>
      <c r="I1151" s="132">
        <v>1100.0</v>
      </c>
      <c r="J1151" s="133" t="s">
        <v>125</v>
      </c>
      <c r="K1151" s="134" t="s">
        <v>821</v>
      </c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</row>
    <row r="1152" ht="12.0" customHeight="1">
      <c r="A1152" s="25"/>
      <c r="B1152" s="126">
        <v>44712.0</v>
      </c>
      <c r="C1152" s="127">
        <f t="shared" si="1"/>
        <v>44682</v>
      </c>
      <c r="D1152" s="128">
        <f t="shared" si="2"/>
        <v>44712</v>
      </c>
      <c r="E1152" s="129">
        <f t="shared" si="3"/>
        <v>23</v>
      </c>
      <c r="F1152" s="130" t="s">
        <v>26</v>
      </c>
      <c r="G1152" s="131" t="s">
        <v>87</v>
      </c>
      <c r="H1152" s="130" t="s">
        <v>124</v>
      </c>
      <c r="I1152" s="132">
        <v>1100.0</v>
      </c>
      <c r="J1152" s="133" t="s">
        <v>122</v>
      </c>
      <c r="K1152" s="134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</row>
    <row r="1153" ht="12.0" customHeight="1">
      <c r="A1153" s="25"/>
      <c r="B1153" s="126">
        <v>44720.0</v>
      </c>
      <c r="C1153" s="127">
        <f t="shared" si="1"/>
        <v>44713</v>
      </c>
      <c r="D1153" s="128">
        <f t="shared" si="2"/>
        <v>44720</v>
      </c>
      <c r="E1153" s="129">
        <f t="shared" si="3"/>
        <v>24</v>
      </c>
      <c r="F1153" s="130" t="s">
        <v>26</v>
      </c>
      <c r="G1153" s="131" t="s">
        <v>79</v>
      </c>
      <c r="H1153" s="130" t="s">
        <v>124</v>
      </c>
      <c r="I1153" s="132">
        <v>1100.0</v>
      </c>
      <c r="J1153" s="133" t="s">
        <v>122</v>
      </c>
      <c r="K1153" s="134" t="s">
        <v>822</v>
      </c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</row>
    <row r="1154" ht="12.0" customHeight="1">
      <c r="A1154" s="25"/>
      <c r="B1154" s="126">
        <v>44742.0</v>
      </c>
      <c r="C1154" s="127">
        <f t="shared" si="1"/>
        <v>44713</v>
      </c>
      <c r="D1154" s="128">
        <f t="shared" si="2"/>
        <v>44742</v>
      </c>
      <c r="E1154" s="129">
        <f t="shared" si="3"/>
        <v>27</v>
      </c>
      <c r="F1154" s="130" t="s">
        <v>26</v>
      </c>
      <c r="G1154" s="131" t="s">
        <v>87</v>
      </c>
      <c r="H1154" s="130" t="s">
        <v>124</v>
      </c>
      <c r="I1154" s="132">
        <v>1100.0</v>
      </c>
      <c r="J1154" s="133" t="s">
        <v>122</v>
      </c>
      <c r="K1154" s="134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</row>
    <row r="1155" ht="12.0" customHeight="1">
      <c r="A1155" s="25"/>
      <c r="B1155" s="126">
        <v>44759.0</v>
      </c>
      <c r="C1155" s="127">
        <f t="shared" si="1"/>
        <v>44743</v>
      </c>
      <c r="D1155" s="128">
        <f t="shared" si="2"/>
        <v>44759</v>
      </c>
      <c r="E1155" s="129">
        <f t="shared" si="3"/>
        <v>30</v>
      </c>
      <c r="F1155" s="130" t="s">
        <v>26</v>
      </c>
      <c r="G1155" s="131" t="s">
        <v>70</v>
      </c>
      <c r="H1155" s="130" t="s">
        <v>124</v>
      </c>
      <c r="I1155" s="132">
        <v>1100.0</v>
      </c>
      <c r="J1155" s="133" t="s">
        <v>122</v>
      </c>
      <c r="K1155" s="134" t="s">
        <v>787</v>
      </c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</row>
    <row r="1156" ht="12.0" customHeight="1">
      <c r="A1156" s="25"/>
      <c r="B1156" s="126">
        <v>44666.0</v>
      </c>
      <c r="C1156" s="127">
        <f t="shared" si="1"/>
        <v>44652</v>
      </c>
      <c r="D1156" s="128">
        <f t="shared" si="2"/>
        <v>44666</v>
      </c>
      <c r="E1156" s="129">
        <f t="shared" si="3"/>
        <v>16</v>
      </c>
      <c r="F1156" s="130" t="s">
        <v>24</v>
      </c>
      <c r="G1156" s="131" t="s">
        <v>53</v>
      </c>
      <c r="H1156" s="130" t="s">
        <v>121</v>
      </c>
      <c r="I1156" s="132">
        <v>1081.0</v>
      </c>
      <c r="J1156" s="133" t="s">
        <v>122</v>
      </c>
      <c r="K1156" s="134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</row>
    <row r="1157" ht="12.0" customHeight="1">
      <c r="A1157" s="25"/>
      <c r="B1157" s="126">
        <v>44764.0</v>
      </c>
      <c r="C1157" s="127">
        <f t="shared" si="1"/>
        <v>44743</v>
      </c>
      <c r="D1157" s="128">
        <f t="shared" si="2"/>
        <v>44764</v>
      </c>
      <c r="E1157" s="129">
        <f t="shared" si="3"/>
        <v>30</v>
      </c>
      <c r="F1157" s="130" t="s">
        <v>24</v>
      </c>
      <c r="G1157" s="131" t="s">
        <v>53</v>
      </c>
      <c r="H1157" s="130" t="s">
        <v>121</v>
      </c>
      <c r="I1157" s="132">
        <v>1044.0</v>
      </c>
      <c r="J1157" s="133" t="s">
        <v>122</v>
      </c>
      <c r="K1157" s="134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</row>
    <row r="1158" ht="12.0" customHeight="1">
      <c r="A1158" s="25"/>
      <c r="B1158" s="126">
        <v>44595.0</v>
      </c>
      <c r="C1158" s="127">
        <f t="shared" si="1"/>
        <v>44593</v>
      </c>
      <c r="D1158" s="128">
        <f t="shared" si="2"/>
        <v>44595</v>
      </c>
      <c r="E1158" s="129">
        <f t="shared" si="3"/>
        <v>6</v>
      </c>
      <c r="F1158" s="130" t="s">
        <v>26</v>
      </c>
      <c r="G1158" s="131" t="s">
        <v>70</v>
      </c>
      <c r="H1158" s="130" t="s">
        <v>124</v>
      </c>
      <c r="I1158" s="132">
        <v>1015.0</v>
      </c>
      <c r="J1158" s="133" t="s">
        <v>125</v>
      </c>
      <c r="K1158" s="134" t="s">
        <v>571</v>
      </c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</row>
    <row r="1159" ht="12.0" customHeight="1">
      <c r="A1159" s="25"/>
      <c r="B1159" s="126">
        <v>44569.0</v>
      </c>
      <c r="C1159" s="127">
        <f t="shared" si="1"/>
        <v>44562</v>
      </c>
      <c r="D1159" s="128">
        <f t="shared" si="2"/>
        <v>44569</v>
      </c>
      <c r="E1159" s="129">
        <f t="shared" si="3"/>
        <v>2</v>
      </c>
      <c r="F1159" s="130" t="s">
        <v>26</v>
      </c>
      <c r="G1159" s="131" t="s">
        <v>79</v>
      </c>
      <c r="H1159" s="130" t="s">
        <v>124</v>
      </c>
      <c r="I1159" s="132">
        <f>21000-20000</f>
        <v>1000</v>
      </c>
      <c r="J1159" s="133" t="s">
        <v>122</v>
      </c>
      <c r="K1159" s="134" t="s">
        <v>823</v>
      </c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</row>
    <row r="1160" ht="12.0" customHeight="1">
      <c r="A1160" s="25"/>
      <c r="B1160" s="126">
        <v>44592.0</v>
      </c>
      <c r="C1160" s="127">
        <f t="shared" si="1"/>
        <v>44562</v>
      </c>
      <c r="D1160" s="128">
        <f t="shared" si="2"/>
        <v>44592</v>
      </c>
      <c r="E1160" s="129">
        <f t="shared" si="3"/>
        <v>6</v>
      </c>
      <c r="F1160" s="130" t="s">
        <v>24</v>
      </c>
      <c r="G1160" s="131" t="s">
        <v>29</v>
      </c>
      <c r="H1160" s="130" t="s">
        <v>124</v>
      </c>
      <c r="I1160" s="132">
        <f>1250-250</f>
        <v>1000</v>
      </c>
      <c r="J1160" s="133" t="s">
        <v>125</v>
      </c>
      <c r="K1160" s="134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</row>
    <row r="1161" ht="12.0" customHeight="1">
      <c r="A1161" s="25"/>
      <c r="B1161" s="126">
        <v>44835.0</v>
      </c>
      <c r="C1161" s="127">
        <f t="shared" si="1"/>
        <v>44835</v>
      </c>
      <c r="D1161" s="128">
        <f t="shared" si="2"/>
        <v>44835</v>
      </c>
      <c r="E1161" s="129">
        <f t="shared" si="3"/>
        <v>40</v>
      </c>
      <c r="F1161" s="130" t="s">
        <v>26</v>
      </c>
      <c r="G1161" s="131" t="s">
        <v>70</v>
      </c>
      <c r="H1161" s="130" t="s">
        <v>124</v>
      </c>
      <c r="I1161" s="132">
        <v>1000.0</v>
      </c>
      <c r="J1161" s="133" t="s">
        <v>122</v>
      </c>
      <c r="K1161" s="134" t="s">
        <v>822</v>
      </c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</row>
    <row r="1162" ht="12.0" customHeight="1">
      <c r="A1162" s="25"/>
      <c r="B1162" s="126">
        <v>44921.0</v>
      </c>
      <c r="C1162" s="127">
        <f t="shared" si="1"/>
        <v>44896</v>
      </c>
      <c r="D1162" s="128">
        <f t="shared" si="2"/>
        <v>44921</v>
      </c>
      <c r="E1162" s="129">
        <f t="shared" si="3"/>
        <v>53</v>
      </c>
      <c r="F1162" s="130" t="s">
        <v>128</v>
      </c>
      <c r="G1162" s="131" t="s">
        <v>172</v>
      </c>
      <c r="H1162" s="130" t="s">
        <v>124</v>
      </c>
      <c r="I1162" s="132">
        <v>1000.0</v>
      </c>
      <c r="J1162" s="133" t="s">
        <v>122</v>
      </c>
      <c r="K1162" s="134" t="s">
        <v>824</v>
      </c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</row>
    <row r="1163" ht="12.0" customHeight="1">
      <c r="A1163" s="25"/>
      <c r="B1163" s="126">
        <v>44589.0</v>
      </c>
      <c r="C1163" s="127">
        <f t="shared" si="1"/>
        <v>44562</v>
      </c>
      <c r="D1163" s="128">
        <f t="shared" si="2"/>
        <v>44589</v>
      </c>
      <c r="E1163" s="129">
        <f t="shared" si="3"/>
        <v>5</v>
      </c>
      <c r="F1163" s="130" t="s">
        <v>26</v>
      </c>
      <c r="G1163" s="131" t="s">
        <v>84</v>
      </c>
      <c r="H1163" s="130" t="s">
        <v>124</v>
      </c>
      <c r="I1163" s="132">
        <v>700.0</v>
      </c>
      <c r="J1163" s="133" t="s">
        <v>122</v>
      </c>
      <c r="K1163" s="134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</row>
    <row r="1164" ht="12.0" customHeight="1">
      <c r="A1164" s="25"/>
      <c r="B1164" s="126">
        <v>44723.0</v>
      </c>
      <c r="C1164" s="127">
        <f t="shared" si="1"/>
        <v>44713</v>
      </c>
      <c r="D1164" s="128">
        <f t="shared" si="2"/>
        <v>44723</v>
      </c>
      <c r="E1164" s="129">
        <f t="shared" si="3"/>
        <v>24</v>
      </c>
      <c r="F1164" s="130" t="s">
        <v>26</v>
      </c>
      <c r="G1164" s="131" t="s">
        <v>70</v>
      </c>
      <c r="H1164" s="130" t="s">
        <v>124</v>
      </c>
      <c r="I1164" s="132">
        <v>700.0</v>
      </c>
      <c r="J1164" s="133" t="s">
        <v>125</v>
      </c>
      <c r="K1164" s="134" t="s">
        <v>825</v>
      </c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</row>
    <row r="1165" ht="12.0" customHeight="1">
      <c r="A1165" s="25"/>
      <c r="B1165" s="126">
        <v>44843.0</v>
      </c>
      <c r="C1165" s="127">
        <f t="shared" si="1"/>
        <v>44835</v>
      </c>
      <c r="D1165" s="128">
        <f t="shared" si="2"/>
        <v>44843</v>
      </c>
      <c r="E1165" s="129">
        <f t="shared" si="3"/>
        <v>42</v>
      </c>
      <c r="F1165" s="130" t="s">
        <v>24</v>
      </c>
      <c r="G1165" s="131" t="s">
        <v>53</v>
      </c>
      <c r="H1165" s="130" t="s">
        <v>121</v>
      </c>
      <c r="I1165" s="132">
        <v>491.0</v>
      </c>
      <c r="J1165" s="133" t="s">
        <v>122</v>
      </c>
      <c r="K1165" s="134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</row>
    <row r="1166" ht="12.0" customHeight="1">
      <c r="A1166" s="25"/>
      <c r="B1166" s="126">
        <v>44723.0</v>
      </c>
      <c r="C1166" s="127">
        <f t="shared" si="1"/>
        <v>44713</v>
      </c>
      <c r="D1166" s="128">
        <f t="shared" si="2"/>
        <v>44723</v>
      </c>
      <c r="E1166" s="129">
        <f t="shared" si="3"/>
        <v>24</v>
      </c>
      <c r="F1166" s="130" t="s">
        <v>24</v>
      </c>
      <c r="G1166" s="131" t="s">
        <v>53</v>
      </c>
      <c r="H1166" s="130" t="s">
        <v>121</v>
      </c>
      <c r="I1166" s="132">
        <v>448.0</v>
      </c>
      <c r="J1166" s="133" t="s">
        <v>122</v>
      </c>
      <c r="K1166" s="134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</row>
    <row r="1167" ht="12.0" customHeight="1">
      <c r="A1167" s="25"/>
      <c r="B1167" s="126">
        <v>44764.0</v>
      </c>
      <c r="C1167" s="127">
        <f t="shared" si="1"/>
        <v>44743</v>
      </c>
      <c r="D1167" s="128">
        <f t="shared" si="2"/>
        <v>44764</v>
      </c>
      <c r="E1167" s="129">
        <f t="shared" si="3"/>
        <v>30</v>
      </c>
      <c r="F1167" s="130" t="s">
        <v>26</v>
      </c>
      <c r="G1167" s="131" t="s">
        <v>87</v>
      </c>
      <c r="H1167" s="130" t="s">
        <v>124</v>
      </c>
      <c r="I1167" s="132">
        <f>800-400</f>
        <v>400</v>
      </c>
      <c r="J1167" s="133" t="s">
        <v>125</v>
      </c>
      <c r="K1167" s="134" t="s">
        <v>718</v>
      </c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</row>
    <row r="1168" ht="12.0" customHeight="1">
      <c r="A1168" s="25"/>
      <c r="B1168" s="126">
        <v>44689.0</v>
      </c>
      <c r="C1168" s="127">
        <f t="shared" si="1"/>
        <v>44682</v>
      </c>
      <c r="D1168" s="128">
        <f t="shared" si="2"/>
        <v>44689</v>
      </c>
      <c r="E1168" s="129">
        <f t="shared" si="3"/>
        <v>20</v>
      </c>
      <c r="F1168" s="130" t="s">
        <v>24</v>
      </c>
      <c r="G1168" s="131" t="s">
        <v>53</v>
      </c>
      <c r="H1168" s="130" t="s">
        <v>121</v>
      </c>
      <c r="I1168" s="132">
        <v>298.0</v>
      </c>
      <c r="J1168" s="133" t="s">
        <v>122</v>
      </c>
      <c r="K1168" s="134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</row>
    <row r="1169" ht="12.0" customHeight="1">
      <c r="A1169" s="25"/>
      <c r="B1169" s="126">
        <v>44842.0</v>
      </c>
      <c r="C1169" s="127">
        <f t="shared" si="1"/>
        <v>44835</v>
      </c>
      <c r="D1169" s="128">
        <f t="shared" si="2"/>
        <v>44842</v>
      </c>
      <c r="E1169" s="129">
        <f t="shared" si="3"/>
        <v>41</v>
      </c>
      <c r="F1169" s="130" t="s">
        <v>24</v>
      </c>
      <c r="G1169" s="131" t="s">
        <v>46</v>
      </c>
      <c r="H1169" s="130" t="s">
        <v>124</v>
      </c>
      <c r="I1169" s="132">
        <v>250.0</v>
      </c>
      <c r="J1169" s="133" t="s">
        <v>125</v>
      </c>
      <c r="K1169" s="134" t="s">
        <v>826</v>
      </c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</row>
    <row r="1170" ht="12.0" customHeight="1">
      <c r="A1170" s="25"/>
      <c r="B1170" s="126">
        <v>44724.0</v>
      </c>
      <c r="C1170" s="127">
        <f t="shared" si="1"/>
        <v>44713</v>
      </c>
      <c r="D1170" s="128">
        <f t="shared" si="2"/>
        <v>44724</v>
      </c>
      <c r="E1170" s="129">
        <f t="shared" si="3"/>
        <v>25</v>
      </c>
      <c r="F1170" s="130" t="s">
        <v>26</v>
      </c>
      <c r="G1170" s="131" t="s">
        <v>70</v>
      </c>
      <c r="H1170" s="130" t="s">
        <v>124</v>
      </c>
      <c r="I1170" s="132">
        <v>110.0</v>
      </c>
      <c r="J1170" s="133" t="s">
        <v>122</v>
      </c>
      <c r="K1170" s="134" t="s">
        <v>827</v>
      </c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</row>
    <row r="1171" ht="12.0" customHeight="1">
      <c r="A1171" s="25"/>
      <c r="B1171" s="126">
        <v>44754.0</v>
      </c>
      <c r="C1171" s="127">
        <f t="shared" si="1"/>
        <v>44743</v>
      </c>
      <c r="D1171" s="128">
        <f t="shared" si="2"/>
        <v>44754</v>
      </c>
      <c r="E1171" s="129">
        <f t="shared" si="3"/>
        <v>29</v>
      </c>
      <c r="F1171" s="130" t="s">
        <v>26</v>
      </c>
      <c r="G1171" s="131" t="s">
        <v>70</v>
      </c>
      <c r="H1171" s="130" t="s">
        <v>124</v>
      </c>
      <c r="I1171" s="132">
        <v>110.0</v>
      </c>
      <c r="J1171" s="133" t="s">
        <v>122</v>
      </c>
      <c r="K1171" s="134" t="s">
        <v>828</v>
      </c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</row>
    <row r="1172" ht="12.0" customHeight="1">
      <c r="A1172" s="25"/>
      <c r="B1172" s="126">
        <v>44913.0</v>
      </c>
      <c r="C1172" s="127">
        <f t="shared" si="1"/>
        <v>44896</v>
      </c>
      <c r="D1172" s="128">
        <f t="shared" si="2"/>
        <v>44913</v>
      </c>
      <c r="E1172" s="129">
        <f t="shared" si="3"/>
        <v>52</v>
      </c>
      <c r="F1172" s="130" t="s">
        <v>26</v>
      </c>
      <c r="G1172" s="131" t="s">
        <v>70</v>
      </c>
      <c r="H1172" s="130" t="s">
        <v>124</v>
      </c>
      <c r="I1172" s="132">
        <v>110.0</v>
      </c>
      <c r="J1172" s="133" t="s">
        <v>122</v>
      </c>
      <c r="K1172" s="134" t="s">
        <v>829</v>
      </c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</row>
    <row r="1173" ht="12.0" customHeight="1">
      <c r="A1173" s="25"/>
      <c r="B1173" s="126">
        <v>44687.0</v>
      </c>
      <c r="C1173" s="127">
        <f t="shared" si="1"/>
        <v>44682</v>
      </c>
      <c r="D1173" s="128">
        <f t="shared" si="2"/>
        <v>44687</v>
      </c>
      <c r="E1173" s="129">
        <f t="shared" si="3"/>
        <v>19</v>
      </c>
      <c r="F1173" s="130" t="s">
        <v>24</v>
      </c>
      <c r="G1173" s="131" t="s">
        <v>53</v>
      </c>
      <c r="H1173" s="130" t="s">
        <v>121</v>
      </c>
      <c r="I1173" s="132">
        <v>83.0</v>
      </c>
      <c r="J1173" s="133" t="s">
        <v>122</v>
      </c>
      <c r="K1173" s="134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</row>
    <row r="1174" ht="12.0" customHeight="1">
      <c r="A1174" s="25"/>
      <c r="B1174" s="126">
        <v>44656.0</v>
      </c>
      <c r="C1174" s="127">
        <f t="shared" si="1"/>
        <v>44652</v>
      </c>
      <c r="D1174" s="128">
        <f t="shared" si="2"/>
        <v>44656</v>
      </c>
      <c r="E1174" s="129">
        <f t="shared" si="3"/>
        <v>15</v>
      </c>
      <c r="F1174" s="130" t="s">
        <v>24</v>
      </c>
      <c r="G1174" s="131" t="s">
        <v>53</v>
      </c>
      <c r="H1174" s="130" t="s">
        <v>121</v>
      </c>
      <c r="I1174" s="132">
        <v>72.0</v>
      </c>
      <c r="J1174" s="133" t="s">
        <v>122</v>
      </c>
      <c r="K1174" s="134" t="s">
        <v>123</v>
      </c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</row>
    <row r="1175" ht="12.0" customHeight="1">
      <c r="A1175" s="25"/>
      <c r="B1175" s="126">
        <v>44591.0</v>
      </c>
      <c r="C1175" s="127">
        <f t="shared" si="1"/>
        <v>44562</v>
      </c>
      <c r="D1175" s="128">
        <f t="shared" si="2"/>
        <v>44591</v>
      </c>
      <c r="E1175" s="129">
        <f t="shared" si="3"/>
        <v>6</v>
      </c>
      <c r="F1175" s="130" t="s">
        <v>26</v>
      </c>
      <c r="G1175" s="131" t="s">
        <v>70</v>
      </c>
      <c r="H1175" s="130" t="s">
        <v>124</v>
      </c>
      <c r="I1175" s="132">
        <f>6790-6790</f>
        <v>0</v>
      </c>
      <c r="J1175" s="133" t="s">
        <v>125</v>
      </c>
      <c r="K1175" s="134" t="s">
        <v>830</v>
      </c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</row>
    <row r="1176" ht="12.0" customHeight="1">
      <c r="A1176" s="25"/>
      <c r="B1176" s="126">
        <v>44591.0</v>
      </c>
      <c r="C1176" s="127">
        <f t="shared" si="1"/>
        <v>44562</v>
      </c>
      <c r="D1176" s="128">
        <f t="shared" si="2"/>
        <v>44591</v>
      </c>
      <c r="E1176" s="129">
        <f t="shared" si="3"/>
        <v>6</v>
      </c>
      <c r="F1176" s="130" t="s">
        <v>26</v>
      </c>
      <c r="G1176" s="131" t="s">
        <v>76</v>
      </c>
      <c r="H1176" s="130" t="s">
        <v>124</v>
      </c>
      <c r="I1176" s="132">
        <f>10770-10770</f>
        <v>0</v>
      </c>
      <c r="J1176" s="133" t="s">
        <v>125</v>
      </c>
      <c r="K1176" s="134" t="s">
        <v>831</v>
      </c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</row>
    <row r="1177" ht="12.0" customHeight="1">
      <c r="A1177" s="25"/>
      <c r="B1177" s="126">
        <v>44591.0</v>
      </c>
      <c r="C1177" s="127">
        <f t="shared" si="1"/>
        <v>44562</v>
      </c>
      <c r="D1177" s="128">
        <f t="shared" si="2"/>
        <v>44591</v>
      </c>
      <c r="E1177" s="129">
        <f t="shared" si="3"/>
        <v>6</v>
      </c>
      <c r="F1177" s="130" t="s">
        <v>24</v>
      </c>
      <c r="G1177" s="131" t="s">
        <v>34</v>
      </c>
      <c r="H1177" s="130" t="s">
        <v>124</v>
      </c>
      <c r="I1177" s="132">
        <f>3570-3570</f>
        <v>0</v>
      </c>
      <c r="J1177" s="133" t="s">
        <v>125</v>
      </c>
      <c r="K1177" s="134" t="s">
        <v>832</v>
      </c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</row>
    <row r="1178" ht="12.0" customHeight="1">
      <c r="A1178" s="25"/>
      <c r="B1178" s="126">
        <v>44626.0</v>
      </c>
      <c r="C1178" s="127">
        <f t="shared" si="1"/>
        <v>44621</v>
      </c>
      <c r="D1178" s="128">
        <f t="shared" si="2"/>
        <v>44626</v>
      </c>
      <c r="E1178" s="129">
        <f t="shared" si="3"/>
        <v>11</v>
      </c>
      <c r="F1178" s="130" t="s">
        <v>24</v>
      </c>
      <c r="G1178" s="131" t="s">
        <v>36</v>
      </c>
      <c r="H1178" s="130" t="s">
        <v>121</v>
      </c>
      <c r="I1178" s="132">
        <f>12000-12000</f>
        <v>0</v>
      </c>
      <c r="J1178" s="133" t="s">
        <v>122</v>
      </c>
      <c r="K1178" s="134" t="s">
        <v>833</v>
      </c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</row>
    <row r="1179" ht="12.0" customHeight="1">
      <c r="A1179" s="25"/>
      <c r="B1179" s="126">
        <v>44631.0</v>
      </c>
      <c r="C1179" s="127">
        <f t="shared" si="1"/>
        <v>44621</v>
      </c>
      <c r="D1179" s="128">
        <f t="shared" si="2"/>
        <v>44631</v>
      </c>
      <c r="E1179" s="129">
        <f t="shared" si="3"/>
        <v>11</v>
      </c>
      <c r="F1179" s="130" t="s">
        <v>24</v>
      </c>
      <c r="G1179" s="131" t="s">
        <v>44</v>
      </c>
      <c r="H1179" s="130" t="s">
        <v>124</v>
      </c>
      <c r="I1179" s="132">
        <f>7370-7370</f>
        <v>0</v>
      </c>
      <c r="J1179" s="133" t="s">
        <v>122</v>
      </c>
      <c r="K1179" s="134" t="s">
        <v>312</v>
      </c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</row>
    <row r="1180" ht="12.0" customHeight="1">
      <c r="A1180" s="25"/>
      <c r="B1180" s="126">
        <v>44632.0</v>
      </c>
      <c r="C1180" s="127">
        <f t="shared" si="1"/>
        <v>44621</v>
      </c>
      <c r="D1180" s="128">
        <f t="shared" si="2"/>
        <v>44632</v>
      </c>
      <c r="E1180" s="129">
        <f t="shared" si="3"/>
        <v>11</v>
      </c>
      <c r="F1180" s="130" t="s">
        <v>24</v>
      </c>
      <c r="G1180" s="131" t="s">
        <v>34</v>
      </c>
      <c r="H1180" s="130" t="s">
        <v>121</v>
      </c>
      <c r="I1180" s="132">
        <f>500000-500000</f>
        <v>0</v>
      </c>
      <c r="J1180" s="133" t="s">
        <v>125</v>
      </c>
      <c r="K1180" s="134" t="s">
        <v>834</v>
      </c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</row>
    <row r="1181" ht="12.0" customHeight="1">
      <c r="A1181" s="25"/>
      <c r="B1181" s="126">
        <v>44661.0</v>
      </c>
      <c r="C1181" s="127">
        <f t="shared" si="1"/>
        <v>44652</v>
      </c>
      <c r="D1181" s="128">
        <f t="shared" si="2"/>
        <v>44661</v>
      </c>
      <c r="E1181" s="129">
        <f t="shared" si="3"/>
        <v>16</v>
      </c>
      <c r="F1181" s="130" t="s">
        <v>26</v>
      </c>
      <c r="G1181" s="131" t="s">
        <v>76</v>
      </c>
      <c r="H1181" s="130" t="s">
        <v>124</v>
      </c>
      <c r="I1181" s="132">
        <f>69520-69520</f>
        <v>0</v>
      </c>
      <c r="J1181" s="133" t="s">
        <v>122</v>
      </c>
      <c r="K1181" s="134" t="s">
        <v>835</v>
      </c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</row>
    <row r="1182" ht="12.0" customHeight="1">
      <c r="A1182" s="25"/>
      <c r="B1182" s="126">
        <v>44675.0</v>
      </c>
      <c r="C1182" s="127">
        <f t="shared" si="1"/>
        <v>44652</v>
      </c>
      <c r="D1182" s="128">
        <f t="shared" si="2"/>
        <v>44675</v>
      </c>
      <c r="E1182" s="129">
        <f t="shared" si="3"/>
        <v>18</v>
      </c>
      <c r="F1182" s="130" t="s">
        <v>26</v>
      </c>
      <c r="G1182" s="131" t="s">
        <v>76</v>
      </c>
      <c r="H1182" s="130" t="s">
        <v>124</v>
      </c>
      <c r="I1182" s="132">
        <f>67681-67681</f>
        <v>0</v>
      </c>
      <c r="J1182" s="133" t="s">
        <v>122</v>
      </c>
      <c r="K1182" s="134" t="s">
        <v>836</v>
      </c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</row>
    <row r="1183" ht="12.0" customHeight="1">
      <c r="A1183" s="25"/>
      <c r="B1183" s="126">
        <v>44690.0</v>
      </c>
      <c r="C1183" s="127">
        <f t="shared" si="1"/>
        <v>44682</v>
      </c>
      <c r="D1183" s="128">
        <f t="shared" si="2"/>
        <v>44690</v>
      </c>
      <c r="E1183" s="129">
        <f t="shared" si="3"/>
        <v>20</v>
      </c>
      <c r="F1183" s="130" t="s">
        <v>128</v>
      </c>
      <c r="G1183" s="131" t="s">
        <v>172</v>
      </c>
      <c r="H1183" s="130" t="s">
        <v>124</v>
      </c>
      <c r="I1183" s="132">
        <f>370000-370000</f>
        <v>0</v>
      </c>
      <c r="J1183" s="133" t="s">
        <v>125</v>
      </c>
      <c r="K1183" s="134" t="s">
        <v>837</v>
      </c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</row>
    <row r="1184" ht="12.0" customHeight="1">
      <c r="A1184" s="25"/>
      <c r="B1184" s="126">
        <v>44696.0</v>
      </c>
      <c r="C1184" s="127">
        <f t="shared" si="1"/>
        <v>44682</v>
      </c>
      <c r="D1184" s="128">
        <f t="shared" si="2"/>
        <v>44696</v>
      </c>
      <c r="E1184" s="129">
        <f t="shared" si="3"/>
        <v>21</v>
      </c>
      <c r="F1184" s="130" t="s">
        <v>24</v>
      </c>
      <c r="G1184" s="131" t="s">
        <v>36</v>
      </c>
      <c r="H1184" s="130" t="s">
        <v>121</v>
      </c>
      <c r="I1184" s="132">
        <f>12000-12000</f>
        <v>0</v>
      </c>
      <c r="J1184" s="133" t="s">
        <v>122</v>
      </c>
      <c r="K1184" s="134" t="s">
        <v>838</v>
      </c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</row>
    <row r="1185" ht="12.0" customHeight="1">
      <c r="A1185" s="25"/>
      <c r="B1185" s="126">
        <v>44697.0</v>
      </c>
      <c r="C1185" s="127">
        <f t="shared" si="1"/>
        <v>44682</v>
      </c>
      <c r="D1185" s="128">
        <f t="shared" si="2"/>
        <v>44697</v>
      </c>
      <c r="E1185" s="129">
        <f t="shared" si="3"/>
        <v>21</v>
      </c>
      <c r="F1185" s="130" t="s">
        <v>128</v>
      </c>
      <c r="G1185" s="131" t="s">
        <v>172</v>
      </c>
      <c r="H1185" s="130" t="s">
        <v>124</v>
      </c>
      <c r="I1185" s="132">
        <f>163535-163535</f>
        <v>0</v>
      </c>
      <c r="J1185" s="133" t="s">
        <v>125</v>
      </c>
      <c r="K1185" s="134" t="s">
        <v>839</v>
      </c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</row>
    <row r="1186" ht="12.0" customHeight="1">
      <c r="A1186" s="25"/>
      <c r="B1186" s="126">
        <v>44762.0</v>
      </c>
      <c r="C1186" s="127">
        <f t="shared" si="1"/>
        <v>44743</v>
      </c>
      <c r="D1186" s="128">
        <f t="shared" si="2"/>
        <v>44762</v>
      </c>
      <c r="E1186" s="129">
        <f t="shared" si="3"/>
        <v>30</v>
      </c>
      <c r="F1186" s="130" t="s">
        <v>26</v>
      </c>
      <c r="G1186" s="131" t="s">
        <v>70</v>
      </c>
      <c r="H1186" s="130" t="s">
        <v>124</v>
      </c>
      <c r="I1186" s="132">
        <f>3870-3870</f>
        <v>0</v>
      </c>
      <c r="J1186" s="133" t="s">
        <v>125</v>
      </c>
      <c r="K1186" s="134" t="s">
        <v>840</v>
      </c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</row>
    <row r="1187" ht="12.0" customHeight="1">
      <c r="A1187" s="25"/>
      <c r="B1187" s="126">
        <v>44762.0</v>
      </c>
      <c r="C1187" s="127">
        <f t="shared" si="1"/>
        <v>44743</v>
      </c>
      <c r="D1187" s="128">
        <f t="shared" si="2"/>
        <v>44762</v>
      </c>
      <c r="E1187" s="129">
        <f t="shared" si="3"/>
        <v>30</v>
      </c>
      <c r="F1187" s="130" t="s">
        <v>26</v>
      </c>
      <c r="G1187" s="131" t="s">
        <v>70</v>
      </c>
      <c r="H1187" s="130" t="s">
        <v>124</v>
      </c>
      <c r="I1187" s="132">
        <f>16810-16810</f>
        <v>0</v>
      </c>
      <c r="J1187" s="133" t="s">
        <v>125</v>
      </c>
      <c r="K1187" s="134" t="s">
        <v>841</v>
      </c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</row>
    <row r="1188" ht="12.0" customHeight="1">
      <c r="A1188" s="25"/>
      <c r="B1188" s="126">
        <v>44767.0</v>
      </c>
      <c r="C1188" s="127">
        <f t="shared" si="1"/>
        <v>44743</v>
      </c>
      <c r="D1188" s="128">
        <f t="shared" si="2"/>
        <v>44767</v>
      </c>
      <c r="E1188" s="129">
        <f t="shared" si="3"/>
        <v>31</v>
      </c>
      <c r="F1188" s="130" t="s">
        <v>128</v>
      </c>
      <c r="G1188" s="131" t="s">
        <v>129</v>
      </c>
      <c r="H1188" s="130" t="s">
        <v>121</v>
      </c>
      <c r="I1188" s="132">
        <v>0.0</v>
      </c>
      <c r="J1188" s="133" t="s">
        <v>125</v>
      </c>
      <c r="K1188" s="134" t="s">
        <v>842</v>
      </c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</row>
    <row r="1189" ht="12.0" customHeight="1">
      <c r="A1189" s="25"/>
      <c r="B1189" s="126">
        <v>44768.0</v>
      </c>
      <c r="C1189" s="127">
        <f t="shared" si="1"/>
        <v>44743</v>
      </c>
      <c r="D1189" s="128">
        <f t="shared" si="2"/>
        <v>44768</v>
      </c>
      <c r="E1189" s="129">
        <f t="shared" si="3"/>
        <v>31</v>
      </c>
      <c r="F1189" s="130" t="s">
        <v>128</v>
      </c>
      <c r="G1189" s="131" t="s">
        <v>129</v>
      </c>
      <c r="H1189" s="130" t="s">
        <v>121</v>
      </c>
      <c r="I1189" s="132">
        <v>0.0</v>
      </c>
      <c r="J1189" s="133" t="s">
        <v>125</v>
      </c>
      <c r="K1189" s="134" t="s">
        <v>843</v>
      </c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</row>
    <row r="1190" ht="12.0" customHeight="1">
      <c r="A1190" s="25"/>
      <c r="B1190" s="126">
        <v>44773.0</v>
      </c>
      <c r="C1190" s="127">
        <f t="shared" si="1"/>
        <v>44743</v>
      </c>
      <c r="D1190" s="128">
        <f t="shared" si="2"/>
        <v>44773</v>
      </c>
      <c r="E1190" s="129">
        <f t="shared" si="3"/>
        <v>32</v>
      </c>
      <c r="F1190" s="130" t="s">
        <v>26</v>
      </c>
      <c r="G1190" s="131" t="s">
        <v>76</v>
      </c>
      <c r="H1190" s="130" t="s">
        <v>124</v>
      </c>
      <c r="I1190" s="132">
        <f>20910-20910</f>
        <v>0</v>
      </c>
      <c r="J1190" s="133" t="s">
        <v>125</v>
      </c>
      <c r="K1190" s="134" t="s">
        <v>844</v>
      </c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</row>
    <row r="1191" ht="12.0" customHeight="1">
      <c r="A1191" s="25"/>
      <c r="B1191" s="126">
        <v>44795.0</v>
      </c>
      <c r="C1191" s="127">
        <f t="shared" si="1"/>
        <v>44774</v>
      </c>
      <c r="D1191" s="128">
        <f t="shared" si="2"/>
        <v>44795</v>
      </c>
      <c r="E1191" s="129">
        <f t="shared" si="3"/>
        <v>35</v>
      </c>
      <c r="F1191" s="130" t="s">
        <v>24</v>
      </c>
      <c r="G1191" s="131" t="s">
        <v>32</v>
      </c>
      <c r="H1191" s="130" t="s">
        <v>124</v>
      </c>
      <c r="I1191" s="132">
        <f>6320-6320</f>
        <v>0</v>
      </c>
      <c r="J1191" s="133" t="s">
        <v>125</v>
      </c>
      <c r="K1191" s="134" t="s">
        <v>631</v>
      </c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</row>
    <row r="1192" ht="12.0" customHeight="1">
      <c r="A1192" s="25"/>
      <c r="B1192" s="126">
        <v>44854.0</v>
      </c>
      <c r="C1192" s="127">
        <f t="shared" si="1"/>
        <v>44835</v>
      </c>
      <c r="D1192" s="128">
        <f t="shared" si="2"/>
        <v>44854</v>
      </c>
      <c r="E1192" s="129">
        <f t="shared" si="3"/>
        <v>43</v>
      </c>
      <c r="F1192" s="130" t="s">
        <v>24</v>
      </c>
      <c r="G1192" s="131" t="s">
        <v>46</v>
      </c>
      <c r="H1192" s="130" t="s">
        <v>121</v>
      </c>
      <c r="I1192" s="132">
        <f>150000-150000</f>
        <v>0</v>
      </c>
      <c r="J1192" s="133" t="s">
        <v>122</v>
      </c>
      <c r="K1192" s="134" t="s">
        <v>845</v>
      </c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</row>
    <row r="1193" ht="12.0" customHeight="1">
      <c r="A1193" s="25"/>
      <c r="B1193" s="126">
        <v>44855.0</v>
      </c>
      <c r="C1193" s="127">
        <f t="shared" si="1"/>
        <v>44835</v>
      </c>
      <c r="D1193" s="128">
        <f t="shared" si="2"/>
        <v>44855</v>
      </c>
      <c r="E1193" s="129">
        <f t="shared" si="3"/>
        <v>43</v>
      </c>
      <c r="F1193" s="130" t="s">
        <v>24</v>
      </c>
      <c r="G1193" s="131" t="s">
        <v>46</v>
      </c>
      <c r="H1193" s="130" t="s">
        <v>124</v>
      </c>
      <c r="I1193" s="132">
        <f>699400-699400</f>
        <v>0</v>
      </c>
      <c r="J1193" s="133" t="s">
        <v>122</v>
      </c>
      <c r="K1193" s="134" t="s">
        <v>846</v>
      </c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</row>
    <row r="1194" ht="12.0" customHeight="1">
      <c r="A1194" s="25"/>
      <c r="B1194" s="126"/>
      <c r="C1194" s="127"/>
      <c r="D1194" s="128"/>
      <c r="E1194" s="129"/>
      <c r="F1194" s="130"/>
      <c r="G1194" s="131"/>
      <c r="H1194" s="130"/>
      <c r="I1194" s="132"/>
      <c r="J1194" s="133"/>
      <c r="K1194" s="134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</row>
    <row r="1195" ht="12.0" customHeight="1">
      <c r="A1195" s="25"/>
      <c r="B1195" s="126"/>
      <c r="C1195" s="127"/>
      <c r="D1195" s="128"/>
      <c r="E1195" s="129"/>
      <c r="F1195" s="130"/>
      <c r="G1195" s="131"/>
      <c r="H1195" s="130"/>
      <c r="I1195" s="132"/>
      <c r="J1195" s="133"/>
      <c r="K1195" s="134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</row>
    <row r="1196" ht="12.0" customHeight="1">
      <c r="A1196" s="25"/>
      <c r="B1196" s="126"/>
      <c r="C1196" s="127"/>
      <c r="D1196" s="128"/>
      <c r="E1196" s="129"/>
      <c r="F1196" s="130"/>
      <c r="G1196" s="131"/>
      <c r="H1196" s="130"/>
      <c r="I1196" s="132"/>
      <c r="J1196" s="133"/>
      <c r="K1196" s="134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</row>
    <row r="1197" ht="12.0" customHeight="1">
      <c r="A1197" s="25"/>
      <c r="B1197" s="126"/>
      <c r="C1197" s="127"/>
      <c r="D1197" s="128"/>
      <c r="E1197" s="129"/>
      <c r="F1197" s="130"/>
      <c r="G1197" s="131"/>
      <c r="H1197" s="130"/>
      <c r="I1197" s="132"/>
      <c r="J1197" s="133"/>
      <c r="K1197" s="134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</row>
    <row r="1198" ht="12.0" customHeight="1">
      <c r="A1198" s="25"/>
      <c r="B1198" s="126"/>
      <c r="C1198" s="127"/>
      <c r="D1198" s="128"/>
      <c r="E1198" s="129"/>
      <c r="F1198" s="130"/>
      <c r="G1198" s="131"/>
      <c r="H1198" s="130"/>
      <c r="I1198" s="132"/>
      <c r="J1198" s="133"/>
      <c r="K1198" s="134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</row>
    <row r="1199" ht="12.0" customHeight="1">
      <c r="A1199" s="25"/>
      <c r="B1199" s="126"/>
      <c r="C1199" s="127"/>
      <c r="D1199" s="128"/>
      <c r="E1199" s="129"/>
      <c r="F1199" s="130"/>
      <c r="G1199" s="131"/>
      <c r="H1199" s="130"/>
      <c r="I1199" s="132"/>
      <c r="J1199" s="133"/>
      <c r="K1199" s="134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</row>
    <row r="1200" ht="12.0" customHeight="1">
      <c r="A1200" s="25"/>
      <c r="B1200" s="126"/>
      <c r="C1200" s="127"/>
      <c r="D1200" s="128"/>
      <c r="E1200" s="129"/>
      <c r="F1200" s="130"/>
      <c r="G1200" s="131"/>
      <c r="H1200" s="130"/>
      <c r="I1200" s="132"/>
      <c r="J1200" s="133"/>
      <c r="K1200" s="134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</row>
    <row r="1201" ht="12.0" customHeight="1">
      <c r="A1201" s="25"/>
      <c r="B1201" s="126"/>
      <c r="C1201" s="127"/>
      <c r="D1201" s="128"/>
      <c r="E1201" s="129"/>
      <c r="F1201" s="130"/>
      <c r="G1201" s="131"/>
      <c r="H1201" s="130"/>
      <c r="I1201" s="132"/>
      <c r="J1201" s="133"/>
      <c r="K1201" s="134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</row>
    <row r="1202" ht="12.0" customHeight="1">
      <c r="A1202" s="25"/>
      <c r="B1202" s="126"/>
      <c r="C1202" s="127"/>
      <c r="D1202" s="128"/>
      <c r="E1202" s="129"/>
      <c r="F1202" s="130"/>
      <c r="G1202" s="131"/>
      <c r="H1202" s="130"/>
      <c r="I1202" s="132"/>
      <c r="J1202" s="133"/>
      <c r="K1202" s="134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</row>
    <row r="1203" ht="12.0" customHeight="1">
      <c r="A1203" s="25"/>
      <c r="B1203" s="126"/>
      <c r="C1203" s="127"/>
      <c r="D1203" s="128"/>
      <c r="E1203" s="129"/>
      <c r="F1203" s="130"/>
      <c r="G1203" s="131"/>
      <c r="H1203" s="130"/>
      <c r="I1203" s="132"/>
      <c r="J1203" s="133"/>
      <c r="K1203" s="134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</row>
    <row r="1204" ht="12.0" customHeight="1">
      <c r="A1204" s="25"/>
      <c r="B1204" s="126"/>
      <c r="C1204" s="127"/>
      <c r="D1204" s="128"/>
      <c r="E1204" s="129"/>
      <c r="F1204" s="130"/>
      <c r="G1204" s="131"/>
      <c r="H1204" s="130"/>
      <c r="I1204" s="132"/>
      <c r="J1204" s="133"/>
      <c r="K1204" s="134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</row>
    <row r="1205" ht="12.0" customHeight="1">
      <c r="A1205" s="25"/>
      <c r="B1205" s="126"/>
      <c r="C1205" s="127"/>
      <c r="D1205" s="128"/>
      <c r="E1205" s="129"/>
      <c r="F1205" s="130"/>
      <c r="G1205" s="131"/>
      <c r="H1205" s="130"/>
      <c r="I1205" s="132"/>
      <c r="J1205" s="133"/>
      <c r="K1205" s="134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</row>
    <row r="1206" ht="12.0" customHeight="1">
      <c r="A1206" s="25"/>
      <c r="B1206" s="126"/>
      <c r="C1206" s="127"/>
      <c r="D1206" s="128"/>
      <c r="E1206" s="129"/>
      <c r="F1206" s="130"/>
      <c r="G1206" s="131"/>
      <c r="H1206" s="130"/>
      <c r="I1206" s="132"/>
      <c r="J1206" s="133"/>
      <c r="K1206" s="134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</row>
    <row r="1207" ht="12.0" customHeight="1">
      <c r="A1207" s="25"/>
      <c r="B1207" s="126"/>
      <c r="C1207" s="127"/>
      <c r="D1207" s="128"/>
      <c r="E1207" s="129"/>
      <c r="F1207" s="130"/>
      <c r="G1207" s="131"/>
      <c r="H1207" s="130"/>
      <c r="I1207" s="132"/>
      <c r="J1207" s="133"/>
      <c r="K1207" s="134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</row>
    <row r="1208" ht="12.0" customHeight="1">
      <c r="A1208" s="25"/>
      <c r="B1208" s="126"/>
      <c r="C1208" s="127"/>
      <c r="D1208" s="128"/>
      <c r="E1208" s="129"/>
      <c r="F1208" s="130"/>
      <c r="G1208" s="131"/>
      <c r="H1208" s="130"/>
      <c r="I1208" s="132"/>
      <c r="J1208" s="133"/>
      <c r="K1208" s="134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</row>
    <row r="1209" ht="12.0" customHeight="1">
      <c r="A1209" s="25"/>
      <c r="B1209" s="126"/>
      <c r="C1209" s="127"/>
      <c r="D1209" s="128"/>
      <c r="E1209" s="129"/>
      <c r="F1209" s="130"/>
      <c r="G1209" s="131"/>
      <c r="H1209" s="130"/>
      <c r="I1209" s="132"/>
      <c r="J1209" s="133"/>
      <c r="K1209" s="134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</row>
    <row r="1210" ht="12.0" customHeight="1">
      <c r="A1210" s="25"/>
      <c r="B1210" s="126"/>
      <c r="C1210" s="127"/>
      <c r="D1210" s="128"/>
      <c r="E1210" s="129"/>
      <c r="F1210" s="130"/>
      <c r="G1210" s="131"/>
      <c r="H1210" s="130"/>
      <c r="I1210" s="132"/>
      <c r="J1210" s="133"/>
      <c r="K1210" s="134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</row>
    <row r="1211" ht="12.0" customHeight="1">
      <c r="A1211" s="25"/>
      <c r="B1211" s="126"/>
      <c r="C1211" s="127"/>
      <c r="D1211" s="128"/>
      <c r="E1211" s="129"/>
      <c r="F1211" s="130"/>
      <c r="G1211" s="131"/>
      <c r="H1211" s="130"/>
      <c r="I1211" s="132"/>
      <c r="J1211" s="133"/>
      <c r="K1211" s="134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</row>
    <row r="1212" ht="12.0" customHeight="1">
      <c r="A1212" s="25"/>
      <c r="B1212" s="126"/>
      <c r="C1212" s="127"/>
      <c r="D1212" s="128"/>
      <c r="E1212" s="129"/>
      <c r="F1212" s="130"/>
      <c r="G1212" s="131"/>
      <c r="H1212" s="130"/>
      <c r="I1212" s="132"/>
      <c r="J1212" s="133"/>
      <c r="K1212" s="134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</row>
    <row r="1213" ht="12.0" customHeight="1">
      <c r="A1213" s="25"/>
      <c r="B1213" s="126"/>
      <c r="C1213" s="127"/>
      <c r="D1213" s="128"/>
      <c r="E1213" s="129"/>
      <c r="F1213" s="130"/>
      <c r="G1213" s="131"/>
      <c r="H1213" s="130"/>
      <c r="I1213" s="132"/>
      <c r="J1213" s="133"/>
      <c r="K1213" s="134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</row>
    <row r="1214" ht="12.0" customHeight="1">
      <c r="A1214" s="25"/>
      <c r="B1214" s="126"/>
      <c r="C1214" s="127"/>
      <c r="D1214" s="128"/>
      <c r="E1214" s="129"/>
      <c r="F1214" s="130"/>
      <c r="G1214" s="131"/>
      <c r="H1214" s="130"/>
      <c r="I1214" s="132"/>
      <c r="J1214" s="133"/>
      <c r="K1214" s="134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</row>
    <row r="1215" ht="12.0" customHeight="1">
      <c r="A1215" s="25"/>
      <c r="B1215" s="126"/>
      <c r="C1215" s="127"/>
      <c r="D1215" s="128"/>
      <c r="E1215" s="129"/>
      <c r="F1215" s="130"/>
      <c r="G1215" s="131"/>
      <c r="H1215" s="130"/>
      <c r="I1215" s="132"/>
      <c r="J1215" s="133"/>
      <c r="K1215" s="134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</row>
    <row r="1216" ht="12.0" customHeight="1">
      <c r="A1216" s="25"/>
      <c r="B1216" s="126"/>
      <c r="C1216" s="127"/>
      <c r="D1216" s="128"/>
      <c r="E1216" s="129"/>
      <c r="F1216" s="130"/>
      <c r="G1216" s="131"/>
      <c r="H1216" s="130"/>
      <c r="I1216" s="132"/>
      <c r="J1216" s="133"/>
      <c r="K1216" s="134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</row>
    <row r="1217" ht="12.0" customHeight="1">
      <c r="A1217" s="25"/>
      <c r="B1217" s="126"/>
      <c r="C1217" s="127"/>
      <c r="D1217" s="128"/>
      <c r="E1217" s="129"/>
      <c r="F1217" s="130"/>
      <c r="G1217" s="131"/>
      <c r="H1217" s="130"/>
      <c r="I1217" s="132"/>
      <c r="J1217" s="133"/>
      <c r="K1217" s="134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</row>
    <row r="1218" ht="12.0" customHeight="1">
      <c r="A1218" s="25"/>
      <c r="B1218" s="126"/>
      <c r="C1218" s="127"/>
      <c r="D1218" s="128"/>
      <c r="E1218" s="129"/>
      <c r="F1218" s="130"/>
      <c r="G1218" s="131"/>
      <c r="H1218" s="130"/>
      <c r="I1218" s="132"/>
      <c r="J1218" s="133"/>
      <c r="K1218" s="134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</row>
    <row r="1219" ht="12.0" customHeight="1">
      <c r="A1219" s="25"/>
      <c r="B1219" s="126"/>
      <c r="C1219" s="127"/>
      <c r="D1219" s="128"/>
      <c r="E1219" s="129"/>
      <c r="F1219" s="130"/>
      <c r="G1219" s="131"/>
      <c r="H1219" s="130"/>
      <c r="I1219" s="132"/>
      <c r="J1219" s="133"/>
      <c r="K1219" s="134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</row>
    <row r="1220" ht="12.0" customHeight="1">
      <c r="A1220" s="25"/>
      <c r="B1220" s="126"/>
      <c r="C1220" s="127"/>
      <c r="D1220" s="128"/>
      <c r="E1220" s="129"/>
      <c r="F1220" s="130"/>
      <c r="G1220" s="131"/>
      <c r="H1220" s="130"/>
      <c r="I1220" s="132"/>
      <c r="J1220" s="133"/>
      <c r="K1220" s="134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</row>
    <row r="1221" ht="12.0" customHeight="1">
      <c r="A1221" s="25"/>
      <c r="B1221" s="126"/>
      <c r="C1221" s="127"/>
      <c r="D1221" s="128"/>
      <c r="E1221" s="129"/>
      <c r="F1221" s="130"/>
      <c r="G1221" s="131"/>
      <c r="H1221" s="130"/>
      <c r="I1221" s="132"/>
      <c r="J1221" s="133"/>
      <c r="K1221" s="134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</row>
    <row r="1222" ht="12.0" customHeight="1">
      <c r="A1222" s="25"/>
      <c r="B1222" s="126"/>
      <c r="C1222" s="127"/>
      <c r="D1222" s="128"/>
      <c r="E1222" s="129"/>
      <c r="F1222" s="130"/>
      <c r="G1222" s="131"/>
      <c r="H1222" s="130"/>
      <c r="I1222" s="132"/>
      <c r="J1222" s="133"/>
      <c r="K1222" s="134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</row>
    <row r="1223" ht="12.0" customHeight="1">
      <c r="A1223" s="25"/>
      <c r="B1223" s="126"/>
      <c r="C1223" s="127"/>
      <c r="D1223" s="128"/>
      <c r="E1223" s="129"/>
      <c r="F1223" s="130"/>
      <c r="G1223" s="131"/>
      <c r="H1223" s="130"/>
      <c r="I1223" s="132"/>
      <c r="J1223" s="133"/>
      <c r="K1223" s="134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</row>
    <row r="1224" ht="12.0" customHeight="1">
      <c r="A1224" s="25"/>
      <c r="B1224" s="126"/>
      <c r="C1224" s="127"/>
      <c r="D1224" s="128"/>
      <c r="E1224" s="129"/>
      <c r="F1224" s="130"/>
      <c r="G1224" s="131"/>
      <c r="H1224" s="130"/>
      <c r="I1224" s="132"/>
      <c r="J1224" s="133"/>
      <c r="K1224" s="134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</row>
    <row r="1225" ht="12.0" customHeight="1">
      <c r="A1225" s="25"/>
      <c r="B1225" s="126"/>
      <c r="C1225" s="127"/>
      <c r="D1225" s="128"/>
      <c r="E1225" s="129"/>
      <c r="F1225" s="130"/>
      <c r="G1225" s="131"/>
      <c r="H1225" s="130"/>
      <c r="I1225" s="132"/>
      <c r="J1225" s="133"/>
      <c r="K1225" s="134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</row>
    <row r="1226" ht="12.0" customHeight="1">
      <c r="A1226" s="25"/>
      <c r="B1226" s="126"/>
      <c r="C1226" s="127"/>
      <c r="D1226" s="128"/>
      <c r="E1226" s="129"/>
      <c r="F1226" s="130"/>
      <c r="G1226" s="131"/>
      <c r="H1226" s="130"/>
      <c r="I1226" s="132"/>
      <c r="J1226" s="133"/>
      <c r="K1226" s="134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</row>
    <row r="1227" ht="12.0" customHeight="1">
      <c r="A1227" s="25"/>
      <c r="B1227" s="126"/>
      <c r="C1227" s="127"/>
      <c r="D1227" s="128"/>
      <c r="E1227" s="129"/>
      <c r="F1227" s="130"/>
      <c r="G1227" s="131"/>
      <c r="H1227" s="130"/>
      <c r="I1227" s="132"/>
      <c r="J1227" s="133"/>
      <c r="K1227" s="134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</row>
    <row r="1228" ht="12.0" customHeight="1">
      <c r="A1228" s="25"/>
      <c r="B1228" s="126"/>
      <c r="C1228" s="127"/>
      <c r="D1228" s="128"/>
      <c r="E1228" s="129"/>
      <c r="F1228" s="130"/>
      <c r="G1228" s="131"/>
      <c r="H1228" s="130"/>
      <c r="I1228" s="132"/>
      <c r="J1228" s="133"/>
      <c r="K1228" s="134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</row>
    <row r="1229" ht="12.0" customHeight="1">
      <c r="A1229" s="25"/>
      <c r="B1229" s="126"/>
      <c r="C1229" s="127"/>
      <c r="D1229" s="128"/>
      <c r="E1229" s="129"/>
      <c r="F1229" s="130"/>
      <c r="G1229" s="131"/>
      <c r="H1229" s="130"/>
      <c r="I1229" s="132"/>
      <c r="J1229" s="133"/>
      <c r="K1229" s="134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</row>
    <row r="1230" ht="12.0" customHeight="1">
      <c r="A1230" s="25"/>
      <c r="B1230" s="126"/>
      <c r="C1230" s="127"/>
      <c r="D1230" s="128"/>
      <c r="E1230" s="129"/>
      <c r="F1230" s="130"/>
      <c r="G1230" s="131"/>
      <c r="H1230" s="130"/>
      <c r="I1230" s="132"/>
      <c r="J1230" s="133"/>
      <c r="K1230" s="134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</row>
    <row r="1231" ht="12.0" customHeight="1">
      <c r="A1231" s="25"/>
      <c r="B1231" s="126"/>
      <c r="C1231" s="127"/>
      <c r="D1231" s="128"/>
      <c r="E1231" s="129"/>
      <c r="F1231" s="130"/>
      <c r="G1231" s="131"/>
      <c r="H1231" s="130"/>
      <c r="I1231" s="132"/>
      <c r="J1231" s="133"/>
      <c r="K1231" s="134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</row>
    <row r="1232" ht="12.0" customHeight="1">
      <c r="A1232" s="25"/>
      <c r="B1232" s="126"/>
      <c r="C1232" s="127"/>
      <c r="D1232" s="128"/>
      <c r="E1232" s="129"/>
      <c r="F1232" s="130"/>
      <c r="G1232" s="131"/>
      <c r="H1232" s="130"/>
      <c r="I1232" s="132"/>
      <c r="J1232" s="133"/>
      <c r="K1232" s="134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</row>
    <row r="1233" ht="12.0" customHeight="1">
      <c r="A1233" s="25"/>
      <c r="B1233" s="126"/>
      <c r="C1233" s="127"/>
      <c r="D1233" s="128"/>
      <c r="E1233" s="129"/>
      <c r="F1233" s="130"/>
      <c r="G1233" s="131"/>
      <c r="H1233" s="130"/>
      <c r="I1233" s="132"/>
      <c r="J1233" s="133"/>
      <c r="K1233" s="134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</row>
    <row r="1234" ht="12.0" customHeight="1">
      <c r="A1234" s="25"/>
      <c r="B1234" s="126"/>
      <c r="C1234" s="127"/>
      <c r="D1234" s="128"/>
      <c r="E1234" s="129"/>
      <c r="F1234" s="130"/>
      <c r="G1234" s="131"/>
      <c r="H1234" s="130"/>
      <c r="I1234" s="132"/>
      <c r="J1234" s="133"/>
      <c r="K1234" s="134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</row>
    <row r="1235" ht="12.0" customHeight="1">
      <c r="A1235" s="25"/>
      <c r="B1235" s="126"/>
      <c r="C1235" s="127"/>
      <c r="D1235" s="128"/>
      <c r="E1235" s="129"/>
      <c r="F1235" s="130"/>
      <c r="G1235" s="131"/>
      <c r="H1235" s="130"/>
      <c r="I1235" s="132"/>
      <c r="J1235" s="133"/>
      <c r="K1235" s="134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</row>
    <row r="1236" ht="12.0" customHeight="1">
      <c r="A1236" s="25"/>
      <c r="B1236" s="126"/>
      <c r="C1236" s="127"/>
      <c r="D1236" s="128"/>
      <c r="E1236" s="129"/>
      <c r="F1236" s="130"/>
      <c r="G1236" s="131"/>
      <c r="H1236" s="130"/>
      <c r="I1236" s="132"/>
      <c r="J1236" s="133"/>
      <c r="K1236" s="134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</row>
    <row r="1237" ht="12.0" customHeight="1">
      <c r="A1237" s="25"/>
      <c r="B1237" s="126"/>
      <c r="C1237" s="127"/>
      <c r="D1237" s="128"/>
      <c r="E1237" s="129"/>
      <c r="F1237" s="130"/>
      <c r="G1237" s="131"/>
      <c r="H1237" s="130"/>
      <c r="I1237" s="132"/>
      <c r="J1237" s="133"/>
      <c r="K1237" s="134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</row>
    <row r="1238" ht="12.0" customHeight="1">
      <c r="A1238" s="25"/>
      <c r="B1238" s="126"/>
      <c r="C1238" s="127"/>
      <c r="D1238" s="128"/>
      <c r="E1238" s="129"/>
      <c r="F1238" s="130"/>
      <c r="G1238" s="131"/>
      <c r="H1238" s="130"/>
      <c r="I1238" s="132"/>
      <c r="J1238" s="133"/>
      <c r="K1238" s="134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</row>
    <row r="1239" ht="12.0" customHeight="1">
      <c r="A1239" s="25"/>
      <c r="B1239" s="126"/>
      <c r="C1239" s="127"/>
      <c r="D1239" s="128"/>
      <c r="E1239" s="129"/>
      <c r="F1239" s="130"/>
      <c r="G1239" s="131"/>
      <c r="H1239" s="130"/>
      <c r="I1239" s="132"/>
      <c r="J1239" s="133"/>
      <c r="K1239" s="134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</row>
    <row r="1240" ht="12.0" customHeight="1">
      <c r="A1240" s="25"/>
      <c r="B1240" s="126"/>
      <c r="C1240" s="127"/>
      <c r="D1240" s="128"/>
      <c r="E1240" s="129"/>
      <c r="F1240" s="130"/>
      <c r="G1240" s="131"/>
      <c r="H1240" s="130"/>
      <c r="I1240" s="132"/>
      <c r="J1240" s="133"/>
      <c r="K1240" s="134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</row>
    <row r="1241" ht="12.0" customHeight="1">
      <c r="A1241" s="25"/>
      <c r="B1241" s="126"/>
      <c r="C1241" s="127"/>
      <c r="D1241" s="128"/>
      <c r="E1241" s="129"/>
      <c r="F1241" s="130"/>
      <c r="G1241" s="131"/>
      <c r="H1241" s="130"/>
      <c r="I1241" s="132"/>
      <c r="J1241" s="133"/>
      <c r="K1241" s="134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</row>
    <row r="1242" ht="12.0" customHeight="1">
      <c r="A1242" s="25"/>
      <c r="B1242" s="126"/>
      <c r="C1242" s="127"/>
      <c r="D1242" s="128"/>
      <c r="E1242" s="129"/>
      <c r="F1242" s="130"/>
      <c r="G1242" s="131"/>
      <c r="H1242" s="130"/>
      <c r="I1242" s="132"/>
      <c r="J1242" s="133"/>
      <c r="K1242" s="134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</row>
    <row r="1243" ht="12.0" customHeight="1">
      <c r="A1243" s="25"/>
      <c r="B1243" s="126"/>
      <c r="C1243" s="127"/>
      <c r="D1243" s="128"/>
      <c r="E1243" s="129"/>
      <c r="F1243" s="130"/>
      <c r="G1243" s="131"/>
      <c r="H1243" s="130"/>
      <c r="I1243" s="132"/>
      <c r="J1243" s="133"/>
      <c r="K1243" s="134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</row>
    <row r="1244" ht="12.0" customHeight="1">
      <c r="A1244" s="25"/>
      <c r="B1244" s="126"/>
      <c r="C1244" s="127"/>
      <c r="D1244" s="128"/>
      <c r="E1244" s="129"/>
      <c r="F1244" s="130"/>
      <c r="G1244" s="131"/>
      <c r="H1244" s="130"/>
      <c r="I1244" s="132"/>
      <c r="J1244" s="133"/>
      <c r="K1244" s="134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</row>
    <row r="1245" ht="12.0" customHeight="1">
      <c r="A1245" s="25"/>
      <c r="B1245" s="126"/>
      <c r="C1245" s="127"/>
      <c r="D1245" s="128"/>
      <c r="E1245" s="129"/>
      <c r="F1245" s="130"/>
      <c r="G1245" s="131"/>
      <c r="H1245" s="130"/>
      <c r="I1245" s="132"/>
      <c r="J1245" s="133"/>
      <c r="K1245" s="134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</row>
    <row r="1246" ht="12.0" customHeight="1">
      <c r="A1246" s="25"/>
      <c r="B1246" s="126"/>
      <c r="C1246" s="127"/>
      <c r="D1246" s="128"/>
      <c r="E1246" s="129"/>
      <c r="F1246" s="130"/>
      <c r="G1246" s="131"/>
      <c r="H1246" s="130"/>
      <c r="I1246" s="132"/>
      <c r="J1246" s="133"/>
      <c r="K1246" s="134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</row>
    <row r="1247" ht="12.0" customHeight="1">
      <c r="A1247" s="25"/>
      <c r="B1247" s="126"/>
      <c r="C1247" s="127"/>
      <c r="D1247" s="128"/>
      <c r="E1247" s="129"/>
      <c r="F1247" s="130"/>
      <c r="G1247" s="131"/>
      <c r="H1247" s="130"/>
      <c r="I1247" s="132"/>
      <c r="J1247" s="133"/>
      <c r="K1247" s="134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</row>
    <row r="1248" ht="12.0" customHeight="1">
      <c r="A1248" s="25"/>
      <c r="B1248" s="126"/>
      <c r="C1248" s="127"/>
      <c r="D1248" s="128"/>
      <c r="E1248" s="129"/>
      <c r="F1248" s="130"/>
      <c r="G1248" s="131"/>
      <c r="H1248" s="130"/>
      <c r="I1248" s="132"/>
      <c r="J1248" s="133"/>
      <c r="K1248" s="134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</row>
    <row r="1249" ht="12.0" customHeight="1">
      <c r="A1249" s="25"/>
      <c r="B1249" s="126"/>
      <c r="C1249" s="127"/>
      <c r="D1249" s="128"/>
      <c r="E1249" s="129"/>
      <c r="F1249" s="130"/>
      <c r="G1249" s="131"/>
      <c r="H1249" s="130"/>
      <c r="I1249" s="132"/>
      <c r="J1249" s="133"/>
      <c r="K1249" s="134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</row>
    <row r="1250" ht="12.0" customHeight="1">
      <c r="A1250" s="25"/>
      <c r="B1250" s="126"/>
      <c r="C1250" s="127"/>
      <c r="D1250" s="128"/>
      <c r="E1250" s="129"/>
      <c r="F1250" s="130"/>
      <c r="G1250" s="131"/>
      <c r="H1250" s="130"/>
      <c r="I1250" s="132"/>
      <c r="J1250" s="133"/>
      <c r="K1250" s="134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</row>
    <row r="1251" ht="12.0" customHeight="1">
      <c r="A1251" s="25"/>
      <c r="B1251" s="126"/>
      <c r="C1251" s="127"/>
      <c r="D1251" s="128"/>
      <c r="E1251" s="129"/>
      <c r="F1251" s="130"/>
      <c r="G1251" s="131"/>
      <c r="H1251" s="130"/>
      <c r="I1251" s="132"/>
      <c r="J1251" s="133"/>
      <c r="K1251" s="134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</row>
    <row r="1252" ht="12.0" customHeight="1">
      <c r="A1252" s="25"/>
      <c r="B1252" s="126"/>
      <c r="C1252" s="127"/>
      <c r="D1252" s="128"/>
      <c r="E1252" s="129"/>
      <c r="F1252" s="130"/>
      <c r="G1252" s="131"/>
      <c r="H1252" s="130"/>
      <c r="I1252" s="132"/>
      <c r="J1252" s="133"/>
      <c r="K1252" s="134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</row>
    <row r="1253" ht="12.0" customHeight="1">
      <c r="A1253" s="25"/>
      <c r="B1253" s="126"/>
      <c r="C1253" s="127"/>
      <c r="D1253" s="128"/>
      <c r="E1253" s="129"/>
      <c r="F1253" s="130"/>
      <c r="G1253" s="131"/>
      <c r="H1253" s="130"/>
      <c r="I1253" s="132"/>
      <c r="J1253" s="133"/>
      <c r="K1253" s="134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</row>
    <row r="1254" ht="12.0" customHeight="1">
      <c r="A1254" s="25"/>
      <c r="B1254" s="126"/>
      <c r="C1254" s="127"/>
      <c r="D1254" s="128"/>
      <c r="E1254" s="129"/>
      <c r="F1254" s="130"/>
      <c r="G1254" s="131"/>
      <c r="H1254" s="130"/>
      <c r="I1254" s="132"/>
      <c r="J1254" s="133"/>
      <c r="K1254" s="134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</row>
    <row r="1255" ht="12.0" customHeight="1">
      <c r="A1255" s="25"/>
      <c r="B1255" s="126"/>
      <c r="C1255" s="127"/>
      <c r="D1255" s="128"/>
      <c r="E1255" s="129"/>
      <c r="F1255" s="130"/>
      <c r="G1255" s="131"/>
      <c r="H1255" s="130"/>
      <c r="I1255" s="132"/>
      <c r="J1255" s="133"/>
      <c r="K1255" s="134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</row>
    <row r="1256" ht="12.0" customHeight="1">
      <c r="A1256" s="25"/>
      <c r="B1256" s="126"/>
      <c r="C1256" s="127"/>
      <c r="D1256" s="128"/>
      <c r="E1256" s="129"/>
      <c r="F1256" s="130"/>
      <c r="G1256" s="131"/>
      <c r="H1256" s="130"/>
      <c r="I1256" s="132"/>
      <c r="J1256" s="133"/>
      <c r="K1256" s="134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</row>
    <row r="1257" ht="12.0" customHeight="1">
      <c r="A1257" s="25"/>
      <c r="B1257" s="126"/>
      <c r="C1257" s="127"/>
      <c r="D1257" s="128"/>
      <c r="E1257" s="129"/>
      <c r="F1257" s="130"/>
      <c r="G1257" s="131"/>
      <c r="H1257" s="130"/>
      <c r="I1257" s="132"/>
      <c r="J1257" s="133"/>
      <c r="K1257" s="134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</row>
    <row r="1258" ht="12.0" customHeight="1">
      <c r="A1258" s="25"/>
      <c r="B1258" s="126"/>
      <c r="C1258" s="127"/>
      <c r="D1258" s="128"/>
      <c r="E1258" s="129"/>
      <c r="F1258" s="130"/>
      <c r="G1258" s="131"/>
      <c r="H1258" s="130"/>
      <c r="I1258" s="132"/>
      <c r="J1258" s="133"/>
      <c r="K1258" s="134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</row>
    <row r="1259" ht="12.0" customHeight="1">
      <c r="A1259" s="25"/>
      <c r="B1259" s="126"/>
      <c r="C1259" s="127"/>
      <c r="D1259" s="128"/>
      <c r="E1259" s="129"/>
      <c r="F1259" s="130"/>
      <c r="G1259" s="131"/>
      <c r="H1259" s="130"/>
      <c r="I1259" s="132"/>
      <c r="J1259" s="133"/>
      <c r="K1259" s="134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</row>
    <row r="1260" ht="12.0" customHeight="1">
      <c r="A1260" s="25"/>
      <c r="B1260" s="126"/>
      <c r="C1260" s="127"/>
      <c r="D1260" s="128"/>
      <c r="E1260" s="129"/>
      <c r="F1260" s="130"/>
      <c r="G1260" s="131"/>
      <c r="H1260" s="130"/>
      <c r="I1260" s="132"/>
      <c r="J1260" s="133"/>
      <c r="K1260" s="134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</row>
    <row r="1261" ht="12.0" customHeight="1">
      <c r="A1261" s="25"/>
      <c r="B1261" s="126"/>
      <c r="C1261" s="127"/>
      <c r="D1261" s="128"/>
      <c r="E1261" s="129"/>
      <c r="F1261" s="130"/>
      <c r="G1261" s="131"/>
      <c r="H1261" s="130"/>
      <c r="I1261" s="132"/>
      <c r="J1261" s="133"/>
      <c r="K1261" s="134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</row>
    <row r="1262" ht="12.0" customHeight="1">
      <c r="A1262" s="25"/>
      <c r="B1262" s="126"/>
      <c r="C1262" s="127"/>
      <c r="D1262" s="128"/>
      <c r="E1262" s="129"/>
      <c r="F1262" s="130"/>
      <c r="G1262" s="131"/>
      <c r="H1262" s="130"/>
      <c r="I1262" s="132"/>
      <c r="J1262" s="133"/>
      <c r="K1262" s="134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</row>
    <row r="1263" ht="12.0" customHeight="1">
      <c r="A1263" s="25"/>
      <c r="B1263" s="126"/>
      <c r="C1263" s="127"/>
      <c r="D1263" s="128"/>
      <c r="E1263" s="129"/>
      <c r="F1263" s="130"/>
      <c r="G1263" s="131"/>
      <c r="H1263" s="130"/>
      <c r="I1263" s="132"/>
      <c r="J1263" s="133"/>
      <c r="K1263" s="134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</row>
    <row r="1264" ht="12.0" customHeight="1">
      <c r="A1264" s="25"/>
      <c r="B1264" s="126"/>
      <c r="C1264" s="127"/>
      <c r="D1264" s="128"/>
      <c r="E1264" s="129"/>
      <c r="F1264" s="130"/>
      <c r="G1264" s="131"/>
      <c r="H1264" s="130"/>
      <c r="I1264" s="132"/>
      <c r="J1264" s="133"/>
      <c r="K1264" s="134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</row>
    <row r="1265" ht="12.0" customHeight="1">
      <c r="A1265" s="25"/>
      <c r="B1265" s="126"/>
      <c r="C1265" s="127"/>
      <c r="D1265" s="128"/>
      <c r="E1265" s="129"/>
      <c r="F1265" s="130"/>
      <c r="G1265" s="131"/>
      <c r="H1265" s="130"/>
      <c r="I1265" s="132"/>
      <c r="J1265" s="133"/>
      <c r="K1265" s="134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</row>
    <row r="1266" ht="12.0" customHeight="1">
      <c r="A1266" s="25"/>
      <c r="B1266" s="126"/>
      <c r="C1266" s="127"/>
      <c r="D1266" s="128"/>
      <c r="E1266" s="129"/>
      <c r="F1266" s="130"/>
      <c r="G1266" s="131"/>
      <c r="H1266" s="130"/>
      <c r="I1266" s="132"/>
      <c r="J1266" s="133"/>
      <c r="K1266" s="134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</row>
    <row r="1267" ht="12.0" customHeight="1">
      <c r="A1267" s="25"/>
      <c r="B1267" s="126"/>
      <c r="C1267" s="127"/>
      <c r="D1267" s="128"/>
      <c r="E1267" s="129"/>
      <c r="F1267" s="130"/>
      <c r="G1267" s="131"/>
      <c r="H1267" s="130"/>
      <c r="I1267" s="132"/>
      <c r="J1267" s="133"/>
      <c r="K1267" s="134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</row>
    <row r="1268" ht="12.0" customHeight="1">
      <c r="A1268" s="25"/>
      <c r="B1268" s="126"/>
      <c r="C1268" s="127"/>
      <c r="D1268" s="128"/>
      <c r="E1268" s="129"/>
      <c r="F1268" s="130"/>
      <c r="G1268" s="131"/>
      <c r="H1268" s="130"/>
      <c r="I1268" s="132"/>
      <c r="J1268" s="133"/>
      <c r="K1268" s="134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</row>
    <row r="1269" ht="12.0" customHeight="1">
      <c r="A1269" s="25"/>
      <c r="B1269" s="126"/>
      <c r="C1269" s="127"/>
      <c r="D1269" s="128"/>
      <c r="E1269" s="129"/>
      <c r="F1269" s="130"/>
      <c r="G1269" s="131"/>
      <c r="H1269" s="130"/>
      <c r="I1269" s="132"/>
      <c r="J1269" s="133"/>
      <c r="K1269" s="134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</row>
    <row r="1270" ht="12.0" customHeight="1">
      <c r="A1270" s="25"/>
      <c r="B1270" s="126"/>
      <c r="C1270" s="127"/>
      <c r="D1270" s="128"/>
      <c r="E1270" s="129"/>
      <c r="F1270" s="130"/>
      <c r="G1270" s="131"/>
      <c r="H1270" s="130"/>
      <c r="I1270" s="132"/>
      <c r="J1270" s="133"/>
      <c r="K1270" s="134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</row>
    <row r="1271" ht="12.0" customHeight="1">
      <c r="A1271" s="25"/>
      <c r="B1271" s="126"/>
      <c r="C1271" s="127"/>
      <c r="D1271" s="128"/>
      <c r="E1271" s="129"/>
      <c r="F1271" s="130"/>
      <c r="G1271" s="131"/>
      <c r="H1271" s="130"/>
      <c r="I1271" s="132"/>
      <c r="J1271" s="133"/>
      <c r="K1271" s="134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</row>
    <row r="1272" ht="12.0" customHeight="1">
      <c r="A1272" s="25"/>
      <c r="B1272" s="126"/>
      <c r="C1272" s="127"/>
      <c r="D1272" s="128"/>
      <c r="E1272" s="129"/>
      <c r="F1272" s="130"/>
      <c r="G1272" s="131"/>
      <c r="H1272" s="130"/>
      <c r="I1272" s="132"/>
      <c r="J1272" s="133"/>
      <c r="K1272" s="134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</row>
    <row r="1273" ht="12.0" customHeight="1">
      <c r="A1273" s="25"/>
      <c r="B1273" s="126"/>
      <c r="C1273" s="127"/>
      <c r="D1273" s="128"/>
      <c r="E1273" s="129"/>
      <c r="F1273" s="130"/>
      <c r="G1273" s="131"/>
      <c r="H1273" s="130"/>
      <c r="I1273" s="132"/>
      <c r="J1273" s="133"/>
      <c r="K1273" s="134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</row>
    <row r="1274" ht="12.0" customHeight="1">
      <c r="A1274" s="25"/>
      <c r="B1274" s="126"/>
      <c r="C1274" s="127"/>
      <c r="D1274" s="128"/>
      <c r="E1274" s="129"/>
      <c r="F1274" s="130"/>
      <c r="G1274" s="131"/>
      <c r="H1274" s="130"/>
      <c r="I1274" s="132"/>
      <c r="J1274" s="133"/>
      <c r="K1274" s="134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</row>
    <row r="1275" ht="12.0" customHeight="1">
      <c r="A1275" s="25"/>
      <c r="B1275" s="126"/>
      <c r="C1275" s="127"/>
      <c r="D1275" s="128"/>
      <c r="E1275" s="129"/>
      <c r="F1275" s="130"/>
      <c r="G1275" s="131"/>
      <c r="H1275" s="130"/>
      <c r="I1275" s="132"/>
      <c r="J1275" s="133"/>
      <c r="K1275" s="134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</row>
    <row r="1276" ht="12.0" customHeight="1">
      <c r="A1276" s="25"/>
      <c r="B1276" s="126"/>
      <c r="C1276" s="127"/>
      <c r="D1276" s="128"/>
      <c r="E1276" s="129"/>
      <c r="F1276" s="130"/>
      <c r="G1276" s="131"/>
      <c r="H1276" s="130"/>
      <c r="I1276" s="132"/>
      <c r="J1276" s="133"/>
      <c r="K1276" s="134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</row>
    <row r="1277" ht="12.0" customHeight="1">
      <c r="A1277" s="25"/>
      <c r="B1277" s="126"/>
      <c r="C1277" s="127"/>
      <c r="D1277" s="128"/>
      <c r="E1277" s="129"/>
      <c r="F1277" s="130"/>
      <c r="G1277" s="131"/>
      <c r="H1277" s="130"/>
      <c r="I1277" s="132"/>
      <c r="J1277" s="133"/>
      <c r="K1277" s="134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</row>
    <row r="1278" ht="12.0" customHeight="1">
      <c r="A1278" s="25"/>
      <c r="B1278" s="126"/>
      <c r="C1278" s="127"/>
      <c r="D1278" s="128"/>
      <c r="E1278" s="129"/>
      <c r="F1278" s="130"/>
      <c r="G1278" s="131"/>
      <c r="H1278" s="130"/>
      <c r="I1278" s="132"/>
      <c r="J1278" s="133"/>
      <c r="K1278" s="134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</row>
    <row r="1279" ht="12.0" customHeight="1">
      <c r="A1279" s="25"/>
      <c r="B1279" s="126"/>
      <c r="C1279" s="127"/>
      <c r="D1279" s="128"/>
      <c r="E1279" s="129"/>
      <c r="F1279" s="130"/>
      <c r="G1279" s="131"/>
      <c r="H1279" s="130"/>
      <c r="I1279" s="132"/>
      <c r="J1279" s="133"/>
      <c r="K1279" s="134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</row>
    <row r="1280" ht="12.0" customHeight="1">
      <c r="A1280" s="25"/>
      <c r="B1280" s="126"/>
      <c r="C1280" s="127"/>
      <c r="D1280" s="128"/>
      <c r="E1280" s="129"/>
      <c r="F1280" s="130"/>
      <c r="G1280" s="131"/>
      <c r="H1280" s="130"/>
      <c r="I1280" s="132"/>
      <c r="J1280" s="133"/>
      <c r="K1280" s="134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</row>
    <row r="1281" ht="12.0" customHeight="1">
      <c r="A1281" s="25"/>
      <c r="B1281" s="126"/>
      <c r="C1281" s="127"/>
      <c r="D1281" s="128"/>
      <c r="E1281" s="129"/>
      <c r="F1281" s="130"/>
      <c r="G1281" s="131"/>
      <c r="H1281" s="130"/>
      <c r="I1281" s="132"/>
      <c r="J1281" s="133"/>
      <c r="K1281" s="134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</row>
    <row r="1282" ht="12.0" customHeight="1">
      <c r="A1282" s="25"/>
      <c r="B1282" s="126"/>
      <c r="C1282" s="127"/>
      <c r="D1282" s="128"/>
      <c r="E1282" s="129"/>
      <c r="F1282" s="130"/>
      <c r="G1282" s="131"/>
      <c r="H1282" s="130"/>
      <c r="I1282" s="132"/>
      <c r="J1282" s="133"/>
      <c r="K1282" s="134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</row>
    <row r="1283" ht="12.0" customHeight="1">
      <c r="A1283" s="25"/>
      <c r="B1283" s="126"/>
      <c r="C1283" s="127"/>
      <c r="D1283" s="128"/>
      <c r="E1283" s="129"/>
      <c r="F1283" s="130"/>
      <c r="G1283" s="131"/>
      <c r="H1283" s="130"/>
      <c r="I1283" s="132"/>
      <c r="J1283" s="133"/>
      <c r="K1283" s="134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</row>
    <row r="1284" ht="12.0" customHeight="1">
      <c r="A1284" s="25"/>
      <c r="B1284" s="126"/>
      <c r="C1284" s="127"/>
      <c r="D1284" s="128"/>
      <c r="E1284" s="129"/>
      <c r="F1284" s="130"/>
      <c r="G1284" s="131"/>
      <c r="H1284" s="130"/>
      <c r="I1284" s="132"/>
      <c r="J1284" s="133"/>
      <c r="K1284" s="134"/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/>
    </row>
    <row r="1285" ht="12.0" customHeight="1">
      <c r="A1285" s="25"/>
      <c r="B1285" s="126"/>
      <c r="C1285" s="127"/>
      <c r="D1285" s="128"/>
      <c r="E1285" s="129"/>
      <c r="F1285" s="130"/>
      <c r="G1285" s="131"/>
      <c r="H1285" s="130"/>
      <c r="I1285" s="132"/>
      <c r="J1285" s="133"/>
      <c r="K1285" s="134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</row>
    <row r="1286" ht="12.0" customHeight="1">
      <c r="A1286" s="25"/>
      <c r="B1286" s="126"/>
      <c r="C1286" s="127"/>
      <c r="D1286" s="128"/>
      <c r="E1286" s="129"/>
      <c r="F1286" s="130"/>
      <c r="G1286" s="131"/>
      <c r="H1286" s="130"/>
      <c r="I1286" s="132"/>
      <c r="J1286" s="133"/>
      <c r="K1286" s="134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/>
    </row>
    <row r="1287" ht="12.0" customHeight="1">
      <c r="A1287" s="25"/>
      <c r="B1287" s="126"/>
      <c r="C1287" s="127"/>
      <c r="D1287" s="128"/>
      <c r="E1287" s="129"/>
      <c r="F1287" s="130"/>
      <c r="G1287" s="131"/>
      <c r="H1287" s="130"/>
      <c r="I1287" s="132"/>
      <c r="J1287" s="133"/>
      <c r="K1287" s="134"/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</row>
    <row r="1288" ht="12.0" customHeight="1">
      <c r="A1288" s="25"/>
      <c r="B1288" s="126"/>
      <c r="C1288" s="127"/>
      <c r="D1288" s="128"/>
      <c r="E1288" s="129"/>
      <c r="F1288" s="130"/>
      <c r="G1288" s="131"/>
      <c r="H1288" s="130"/>
      <c r="I1288" s="132"/>
      <c r="J1288" s="133"/>
      <c r="K1288" s="134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</row>
    <row r="1289" ht="12.0" customHeight="1">
      <c r="A1289" s="25"/>
      <c r="B1289" s="126"/>
      <c r="C1289" s="127"/>
      <c r="D1289" s="128"/>
      <c r="E1289" s="129"/>
      <c r="F1289" s="130"/>
      <c r="G1289" s="131"/>
      <c r="H1289" s="130"/>
      <c r="I1289" s="132"/>
      <c r="J1289" s="133"/>
      <c r="K1289" s="134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</row>
    <row r="1290" ht="12.0" customHeight="1">
      <c r="A1290" s="25"/>
      <c r="B1290" s="126"/>
      <c r="C1290" s="127"/>
      <c r="D1290" s="128"/>
      <c r="E1290" s="129"/>
      <c r="F1290" s="130"/>
      <c r="G1290" s="131"/>
      <c r="H1290" s="130"/>
      <c r="I1290" s="132"/>
      <c r="J1290" s="133"/>
      <c r="K1290" s="134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</row>
    <row r="1291" ht="12.0" customHeight="1">
      <c r="A1291" s="25"/>
      <c r="B1291" s="126"/>
      <c r="C1291" s="127"/>
      <c r="D1291" s="128"/>
      <c r="E1291" s="129"/>
      <c r="F1291" s="130"/>
      <c r="G1291" s="131"/>
      <c r="H1291" s="130"/>
      <c r="I1291" s="132"/>
      <c r="J1291" s="133"/>
      <c r="K1291" s="134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</row>
    <row r="1292" ht="12.0" customHeight="1">
      <c r="A1292" s="25"/>
      <c r="B1292" s="126"/>
      <c r="C1292" s="127"/>
      <c r="D1292" s="128"/>
      <c r="E1292" s="129"/>
      <c r="F1292" s="130"/>
      <c r="G1292" s="131"/>
      <c r="H1292" s="130"/>
      <c r="I1292" s="132"/>
      <c r="J1292" s="133"/>
      <c r="K1292" s="134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</row>
    <row r="1293" ht="12.0" customHeight="1">
      <c r="A1293" s="25"/>
      <c r="B1293" s="126"/>
      <c r="C1293" s="127"/>
      <c r="D1293" s="128"/>
      <c r="E1293" s="129"/>
      <c r="F1293" s="130"/>
      <c r="G1293" s="131"/>
      <c r="H1293" s="130"/>
      <c r="I1293" s="132"/>
      <c r="J1293" s="133"/>
      <c r="K1293" s="134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</row>
    <row r="1294" ht="12.0" customHeight="1">
      <c r="A1294" s="25"/>
      <c r="B1294" s="126"/>
      <c r="C1294" s="127"/>
      <c r="D1294" s="128"/>
      <c r="E1294" s="129"/>
      <c r="F1294" s="130"/>
      <c r="G1294" s="131"/>
      <c r="H1294" s="130"/>
      <c r="I1294" s="132"/>
      <c r="J1294" s="133"/>
      <c r="K1294" s="134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</row>
    <row r="1295" ht="12.0" customHeight="1">
      <c r="A1295" s="25"/>
      <c r="B1295" s="126"/>
      <c r="C1295" s="127"/>
      <c r="D1295" s="128"/>
      <c r="E1295" s="129"/>
      <c r="F1295" s="130"/>
      <c r="G1295" s="131"/>
      <c r="H1295" s="130"/>
      <c r="I1295" s="132"/>
      <c r="J1295" s="133"/>
      <c r="K1295" s="134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/>
    </row>
    <row r="1296" ht="12.0" customHeight="1">
      <c r="A1296" s="25"/>
      <c r="B1296" s="126"/>
      <c r="C1296" s="127"/>
      <c r="D1296" s="128"/>
      <c r="E1296" s="129"/>
      <c r="F1296" s="130"/>
      <c r="G1296" s="131"/>
      <c r="H1296" s="130"/>
      <c r="I1296" s="132"/>
      <c r="J1296" s="133"/>
      <c r="K1296" s="134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</row>
    <row r="1297" ht="12.0" customHeight="1">
      <c r="A1297" s="25"/>
      <c r="B1297" s="126"/>
      <c r="C1297" s="127"/>
      <c r="D1297" s="128"/>
      <c r="E1297" s="129"/>
      <c r="F1297" s="130"/>
      <c r="G1297" s="131"/>
      <c r="H1297" s="130"/>
      <c r="I1297" s="132"/>
      <c r="J1297" s="133"/>
      <c r="K1297" s="134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</row>
    <row r="1298" ht="12.0" customHeight="1">
      <c r="A1298" s="25"/>
      <c r="B1298" s="126"/>
      <c r="C1298" s="127"/>
      <c r="D1298" s="128"/>
      <c r="E1298" s="129"/>
      <c r="F1298" s="130"/>
      <c r="G1298" s="131"/>
      <c r="H1298" s="130"/>
      <c r="I1298" s="132"/>
      <c r="J1298" s="133"/>
      <c r="K1298" s="134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</row>
    <row r="1299" ht="12.0" customHeight="1">
      <c r="A1299" s="25"/>
      <c r="B1299" s="126"/>
      <c r="C1299" s="127"/>
      <c r="D1299" s="128"/>
      <c r="E1299" s="129"/>
      <c r="F1299" s="130"/>
      <c r="G1299" s="131"/>
      <c r="H1299" s="130"/>
      <c r="I1299" s="132"/>
      <c r="J1299" s="133"/>
      <c r="K1299" s="134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</row>
    <row r="1300" ht="12.0" customHeight="1">
      <c r="A1300" s="25"/>
      <c r="B1300" s="126"/>
      <c r="C1300" s="127"/>
      <c r="D1300" s="128"/>
      <c r="E1300" s="129"/>
      <c r="F1300" s="130"/>
      <c r="G1300" s="131"/>
      <c r="H1300" s="130"/>
      <c r="I1300" s="132"/>
      <c r="J1300" s="133"/>
      <c r="K1300" s="134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</row>
    <row r="1301" ht="12.0" customHeight="1">
      <c r="A1301" s="25"/>
      <c r="B1301" s="126"/>
      <c r="C1301" s="127"/>
      <c r="D1301" s="128"/>
      <c r="E1301" s="129"/>
      <c r="F1301" s="130"/>
      <c r="G1301" s="131"/>
      <c r="H1301" s="130"/>
      <c r="I1301" s="132"/>
      <c r="J1301" s="133"/>
      <c r="K1301" s="134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</row>
    <row r="1302" ht="12.0" customHeight="1">
      <c r="A1302" s="25"/>
      <c r="B1302" s="126"/>
      <c r="C1302" s="127"/>
      <c r="D1302" s="128"/>
      <c r="E1302" s="129"/>
      <c r="F1302" s="130"/>
      <c r="G1302" s="131"/>
      <c r="H1302" s="130"/>
      <c r="I1302" s="132"/>
      <c r="J1302" s="133"/>
      <c r="K1302" s="134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</row>
    <row r="1303" ht="12.0" customHeight="1">
      <c r="A1303" s="25"/>
      <c r="B1303" s="126"/>
      <c r="C1303" s="127"/>
      <c r="D1303" s="128"/>
      <c r="E1303" s="129"/>
      <c r="F1303" s="130"/>
      <c r="G1303" s="131"/>
      <c r="H1303" s="130"/>
      <c r="I1303" s="132"/>
      <c r="J1303" s="133"/>
      <c r="K1303" s="134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</row>
    <row r="1304" ht="12.0" customHeight="1">
      <c r="A1304" s="25"/>
      <c r="B1304" s="126"/>
      <c r="C1304" s="127"/>
      <c r="D1304" s="128"/>
      <c r="E1304" s="129"/>
      <c r="F1304" s="130"/>
      <c r="G1304" s="131"/>
      <c r="H1304" s="130"/>
      <c r="I1304" s="132"/>
      <c r="J1304" s="133"/>
      <c r="K1304" s="134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</row>
    <row r="1305" ht="12.0" customHeight="1">
      <c r="A1305" s="25"/>
      <c r="B1305" s="126"/>
      <c r="C1305" s="127"/>
      <c r="D1305" s="128"/>
      <c r="E1305" s="129"/>
      <c r="F1305" s="130"/>
      <c r="G1305" s="131"/>
      <c r="H1305" s="130"/>
      <c r="I1305" s="132"/>
      <c r="J1305" s="133"/>
      <c r="K1305" s="134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</row>
    <row r="1306" ht="12.0" customHeight="1">
      <c r="A1306" s="25"/>
      <c r="B1306" s="126"/>
      <c r="C1306" s="127"/>
      <c r="D1306" s="128"/>
      <c r="E1306" s="129"/>
      <c r="F1306" s="130"/>
      <c r="G1306" s="131"/>
      <c r="H1306" s="130"/>
      <c r="I1306" s="132"/>
      <c r="J1306" s="133"/>
      <c r="K1306" s="134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</row>
    <row r="1307" ht="12.0" customHeight="1">
      <c r="A1307" s="25"/>
      <c r="B1307" s="126"/>
      <c r="C1307" s="127"/>
      <c r="D1307" s="128"/>
      <c r="E1307" s="129"/>
      <c r="F1307" s="130"/>
      <c r="G1307" s="131"/>
      <c r="H1307" s="130"/>
      <c r="I1307" s="132"/>
      <c r="J1307" s="133"/>
      <c r="K1307" s="134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</row>
    <row r="1308" ht="12.0" customHeight="1">
      <c r="A1308" s="25"/>
      <c r="B1308" s="126"/>
      <c r="C1308" s="127"/>
      <c r="D1308" s="128"/>
      <c r="E1308" s="129"/>
      <c r="F1308" s="130"/>
      <c r="G1308" s="131"/>
      <c r="H1308" s="130"/>
      <c r="I1308" s="132"/>
      <c r="J1308" s="133"/>
      <c r="K1308" s="134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</row>
    <row r="1309" ht="12.0" customHeight="1">
      <c r="A1309" s="25"/>
      <c r="B1309" s="126"/>
      <c r="C1309" s="127"/>
      <c r="D1309" s="128"/>
      <c r="E1309" s="129"/>
      <c r="F1309" s="130"/>
      <c r="G1309" s="131"/>
      <c r="H1309" s="130"/>
      <c r="I1309" s="132"/>
      <c r="J1309" s="133"/>
      <c r="K1309" s="134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</row>
    <row r="1310" ht="12.0" customHeight="1">
      <c r="A1310" s="25"/>
      <c r="B1310" s="126"/>
      <c r="C1310" s="127"/>
      <c r="D1310" s="128"/>
      <c r="E1310" s="129"/>
      <c r="F1310" s="130"/>
      <c r="G1310" s="131"/>
      <c r="H1310" s="130"/>
      <c r="I1310" s="132"/>
      <c r="J1310" s="133"/>
      <c r="K1310" s="134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</row>
    <row r="1311" ht="12.0" customHeight="1">
      <c r="A1311" s="25"/>
      <c r="B1311" s="126"/>
      <c r="C1311" s="127"/>
      <c r="D1311" s="128"/>
      <c r="E1311" s="129"/>
      <c r="F1311" s="130"/>
      <c r="G1311" s="131"/>
      <c r="H1311" s="130"/>
      <c r="I1311" s="132"/>
      <c r="J1311" s="133"/>
      <c r="K1311" s="134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</row>
    <row r="1312" ht="12.0" customHeight="1">
      <c r="A1312" s="25"/>
      <c r="B1312" s="126"/>
      <c r="C1312" s="127"/>
      <c r="D1312" s="128"/>
      <c r="E1312" s="129"/>
      <c r="F1312" s="130"/>
      <c r="G1312" s="131"/>
      <c r="H1312" s="130"/>
      <c r="I1312" s="132"/>
      <c r="J1312" s="133"/>
      <c r="K1312" s="134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</row>
    <row r="1313" ht="12.0" customHeight="1">
      <c r="A1313" s="25"/>
      <c r="B1313" s="126"/>
      <c r="C1313" s="127"/>
      <c r="D1313" s="128"/>
      <c r="E1313" s="129"/>
      <c r="F1313" s="130"/>
      <c r="G1313" s="131"/>
      <c r="H1313" s="130"/>
      <c r="I1313" s="132"/>
      <c r="J1313" s="133"/>
      <c r="K1313" s="134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</row>
    <row r="1314" ht="12.0" customHeight="1">
      <c r="A1314" s="25"/>
      <c r="B1314" s="126"/>
      <c r="C1314" s="127"/>
      <c r="D1314" s="128"/>
      <c r="E1314" s="129"/>
      <c r="F1314" s="130"/>
      <c r="G1314" s="131"/>
      <c r="H1314" s="130"/>
      <c r="I1314" s="132"/>
      <c r="J1314" s="133"/>
      <c r="K1314" s="134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</row>
    <row r="1315" ht="12.0" customHeight="1">
      <c r="A1315" s="25"/>
      <c r="B1315" s="126"/>
      <c r="C1315" s="127"/>
      <c r="D1315" s="128"/>
      <c r="E1315" s="129"/>
      <c r="F1315" s="130"/>
      <c r="G1315" s="131"/>
      <c r="H1315" s="130"/>
      <c r="I1315" s="132"/>
      <c r="J1315" s="133"/>
      <c r="K1315" s="134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</row>
    <row r="1316" ht="12.0" customHeight="1">
      <c r="A1316" s="25"/>
      <c r="B1316" s="126"/>
      <c r="C1316" s="127"/>
      <c r="D1316" s="128"/>
      <c r="E1316" s="129"/>
      <c r="F1316" s="130"/>
      <c r="G1316" s="131"/>
      <c r="H1316" s="130"/>
      <c r="I1316" s="132"/>
      <c r="J1316" s="133"/>
      <c r="K1316" s="134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</row>
    <row r="1317" ht="12.0" customHeight="1">
      <c r="A1317" s="25"/>
      <c r="B1317" s="126"/>
      <c r="C1317" s="127"/>
      <c r="D1317" s="128"/>
      <c r="E1317" s="129"/>
      <c r="F1317" s="130"/>
      <c r="G1317" s="131"/>
      <c r="H1317" s="130"/>
      <c r="I1317" s="132"/>
      <c r="J1317" s="133"/>
      <c r="K1317" s="134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</row>
    <row r="1318" ht="12.0" customHeight="1">
      <c r="A1318" s="25"/>
      <c r="B1318" s="126"/>
      <c r="C1318" s="127"/>
      <c r="D1318" s="128"/>
      <c r="E1318" s="129"/>
      <c r="F1318" s="130"/>
      <c r="G1318" s="131"/>
      <c r="H1318" s="130"/>
      <c r="I1318" s="132"/>
      <c r="J1318" s="133"/>
      <c r="K1318" s="134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</row>
    <row r="1319" ht="12.0" customHeight="1">
      <c r="A1319" s="25"/>
      <c r="B1319" s="126"/>
      <c r="C1319" s="127"/>
      <c r="D1319" s="128"/>
      <c r="E1319" s="129"/>
      <c r="F1319" s="130"/>
      <c r="G1319" s="131"/>
      <c r="H1319" s="130"/>
      <c r="I1319" s="132"/>
      <c r="J1319" s="133"/>
      <c r="K1319" s="134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</row>
    <row r="1320" ht="12.0" customHeight="1">
      <c r="A1320" s="25"/>
      <c r="B1320" s="126"/>
      <c r="C1320" s="127"/>
      <c r="D1320" s="128"/>
      <c r="E1320" s="129"/>
      <c r="F1320" s="130"/>
      <c r="G1320" s="131"/>
      <c r="H1320" s="130"/>
      <c r="I1320" s="132"/>
      <c r="J1320" s="133"/>
      <c r="K1320" s="134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</row>
    <row r="1321" ht="12.0" customHeight="1">
      <c r="A1321" s="25"/>
      <c r="B1321" s="126"/>
      <c r="C1321" s="127"/>
      <c r="D1321" s="128"/>
      <c r="E1321" s="129"/>
      <c r="F1321" s="130"/>
      <c r="G1321" s="131"/>
      <c r="H1321" s="130"/>
      <c r="I1321" s="132"/>
      <c r="J1321" s="133"/>
      <c r="K1321" s="134"/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</row>
    <row r="1322" ht="12.0" customHeight="1">
      <c r="A1322" s="25"/>
      <c r="B1322" s="126"/>
      <c r="C1322" s="127"/>
      <c r="D1322" s="128"/>
      <c r="E1322" s="129"/>
      <c r="F1322" s="130"/>
      <c r="G1322" s="131"/>
      <c r="H1322" s="130"/>
      <c r="I1322" s="132"/>
      <c r="J1322" s="133"/>
      <c r="K1322" s="134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</row>
    <row r="1323" ht="12.0" customHeight="1">
      <c r="A1323" s="25"/>
      <c r="B1323" s="126"/>
      <c r="C1323" s="127"/>
      <c r="D1323" s="128"/>
      <c r="E1323" s="129"/>
      <c r="F1323" s="130"/>
      <c r="G1323" s="131"/>
      <c r="H1323" s="130"/>
      <c r="I1323" s="132"/>
      <c r="J1323" s="133"/>
      <c r="K1323" s="134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</row>
    <row r="1324" ht="12.0" customHeight="1">
      <c r="A1324" s="25"/>
      <c r="B1324" s="126"/>
      <c r="C1324" s="127"/>
      <c r="D1324" s="128"/>
      <c r="E1324" s="129"/>
      <c r="F1324" s="130"/>
      <c r="G1324" s="131"/>
      <c r="H1324" s="130"/>
      <c r="I1324" s="132"/>
      <c r="J1324" s="133"/>
      <c r="K1324" s="134"/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</row>
    <row r="1325" ht="12.0" customHeight="1">
      <c r="A1325" s="25"/>
      <c r="B1325" s="126"/>
      <c r="C1325" s="127"/>
      <c r="D1325" s="128"/>
      <c r="E1325" s="129"/>
      <c r="F1325" s="130"/>
      <c r="G1325" s="131"/>
      <c r="H1325" s="130"/>
      <c r="I1325" s="132"/>
      <c r="J1325" s="133"/>
      <c r="K1325" s="134"/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</row>
    <row r="1326" ht="12.0" customHeight="1">
      <c r="A1326" s="25"/>
      <c r="B1326" s="126"/>
      <c r="C1326" s="127"/>
      <c r="D1326" s="128"/>
      <c r="E1326" s="129"/>
      <c r="F1326" s="130"/>
      <c r="G1326" s="131"/>
      <c r="H1326" s="130"/>
      <c r="I1326" s="132"/>
      <c r="J1326" s="133"/>
      <c r="K1326" s="134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</row>
    <row r="1327" ht="12.0" customHeight="1">
      <c r="A1327" s="25"/>
      <c r="B1327" s="126"/>
      <c r="C1327" s="127"/>
      <c r="D1327" s="128"/>
      <c r="E1327" s="129"/>
      <c r="F1327" s="130"/>
      <c r="G1327" s="131"/>
      <c r="H1327" s="130"/>
      <c r="I1327" s="132"/>
      <c r="J1327" s="133"/>
      <c r="K1327" s="134"/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</row>
    <row r="1328" ht="12.0" customHeight="1">
      <c r="A1328" s="25"/>
      <c r="B1328" s="126"/>
      <c r="C1328" s="127"/>
      <c r="D1328" s="128"/>
      <c r="E1328" s="129"/>
      <c r="F1328" s="130"/>
      <c r="G1328" s="131"/>
      <c r="H1328" s="130"/>
      <c r="I1328" s="132"/>
      <c r="J1328" s="133"/>
      <c r="K1328" s="134"/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</row>
    <row r="1329" ht="12.0" customHeight="1">
      <c r="A1329" s="25"/>
      <c r="B1329" s="126"/>
      <c r="C1329" s="127"/>
      <c r="D1329" s="128"/>
      <c r="E1329" s="129"/>
      <c r="F1329" s="130"/>
      <c r="G1329" s="131"/>
      <c r="H1329" s="130"/>
      <c r="I1329" s="132"/>
      <c r="J1329" s="133"/>
      <c r="K1329" s="134"/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</row>
    <row r="1330" ht="12.0" customHeight="1">
      <c r="A1330" s="25"/>
      <c r="B1330" s="126"/>
      <c r="C1330" s="127"/>
      <c r="D1330" s="128"/>
      <c r="E1330" s="129"/>
      <c r="F1330" s="130"/>
      <c r="G1330" s="131"/>
      <c r="H1330" s="130"/>
      <c r="I1330" s="132"/>
      <c r="J1330" s="133"/>
      <c r="K1330" s="134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</row>
    <row r="1331" ht="12.0" customHeight="1">
      <c r="A1331" s="25"/>
      <c r="B1331" s="126"/>
      <c r="C1331" s="127"/>
      <c r="D1331" s="128"/>
      <c r="E1331" s="129"/>
      <c r="F1331" s="130"/>
      <c r="G1331" s="131"/>
      <c r="H1331" s="130"/>
      <c r="I1331" s="132"/>
      <c r="J1331" s="133"/>
      <c r="K1331" s="134"/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</row>
    <row r="1332" ht="12.0" customHeight="1">
      <c r="A1332" s="25"/>
      <c r="B1332" s="126"/>
      <c r="C1332" s="127"/>
      <c r="D1332" s="128"/>
      <c r="E1332" s="129"/>
      <c r="F1332" s="130"/>
      <c r="G1332" s="131"/>
      <c r="H1332" s="130"/>
      <c r="I1332" s="132"/>
      <c r="J1332" s="133"/>
      <c r="K1332" s="134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</row>
    <row r="1333" ht="12.0" customHeight="1">
      <c r="A1333" s="25"/>
      <c r="B1333" s="126"/>
      <c r="C1333" s="127"/>
      <c r="D1333" s="128"/>
      <c r="E1333" s="129"/>
      <c r="F1333" s="130"/>
      <c r="G1333" s="131"/>
      <c r="H1333" s="130"/>
      <c r="I1333" s="132"/>
      <c r="J1333" s="133"/>
      <c r="K1333" s="134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</row>
    <row r="1334" ht="12.0" customHeight="1">
      <c r="A1334" s="25"/>
      <c r="B1334" s="126"/>
      <c r="C1334" s="127"/>
      <c r="D1334" s="128"/>
      <c r="E1334" s="129"/>
      <c r="F1334" s="130"/>
      <c r="G1334" s="131"/>
      <c r="H1334" s="130"/>
      <c r="I1334" s="132"/>
      <c r="J1334" s="133"/>
      <c r="K1334" s="134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</row>
    <row r="1335" ht="12.0" customHeight="1">
      <c r="A1335" s="25"/>
      <c r="B1335" s="126"/>
      <c r="C1335" s="127"/>
      <c r="D1335" s="128"/>
      <c r="E1335" s="129"/>
      <c r="F1335" s="130"/>
      <c r="G1335" s="131"/>
      <c r="H1335" s="130"/>
      <c r="I1335" s="132"/>
      <c r="J1335" s="133"/>
      <c r="K1335" s="134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</row>
    <row r="1336" ht="12.0" customHeight="1">
      <c r="A1336" s="25"/>
      <c r="B1336" s="126"/>
      <c r="C1336" s="127"/>
      <c r="D1336" s="128"/>
      <c r="E1336" s="129"/>
      <c r="F1336" s="130"/>
      <c r="G1336" s="131"/>
      <c r="H1336" s="130"/>
      <c r="I1336" s="132"/>
      <c r="J1336" s="133"/>
      <c r="K1336" s="134"/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</row>
    <row r="1337" ht="12.0" customHeight="1">
      <c r="A1337" s="25"/>
      <c r="B1337" s="126"/>
      <c r="C1337" s="127"/>
      <c r="D1337" s="128"/>
      <c r="E1337" s="129"/>
      <c r="F1337" s="130"/>
      <c r="G1337" s="131"/>
      <c r="H1337" s="130"/>
      <c r="I1337" s="132"/>
      <c r="J1337" s="133"/>
      <c r="K1337" s="134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</row>
    <row r="1338" ht="12.0" customHeight="1">
      <c r="A1338" s="25"/>
      <c r="B1338" s="126"/>
      <c r="C1338" s="127"/>
      <c r="D1338" s="128"/>
      <c r="E1338" s="129"/>
      <c r="F1338" s="130"/>
      <c r="G1338" s="131"/>
      <c r="H1338" s="130"/>
      <c r="I1338" s="132"/>
      <c r="J1338" s="133"/>
      <c r="K1338" s="134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</row>
    <row r="1339" ht="12.0" customHeight="1">
      <c r="A1339" s="25"/>
      <c r="B1339" s="126"/>
      <c r="C1339" s="127"/>
      <c r="D1339" s="128"/>
      <c r="E1339" s="129"/>
      <c r="F1339" s="130"/>
      <c r="G1339" s="131"/>
      <c r="H1339" s="130"/>
      <c r="I1339" s="132"/>
      <c r="J1339" s="133"/>
      <c r="K1339" s="134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</row>
    <row r="1340" ht="12.0" customHeight="1">
      <c r="A1340" s="25"/>
      <c r="B1340" s="126"/>
      <c r="C1340" s="127"/>
      <c r="D1340" s="128"/>
      <c r="E1340" s="129"/>
      <c r="F1340" s="130"/>
      <c r="G1340" s="131"/>
      <c r="H1340" s="130"/>
      <c r="I1340" s="132"/>
      <c r="J1340" s="133"/>
      <c r="K1340" s="134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</row>
    <row r="1341" ht="12.0" customHeight="1">
      <c r="A1341" s="25"/>
      <c r="B1341" s="126"/>
      <c r="C1341" s="127"/>
      <c r="D1341" s="128"/>
      <c r="E1341" s="129"/>
      <c r="F1341" s="130"/>
      <c r="G1341" s="131"/>
      <c r="H1341" s="130"/>
      <c r="I1341" s="132"/>
      <c r="J1341" s="133"/>
      <c r="K1341" s="134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</row>
    <row r="1342" ht="12.0" customHeight="1">
      <c r="A1342" s="25"/>
      <c r="B1342" s="126"/>
      <c r="C1342" s="127"/>
      <c r="D1342" s="128"/>
      <c r="E1342" s="129"/>
      <c r="F1342" s="130"/>
      <c r="G1342" s="131"/>
      <c r="H1342" s="130"/>
      <c r="I1342" s="132"/>
      <c r="J1342" s="133"/>
      <c r="K1342" s="134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</row>
    <row r="1343" ht="12.0" customHeight="1">
      <c r="A1343" s="25"/>
      <c r="B1343" s="126"/>
      <c r="C1343" s="127"/>
      <c r="D1343" s="128"/>
      <c r="E1343" s="129"/>
      <c r="F1343" s="130"/>
      <c r="G1343" s="131"/>
      <c r="H1343" s="130"/>
      <c r="I1343" s="132"/>
      <c r="J1343" s="133"/>
      <c r="K1343" s="134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</row>
    <row r="1344" ht="12.0" customHeight="1">
      <c r="A1344" s="25"/>
      <c r="B1344" s="126"/>
      <c r="C1344" s="127"/>
      <c r="D1344" s="128"/>
      <c r="E1344" s="129"/>
      <c r="F1344" s="130"/>
      <c r="G1344" s="131"/>
      <c r="H1344" s="130"/>
      <c r="I1344" s="132"/>
      <c r="J1344" s="133"/>
      <c r="K1344" s="134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</row>
    <row r="1345" ht="12.0" customHeight="1">
      <c r="A1345" s="25"/>
      <c r="B1345" s="126"/>
      <c r="C1345" s="127"/>
      <c r="D1345" s="128"/>
      <c r="E1345" s="129"/>
      <c r="F1345" s="130"/>
      <c r="G1345" s="131"/>
      <c r="H1345" s="130"/>
      <c r="I1345" s="132"/>
      <c r="J1345" s="133"/>
      <c r="K1345" s="134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</row>
    <row r="1346" ht="12.0" customHeight="1">
      <c r="A1346" s="25"/>
      <c r="B1346" s="126"/>
      <c r="C1346" s="127"/>
      <c r="D1346" s="128"/>
      <c r="E1346" s="129"/>
      <c r="F1346" s="130"/>
      <c r="G1346" s="131"/>
      <c r="H1346" s="130"/>
      <c r="I1346" s="132"/>
      <c r="J1346" s="133"/>
      <c r="K1346" s="134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</row>
    <row r="1347" ht="12.0" customHeight="1">
      <c r="A1347" s="25"/>
      <c r="B1347" s="126"/>
      <c r="C1347" s="127"/>
      <c r="D1347" s="128"/>
      <c r="E1347" s="129"/>
      <c r="F1347" s="130"/>
      <c r="G1347" s="131"/>
      <c r="H1347" s="130"/>
      <c r="I1347" s="132"/>
      <c r="J1347" s="133"/>
      <c r="K1347" s="134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</row>
    <row r="1348" ht="12.0" customHeight="1">
      <c r="A1348" s="25"/>
      <c r="B1348" s="126"/>
      <c r="C1348" s="127"/>
      <c r="D1348" s="128"/>
      <c r="E1348" s="129"/>
      <c r="F1348" s="130"/>
      <c r="G1348" s="131"/>
      <c r="H1348" s="130"/>
      <c r="I1348" s="132"/>
      <c r="J1348" s="133"/>
      <c r="K1348" s="134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</row>
    <row r="1349" ht="12.0" customHeight="1">
      <c r="A1349" s="25"/>
      <c r="B1349" s="126"/>
      <c r="C1349" s="127"/>
      <c r="D1349" s="128"/>
      <c r="E1349" s="129"/>
      <c r="F1349" s="130"/>
      <c r="G1349" s="131"/>
      <c r="H1349" s="130"/>
      <c r="I1349" s="132"/>
      <c r="J1349" s="133"/>
      <c r="K1349" s="134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</row>
    <row r="1350" ht="12.0" customHeight="1">
      <c r="A1350" s="25"/>
      <c r="B1350" s="126"/>
      <c r="C1350" s="127"/>
      <c r="D1350" s="128"/>
      <c r="E1350" s="129"/>
      <c r="F1350" s="130"/>
      <c r="G1350" s="131"/>
      <c r="H1350" s="130"/>
      <c r="I1350" s="132"/>
      <c r="J1350" s="133"/>
      <c r="K1350" s="134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</row>
    <row r="1351" ht="12.0" customHeight="1">
      <c r="A1351" s="25"/>
      <c r="B1351" s="126"/>
      <c r="C1351" s="127"/>
      <c r="D1351" s="128"/>
      <c r="E1351" s="129"/>
      <c r="F1351" s="130"/>
      <c r="G1351" s="131"/>
      <c r="H1351" s="130"/>
      <c r="I1351" s="132"/>
      <c r="J1351" s="133"/>
      <c r="K1351" s="134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</row>
    <row r="1352" ht="12.0" customHeight="1">
      <c r="A1352" s="25"/>
      <c r="B1352" s="126"/>
      <c r="C1352" s="127"/>
      <c r="D1352" s="128"/>
      <c r="E1352" s="129"/>
      <c r="F1352" s="130"/>
      <c r="G1352" s="131"/>
      <c r="H1352" s="130"/>
      <c r="I1352" s="132"/>
      <c r="J1352" s="133"/>
      <c r="K1352" s="134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</row>
    <row r="1353" ht="12.0" customHeight="1">
      <c r="A1353" s="25"/>
      <c r="B1353" s="126"/>
      <c r="C1353" s="127"/>
      <c r="D1353" s="128"/>
      <c r="E1353" s="129"/>
      <c r="F1353" s="130"/>
      <c r="G1353" s="131"/>
      <c r="H1353" s="130"/>
      <c r="I1353" s="132"/>
      <c r="J1353" s="133"/>
      <c r="K1353" s="134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</row>
    <row r="1354" ht="12.0" customHeight="1">
      <c r="A1354" s="25"/>
      <c r="B1354" s="126"/>
      <c r="C1354" s="127"/>
      <c r="D1354" s="128"/>
      <c r="E1354" s="129"/>
      <c r="F1354" s="130"/>
      <c r="G1354" s="131"/>
      <c r="H1354" s="130"/>
      <c r="I1354" s="132"/>
      <c r="J1354" s="133"/>
      <c r="K1354" s="134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</row>
    <row r="1355" ht="12.0" customHeight="1">
      <c r="A1355" s="25"/>
      <c r="B1355" s="126"/>
      <c r="C1355" s="127"/>
      <c r="D1355" s="128"/>
      <c r="E1355" s="129"/>
      <c r="F1355" s="130"/>
      <c r="G1355" s="131"/>
      <c r="H1355" s="130"/>
      <c r="I1355" s="132"/>
      <c r="J1355" s="133"/>
      <c r="K1355" s="134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</row>
    <row r="1356" ht="12.0" customHeight="1">
      <c r="A1356" s="25"/>
      <c r="B1356" s="126"/>
      <c r="C1356" s="127"/>
      <c r="D1356" s="128"/>
      <c r="E1356" s="129"/>
      <c r="F1356" s="130"/>
      <c r="G1356" s="131"/>
      <c r="H1356" s="130"/>
      <c r="I1356" s="132"/>
      <c r="J1356" s="133"/>
      <c r="K1356" s="134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</row>
    <row r="1357" ht="12.0" customHeight="1">
      <c r="A1357" s="25"/>
      <c r="B1357" s="126"/>
      <c r="C1357" s="127"/>
      <c r="D1357" s="128"/>
      <c r="E1357" s="129"/>
      <c r="F1357" s="130"/>
      <c r="G1357" s="131"/>
      <c r="H1357" s="130"/>
      <c r="I1357" s="132"/>
      <c r="J1357" s="133"/>
      <c r="K1357" s="134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</row>
    <row r="1358" ht="12.0" customHeight="1">
      <c r="A1358" s="25"/>
      <c r="B1358" s="126"/>
      <c r="C1358" s="127"/>
      <c r="D1358" s="128"/>
      <c r="E1358" s="129"/>
      <c r="F1358" s="130"/>
      <c r="G1358" s="131"/>
      <c r="H1358" s="130"/>
      <c r="I1358" s="132"/>
      <c r="J1358" s="133"/>
      <c r="K1358" s="134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</row>
    <row r="1359" ht="12.0" customHeight="1">
      <c r="A1359" s="25"/>
      <c r="B1359" s="126"/>
      <c r="C1359" s="127"/>
      <c r="D1359" s="128"/>
      <c r="E1359" s="129"/>
      <c r="F1359" s="130"/>
      <c r="G1359" s="131"/>
      <c r="H1359" s="130"/>
      <c r="I1359" s="132"/>
      <c r="J1359" s="133"/>
      <c r="K1359" s="134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</row>
    <row r="1360" ht="12.0" customHeight="1">
      <c r="A1360" s="25"/>
      <c r="B1360" s="126"/>
      <c r="C1360" s="127"/>
      <c r="D1360" s="128"/>
      <c r="E1360" s="129"/>
      <c r="F1360" s="130"/>
      <c r="G1360" s="131"/>
      <c r="H1360" s="130"/>
      <c r="I1360" s="132"/>
      <c r="J1360" s="133"/>
      <c r="K1360" s="134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</row>
    <row r="1361" ht="12.0" customHeight="1">
      <c r="A1361" s="25"/>
      <c r="B1361" s="126"/>
      <c r="C1361" s="127"/>
      <c r="D1361" s="128"/>
      <c r="E1361" s="129"/>
      <c r="F1361" s="130"/>
      <c r="G1361" s="131"/>
      <c r="H1361" s="130"/>
      <c r="I1361" s="132"/>
      <c r="J1361" s="133"/>
      <c r="K1361" s="134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</row>
    <row r="1362" ht="12.0" customHeight="1">
      <c r="A1362" s="25"/>
      <c r="B1362" s="126"/>
      <c r="C1362" s="127"/>
      <c r="D1362" s="128"/>
      <c r="E1362" s="129"/>
      <c r="F1362" s="130"/>
      <c r="G1362" s="131"/>
      <c r="H1362" s="130"/>
      <c r="I1362" s="132"/>
      <c r="J1362" s="133"/>
      <c r="K1362" s="134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</row>
    <row r="1363" ht="12.0" customHeight="1">
      <c r="A1363" s="25"/>
      <c r="B1363" s="126"/>
      <c r="C1363" s="127"/>
      <c r="D1363" s="128"/>
      <c r="E1363" s="129"/>
      <c r="F1363" s="130"/>
      <c r="G1363" s="131"/>
      <c r="H1363" s="130"/>
      <c r="I1363" s="132"/>
      <c r="J1363" s="133"/>
      <c r="K1363" s="134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</row>
    <row r="1364" ht="12.0" customHeight="1">
      <c r="A1364" s="25"/>
      <c r="B1364" s="126"/>
      <c r="C1364" s="127"/>
      <c r="D1364" s="128"/>
      <c r="E1364" s="129"/>
      <c r="F1364" s="130"/>
      <c r="G1364" s="131"/>
      <c r="H1364" s="130"/>
      <c r="I1364" s="132"/>
      <c r="J1364" s="133"/>
      <c r="K1364" s="134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</row>
    <row r="1365" ht="12.0" customHeight="1">
      <c r="A1365" s="25"/>
      <c r="B1365" s="126"/>
      <c r="C1365" s="127"/>
      <c r="D1365" s="128"/>
      <c r="E1365" s="129"/>
      <c r="F1365" s="130"/>
      <c r="G1365" s="131"/>
      <c r="H1365" s="130"/>
      <c r="I1365" s="132"/>
      <c r="J1365" s="133"/>
      <c r="K1365" s="134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</row>
    <row r="1366" ht="12.0" customHeight="1">
      <c r="A1366" s="25"/>
      <c r="B1366" s="126"/>
      <c r="C1366" s="127"/>
      <c r="D1366" s="128"/>
      <c r="E1366" s="129"/>
      <c r="F1366" s="130"/>
      <c r="G1366" s="131"/>
      <c r="H1366" s="130"/>
      <c r="I1366" s="132"/>
      <c r="J1366" s="133"/>
      <c r="K1366" s="134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</row>
    <row r="1367" ht="12.0" customHeight="1">
      <c r="A1367" s="25"/>
      <c r="B1367" s="126"/>
      <c r="C1367" s="127"/>
      <c r="D1367" s="128"/>
      <c r="E1367" s="129"/>
      <c r="F1367" s="130"/>
      <c r="G1367" s="131"/>
      <c r="H1367" s="130"/>
      <c r="I1367" s="132"/>
      <c r="J1367" s="133"/>
      <c r="K1367" s="134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</row>
    <row r="1368" ht="12.0" customHeight="1">
      <c r="A1368" s="25"/>
      <c r="B1368" s="126"/>
      <c r="C1368" s="127"/>
      <c r="D1368" s="128"/>
      <c r="E1368" s="129"/>
      <c r="F1368" s="130"/>
      <c r="G1368" s="131"/>
      <c r="H1368" s="130"/>
      <c r="I1368" s="132"/>
      <c r="J1368" s="133"/>
      <c r="K1368" s="134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</row>
    <row r="1369" ht="12.0" customHeight="1">
      <c r="A1369" s="25"/>
      <c r="B1369" s="126"/>
      <c r="C1369" s="127"/>
      <c r="D1369" s="128"/>
      <c r="E1369" s="129"/>
      <c r="F1369" s="130"/>
      <c r="G1369" s="131"/>
      <c r="H1369" s="130"/>
      <c r="I1369" s="132"/>
      <c r="J1369" s="133"/>
      <c r="K1369" s="134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</row>
    <row r="1370" ht="12.0" customHeight="1">
      <c r="A1370" s="25"/>
      <c r="B1370" s="126"/>
      <c r="C1370" s="127"/>
      <c r="D1370" s="128"/>
      <c r="E1370" s="129"/>
      <c r="F1370" s="130"/>
      <c r="G1370" s="131"/>
      <c r="H1370" s="130"/>
      <c r="I1370" s="132"/>
      <c r="J1370" s="133"/>
      <c r="K1370" s="134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</row>
    <row r="1371" ht="12.0" customHeight="1">
      <c r="A1371" s="25"/>
      <c r="B1371" s="126"/>
      <c r="C1371" s="127"/>
      <c r="D1371" s="128"/>
      <c r="E1371" s="129"/>
      <c r="F1371" s="130"/>
      <c r="G1371" s="131"/>
      <c r="H1371" s="130"/>
      <c r="I1371" s="132"/>
      <c r="J1371" s="133"/>
      <c r="K1371" s="134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</row>
    <row r="1372" ht="12.0" customHeight="1">
      <c r="A1372" s="25"/>
      <c r="B1372" s="126"/>
      <c r="C1372" s="127"/>
      <c r="D1372" s="128"/>
      <c r="E1372" s="129"/>
      <c r="F1372" s="130"/>
      <c r="G1372" s="131"/>
      <c r="H1372" s="130"/>
      <c r="I1372" s="132"/>
      <c r="J1372" s="133"/>
      <c r="K1372" s="134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</row>
    <row r="1373" ht="12.0" customHeight="1">
      <c r="A1373" s="25"/>
      <c r="B1373" s="126"/>
      <c r="C1373" s="127"/>
      <c r="D1373" s="128"/>
      <c r="E1373" s="129"/>
      <c r="F1373" s="130"/>
      <c r="G1373" s="131"/>
      <c r="H1373" s="130"/>
      <c r="I1373" s="132"/>
      <c r="J1373" s="133"/>
      <c r="K1373" s="134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</row>
    <row r="1374" ht="12.0" customHeight="1">
      <c r="A1374" s="25"/>
      <c r="B1374" s="126"/>
      <c r="C1374" s="127"/>
      <c r="D1374" s="128"/>
      <c r="E1374" s="129"/>
      <c r="F1374" s="130"/>
      <c r="G1374" s="131"/>
      <c r="H1374" s="130"/>
      <c r="I1374" s="132"/>
      <c r="J1374" s="133"/>
      <c r="K1374" s="134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</row>
    <row r="1375" ht="12.0" customHeight="1">
      <c r="A1375" s="25"/>
      <c r="B1375" s="126"/>
      <c r="C1375" s="127"/>
      <c r="D1375" s="128"/>
      <c r="E1375" s="129"/>
      <c r="F1375" s="130"/>
      <c r="G1375" s="131"/>
      <c r="H1375" s="130"/>
      <c r="I1375" s="132"/>
      <c r="J1375" s="133"/>
      <c r="K1375" s="134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</row>
    <row r="1376" ht="12.0" customHeight="1">
      <c r="A1376" s="25"/>
      <c r="B1376" s="126"/>
      <c r="C1376" s="127"/>
      <c r="D1376" s="128"/>
      <c r="E1376" s="129"/>
      <c r="F1376" s="130"/>
      <c r="G1376" s="131"/>
      <c r="H1376" s="130"/>
      <c r="I1376" s="132"/>
      <c r="J1376" s="133"/>
      <c r="K1376" s="134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</row>
    <row r="1377" ht="12.0" customHeight="1">
      <c r="A1377" s="25"/>
      <c r="B1377" s="126"/>
      <c r="C1377" s="127"/>
      <c r="D1377" s="128"/>
      <c r="E1377" s="129"/>
      <c r="F1377" s="130"/>
      <c r="G1377" s="131"/>
      <c r="H1377" s="130"/>
      <c r="I1377" s="132"/>
      <c r="J1377" s="133"/>
      <c r="K1377" s="134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</row>
    <row r="1378" ht="12.0" customHeight="1">
      <c r="A1378" s="25"/>
      <c r="B1378" s="126"/>
      <c r="C1378" s="127"/>
      <c r="D1378" s="128"/>
      <c r="E1378" s="129"/>
      <c r="F1378" s="130"/>
      <c r="G1378" s="131"/>
      <c r="H1378" s="130"/>
      <c r="I1378" s="132"/>
      <c r="J1378" s="133"/>
      <c r="K1378" s="134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</row>
    <row r="1379" ht="12.0" customHeight="1">
      <c r="A1379" s="25"/>
      <c r="B1379" s="126"/>
      <c r="C1379" s="127"/>
      <c r="D1379" s="128"/>
      <c r="E1379" s="129"/>
      <c r="F1379" s="130"/>
      <c r="G1379" s="131"/>
      <c r="H1379" s="130"/>
      <c r="I1379" s="132"/>
      <c r="J1379" s="133"/>
      <c r="K1379" s="134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</row>
    <row r="1380" ht="12.0" customHeight="1">
      <c r="A1380" s="25"/>
      <c r="B1380" s="126"/>
      <c r="C1380" s="127"/>
      <c r="D1380" s="128"/>
      <c r="E1380" s="129"/>
      <c r="F1380" s="130"/>
      <c r="G1380" s="131"/>
      <c r="H1380" s="130"/>
      <c r="I1380" s="132"/>
      <c r="J1380" s="133"/>
      <c r="K1380" s="134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</row>
    <row r="1381" ht="12.0" customHeight="1">
      <c r="A1381" s="25"/>
      <c r="B1381" s="126"/>
      <c r="C1381" s="127"/>
      <c r="D1381" s="128"/>
      <c r="E1381" s="129"/>
      <c r="F1381" s="130"/>
      <c r="G1381" s="131"/>
      <c r="H1381" s="130"/>
      <c r="I1381" s="132"/>
      <c r="J1381" s="133"/>
      <c r="K1381" s="134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</row>
    <row r="1382" ht="12.0" customHeight="1">
      <c r="A1382" s="25"/>
      <c r="B1382" s="126"/>
      <c r="C1382" s="127"/>
      <c r="D1382" s="128"/>
      <c r="E1382" s="129"/>
      <c r="F1382" s="130"/>
      <c r="G1382" s="131"/>
      <c r="H1382" s="130"/>
      <c r="I1382" s="132"/>
      <c r="J1382" s="133"/>
      <c r="K1382" s="134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</row>
    <row r="1383" ht="12.0" customHeight="1">
      <c r="A1383" s="25"/>
      <c r="B1383" s="126"/>
      <c r="C1383" s="127"/>
      <c r="D1383" s="128"/>
      <c r="E1383" s="129"/>
      <c r="F1383" s="130"/>
      <c r="G1383" s="131"/>
      <c r="H1383" s="130"/>
      <c r="I1383" s="132"/>
      <c r="J1383" s="133"/>
      <c r="K1383" s="134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</row>
    <row r="1384" ht="12.0" customHeight="1">
      <c r="A1384" s="25"/>
      <c r="B1384" s="126"/>
      <c r="C1384" s="127"/>
      <c r="D1384" s="128"/>
      <c r="E1384" s="129"/>
      <c r="F1384" s="130"/>
      <c r="G1384" s="131"/>
      <c r="H1384" s="130"/>
      <c r="I1384" s="132"/>
      <c r="J1384" s="133"/>
      <c r="K1384" s="134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</row>
    <row r="1385" ht="12.0" customHeight="1">
      <c r="A1385" s="25"/>
      <c r="B1385" s="126"/>
      <c r="C1385" s="127"/>
      <c r="D1385" s="128"/>
      <c r="E1385" s="129"/>
      <c r="F1385" s="130"/>
      <c r="G1385" s="131"/>
      <c r="H1385" s="130"/>
      <c r="I1385" s="132"/>
      <c r="J1385" s="133"/>
      <c r="K1385" s="134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</row>
    <row r="1386" ht="12.0" customHeight="1">
      <c r="A1386" s="25"/>
      <c r="B1386" s="126"/>
      <c r="C1386" s="127"/>
      <c r="D1386" s="128"/>
      <c r="E1386" s="129"/>
      <c r="F1386" s="130"/>
      <c r="G1386" s="131"/>
      <c r="H1386" s="130"/>
      <c r="I1386" s="132"/>
      <c r="J1386" s="133"/>
      <c r="K1386" s="134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</row>
    <row r="1387" ht="12.0" customHeight="1">
      <c r="A1387" s="25"/>
      <c r="B1387" s="126"/>
      <c r="C1387" s="127"/>
      <c r="D1387" s="128"/>
      <c r="E1387" s="129"/>
      <c r="F1387" s="130"/>
      <c r="G1387" s="131"/>
      <c r="H1387" s="130"/>
      <c r="I1387" s="132"/>
      <c r="J1387" s="133"/>
      <c r="K1387" s="134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</row>
    <row r="1388" ht="12.0" customHeight="1">
      <c r="A1388" s="25"/>
      <c r="B1388" s="126"/>
      <c r="C1388" s="127"/>
      <c r="D1388" s="128"/>
      <c r="E1388" s="129"/>
      <c r="F1388" s="130"/>
      <c r="G1388" s="131"/>
      <c r="H1388" s="130"/>
      <c r="I1388" s="132"/>
      <c r="J1388" s="133"/>
      <c r="K1388" s="134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</row>
    <row r="1389" ht="12.0" customHeight="1">
      <c r="A1389" s="25"/>
      <c r="B1389" s="126"/>
      <c r="C1389" s="127"/>
      <c r="D1389" s="128"/>
      <c r="E1389" s="129"/>
      <c r="F1389" s="130"/>
      <c r="G1389" s="131"/>
      <c r="H1389" s="130"/>
      <c r="I1389" s="132"/>
      <c r="J1389" s="133"/>
      <c r="K1389" s="134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</row>
    <row r="1390" ht="12.0" customHeight="1">
      <c r="A1390" s="25"/>
      <c r="B1390" s="126"/>
      <c r="C1390" s="127"/>
      <c r="D1390" s="128"/>
      <c r="E1390" s="129"/>
      <c r="F1390" s="130"/>
      <c r="G1390" s="131"/>
      <c r="H1390" s="130"/>
      <c r="I1390" s="132"/>
      <c r="J1390" s="133"/>
      <c r="K1390" s="134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</row>
    <row r="1391" ht="12.0" customHeight="1">
      <c r="A1391" s="25"/>
      <c r="B1391" s="126"/>
      <c r="C1391" s="127"/>
      <c r="D1391" s="128"/>
      <c r="E1391" s="129"/>
      <c r="F1391" s="130"/>
      <c r="G1391" s="131"/>
      <c r="H1391" s="130"/>
      <c r="I1391" s="132"/>
      <c r="J1391" s="133"/>
      <c r="K1391" s="134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</row>
    <row r="1392" ht="12.0" customHeight="1">
      <c r="A1392" s="25"/>
      <c r="B1392" s="126"/>
      <c r="C1392" s="127"/>
      <c r="D1392" s="128"/>
      <c r="E1392" s="129"/>
      <c r="F1392" s="130"/>
      <c r="G1392" s="131"/>
      <c r="H1392" s="130"/>
      <c r="I1392" s="132"/>
      <c r="J1392" s="133"/>
      <c r="K1392" s="134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</row>
    <row r="1393" ht="12.0" customHeight="1">
      <c r="A1393" s="25"/>
      <c r="B1393" s="126"/>
      <c r="C1393" s="127"/>
      <c r="D1393" s="128"/>
      <c r="E1393" s="129"/>
      <c r="F1393" s="130"/>
      <c r="G1393" s="131"/>
      <c r="H1393" s="130"/>
      <c r="I1393" s="132"/>
      <c r="J1393" s="133"/>
      <c r="K1393" s="134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</row>
  </sheetData>
  <autoFilter ref="$B$1:$K$1193">
    <sortState ref="B1:K1193">
      <sortCondition descending="1" ref="I1:I1193"/>
    </sortState>
  </autoFilter>
  <customSheetViews>
    <customSheetView guid="{09676972-4913-420A-AAAF-4BE42E4D75D6}" filter="1" showAutoFilter="1">
      <autoFilter ref="$B$1:$L$1393">
        <sortState ref="B1:L1393">
          <sortCondition ref="B1:B1393"/>
        </sortState>
      </autoFilter>
      <extLst>
        <ext uri="GoogleSheetsCustomDataVersion1">
          <go:sheetsCustomData xmlns:go="http://customooxmlschemas.google.com/" filterViewId="1044975090"/>
        </ext>
      </extLst>
    </customSheetView>
    <customSheetView guid="{C5ACA736-A56B-4C08-AE3C-460F8FB21ACF}" filter="1" showAutoFilter="1">
      <autoFilter ref="$B$1:$L$1393">
        <sortState ref="B1:L1393">
          <sortCondition ref="B1:B1393"/>
        </sortState>
      </autoFilter>
      <extLst>
        <ext uri="GoogleSheetsCustomDataVersion1">
          <go:sheetsCustomData xmlns:go="http://customooxmlschemas.google.com/" filterViewId="787300256"/>
        </ext>
      </extLst>
    </customSheetView>
  </customSheetViews>
  <conditionalFormatting sqref="B2:K1393">
    <cfRule type="expression" dxfId="1" priority="1">
      <formula>$F2="대출상환"</formula>
    </cfRule>
  </conditionalFormatting>
  <conditionalFormatting sqref="B2:K1393">
    <cfRule type="expression" dxfId="2" priority="2">
      <formula>$F2="여행공연비"</formula>
    </cfRule>
  </conditionalFormatting>
  <conditionalFormatting sqref="B2:K1393">
    <cfRule type="expression" dxfId="3" priority="3">
      <formula>$F2="고정비"</formula>
    </cfRule>
  </conditionalFormatting>
  <dataValidations>
    <dataValidation type="list" allowBlank="1" showErrorMessage="1" sqref="H1:H1393">
      <formula1>"카드,현금,포인트"</formula1>
    </dataValidation>
    <dataValidation type="list" allowBlank="1" showErrorMessage="1" sqref="F2:F1393">
      <formula1>분류</formula1>
    </dataValidation>
    <dataValidation type="list" allowBlank="1" showErrorMessage="1" sqref="G1:G1393">
      <formula1>INDIRECT($F1)</formula1>
    </dataValidation>
  </dataValidations>
  <printOptions/>
  <pageMargins bottom="0.75" footer="0.0" header="0.0" left="0.7" right="0.7" top="0.75"/>
  <pageSetup orientation="portrait"/>
  <colBreaks count="1" manualBreakCount="1">
    <brk id="1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14"/>
    <col customWidth="1" min="2" max="2" width="11.14"/>
    <col customWidth="1" min="3" max="3" width="8.43"/>
    <col customWidth="1" min="4" max="4" width="5.14"/>
    <col customWidth="1" min="5" max="5" width="3.43"/>
    <col customWidth="1" min="6" max="6" width="5.14"/>
    <col customWidth="1" min="7" max="7" width="36.57"/>
    <col customWidth="1" min="8" max="8" width="12.14"/>
    <col customWidth="1" min="9" max="9" width="13.14"/>
    <col customWidth="1" min="10" max="10" width="65.57"/>
    <col customWidth="1" min="11" max="26" width="9.14"/>
  </cols>
  <sheetData>
    <row r="1" ht="12.0" customHeight="1">
      <c r="A1" s="25"/>
      <c r="B1" s="118" t="s">
        <v>111</v>
      </c>
      <c r="C1" s="119" t="s">
        <v>112</v>
      </c>
      <c r="D1" s="120" t="s">
        <v>113</v>
      </c>
      <c r="E1" s="120" t="s">
        <v>114</v>
      </c>
      <c r="F1" s="120" t="s">
        <v>3</v>
      </c>
      <c r="G1" s="125" t="s">
        <v>116</v>
      </c>
      <c r="H1" s="123" t="s">
        <v>5</v>
      </c>
      <c r="I1" s="124" t="s">
        <v>118</v>
      </c>
      <c r="J1" s="125" t="s">
        <v>8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12.0" customHeight="1">
      <c r="A2" s="25"/>
      <c r="B2" s="126">
        <v>44566.0</v>
      </c>
      <c r="C2" s="140">
        <f t="shared" ref="C2:C118" si="1">DATE(YEAR(B2),MONTH(B2),1)</f>
        <v>44562</v>
      </c>
      <c r="D2" s="128">
        <f t="shared" ref="D2:D118" si="2">IF(B2="","",B2)</f>
        <v>44566</v>
      </c>
      <c r="E2" s="129">
        <f t="shared" ref="E2:E118" si="3">WEEKNUM(B2)</f>
        <v>2</v>
      </c>
      <c r="F2" s="129" t="s">
        <v>847</v>
      </c>
      <c r="G2" s="134" t="s">
        <v>848</v>
      </c>
      <c r="H2" s="132">
        <v>5790.0</v>
      </c>
      <c r="I2" s="141" t="s">
        <v>125</v>
      </c>
      <c r="J2" s="134" t="s">
        <v>849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2.0" customHeight="1">
      <c r="A3" s="25"/>
      <c r="B3" s="126">
        <v>44571.0</v>
      </c>
      <c r="C3" s="140">
        <f t="shared" si="1"/>
        <v>44562</v>
      </c>
      <c r="D3" s="128">
        <f t="shared" si="2"/>
        <v>44571</v>
      </c>
      <c r="E3" s="129">
        <f t="shared" si="3"/>
        <v>3</v>
      </c>
      <c r="F3" s="129" t="s">
        <v>847</v>
      </c>
      <c r="G3" s="134" t="s">
        <v>848</v>
      </c>
      <c r="H3" s="132">
        <v>8750.0</v>
      </c>
      <c r="I3" s="141" t="s">
        <v>125</v>
      </c>
      <c r="J3" s="134" t="s">
        <v>849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2.0" customHeight="1">
      <c r="A4" s="25"/>
      <c r="B4" s="126">
        <v>44578.0</v>
      </c>
      <c r="C4" s="140">
        <f t="shared" si="1"/>
        <v>44562</v>
      </c>
      <c r="D4" s="128">
        <f t="shared" si="2"/>
        <v>44578</v>
      </c>
      <c r="E4" s="129">
        <f t="shared" si="3"/>
        <v>4</v>
      </c>
      <c r="F4" s="129" t="s">
        <v>847</v>
      </c>
      <c r="G4" s="134" t="s">
        <v>850</v>
      </c>
      <c r="H4" s="132">
        <v>6941660.0</v>
      </c>
      <c r="I4" s="141" t="s">
        <v>125</v>
      </c>
      <c r="J4" s="134" t="s">
        <v>851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2.0" customHeight="1">
      <c r="A5" s="25"/>
      <c r="B5" s="126">
        <v>44580.0</v>
      </c>
      <c r="C5" s="140">
        <f t="shared" si="1"/>
        <v>44562</v>
      </c>
      <c r="D5" s="128">
        <f t="shared" si="2"/>
        <v>44580</v>
      </c>
      <c r="E5" s="129">
        <f t="shared" si="3"/>
        <v>4</v>
      </c>
      <c r="F5" s="129" t="s">
        <v>847</v>
      </c>
      <c r="G5" s="134" t="s">
        <v>852</v>
      </c>
      <c r="H5" s="132">
        <f>1200+4750</f>
        <v>5950</v>
      </c>
      <c r="I5" s="141" t="s">
        <v>125</v>
      </c>
      <c r="J5" s="134" t="s">
        <v>853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2.0" customHeight="1">
      <c r="A6" s="25"/>
      <c r="B6" s="126">
        <v>44585.0</v>
      </c>
      <c r="C6" s="140">
        <f t="shared" si="1"/>
        <v>44562</v>
      </c>
      <c r="D6" s="128">
        <f t="shared" si="2"/>
        <v>44585</v>
      </c>
      <c r="E6" s="129">
        <f t="shared" si="3"/>
        <v>5</v>
      </c>
      <c r="F6" s="129" t="s">
        <v>847</v>
      </c>
      <c r="G6" s="134" t="s">
        <v>854</v>
      </c>
      <c r="H6" s="132">
        <v>180400.0</v>
      </c>
      <c r="I6" s="141" t="s">
        <v>122</v>
      </c>
      <c r="J6" s="134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2.0" customHeight="1">
      <c r="A7" s="25"/>
      <c r="B7" s="126">
        <v>44585.0</v>
      </c>
      <c r="C7" s="140">
        <f t="shared" si="1"/>
        <v>44562</v>
      </c>
      <c r="D7" s="128">
        <f t="shared" si="2"/>
        <v>44585</v>
      </c>
      <c r="E7" s="129">
        <f t="shared" si="3"/>
        <v>5</v>
      </c>
      <c r="F7" s="129" t="s">
        <v>847</v>
      </c>
      <c r="G7" s="134" t="s">
        <v>848</v>
      </c>
      <c r="H7" s="132">
        <v>7690.0</v>
      </c>
      <c r="I7" s="141" t="s">
        <v>125</v>
      </c>
      <c r="J7" s="134" t="s">
        <v>849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2.0" customHeight="1">
      <c r="A8" s="25"/>
      <c r="B8" s="126">
        <v>44586.0</v>
      </c>
      <c r="C8" s="140">
        <f t="shared" si="1"/>
        <v>44562</v>
      </c>
      <c r="D8" s="128">
        <f t="shared" si="2"/>
        <v>44586</v>
      </c>
      <c r="E8" s="129">
        <f t="shared" si="3"/>
        <v>5</v>
      </c>
      <c r="F8" s="129" t="s">
        <v>847</v>
      </c>
      <c r="G8" s="134" t="s">
        <v>855</v>
      </c>
      <c r="H8" s="132">
        <v>547200.0</v>
      </c>
      <c r="I8" s="141" t="s">
        <v>125</v>
      </c>
      <c r="J8" s="134" t="s">
        <v>856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2.0" customHeight="1">
      <c r="A9" s="25"/>
      <c r="B9" s="126">
        <v>44589.0</v>
      </c>
      <c r="C9" s="140">
        <f t="shared" si="1"/>
        <v>44562</v>
      </c>
      <c r="D9" s="128">
        <f t="shared" si="2"/>
        <v>44589</v>
      </c>
      <c r="E9" s="129">
        <f t="shared" si="3"/>
        <v>5</v>
      </c>
      <c r="F9" s="129" t="s">
        <v>847</v>
      </c>
      <c r="G9" s="134" t="s">
        <v>857</v>
      </c>
      <c r="H9" s="132">
        <v>100000.0</v>
      </c>
      <c r="I9" s="141" t="s">
        <v>122</v>
      </c>
      <c r="J9" s="134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2.0" customHeight="1">
      <c r="A10" s="25"/>
      <c r="B10" s="126">
        <v>44589.0</v>
      </c>
      <c r="C10" s="140">
        <f t="shared" si="1"/>
        <v>44562</v>
      </c>
      <c r="D10" s="128">
        <f t="shared" si="2"/>
        <v>44589</v>
      </c>
      <c r="E10" s="129">
        <f t="shared" si="3"/>
        <v>5</v>
      </c>
      <c r="F10" s="129" t="s">
        <v>847</v>
      </c>
      <c r="G10" s="134" t="s">
        <v>850</v>
      </c>
      <c r="H10" s="132">
        <v>3693100.0</v>
      </c>
      <c r="I10" s="141" t="s">
        <v>122</v>
      </c>
      <c r="J10" s="134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2.0" customHeight="1">
      <c r="A11" s="25"/>
      <c r="B11" s="126">
        <v>44593.0</v>
      </c>
      <c r="C11" s="140">
        <f t="shared" si="1"/>
        <v>44593</v>
      </c>
      <c r="D11" s="128">
        <f t="shared" si="2"/>
        <v>44593</v>
      </c>
      <c r="E11" s="129">
        <f t="shared" si="3"/>
        <v>6</v>
      </c>
      <c r="F11" s="129" t="s">
        <v>847</v>
      </c>
      <c r="G11" s="134" t="s">
        <v>858</v>
      </c>
      <c r="H11" s="132">
        <v>260000.0</v>
      </c>
      <c r="I11" s="141" t="s">
        <v>125</v>
      </c>
      <c r="J11" s="134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2.0" customHeight="1">
      <c r="A12" s="25"/>
      <c r="B12" s="126">
        <v>44595.0</v>
      </c>
      <c r="C12" s="140">
        <f t="shared" si="1"/>
        <v>44593</v>
      </c>
      <c r="D12" s="128">
        <f t="shared" si="2"/>
        <v>44595</v>
      </c>
      <c r="E12" s="129">
        <f t="shared" si="3"/>
        <v>6</v>
      </c>
      <c r="F12" s="129" t="s">
        <v>847</v>
      </c>
      <c r="G12" s="134" t="s">
        <v>848</v>
      </c>
      <c r="H12" s="132">
        <v>5630.0</v>
      </c>
      <c r="I12" s="141" t="s">
        <v>125</v>
      </c>
      <c r="J12" s="134" t="s">
        <v>849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2.0" customHeight="1">
      <c r="A13" s="25"/>
      <c r="B13" s="126">
        <v>44599.0</v>
      </c>
      <c r="C13" s="140">
        <f t="shared" si="1"/>
        <v>44593</v>
      </c>
      <c r="D13" s="128">
        <f t="shared" si="2"/>
        <v>44599</v>
      </c>
      <c r="E13" s="129">
        <f t="shared" si="3"/>
        <v>7</v>
      </c>
      <c r="F13" s="129" t="s">
        <v>847</v>
      </c>
      <c r="G13" s="134" t="s">
        <v>859</v>
      </c>
      <c r="H13" s="132">
        <v>239000.0</v>
      </c>
      <c r="I13" s="141" t="s">
        <v>122</v>
      </c>
      <c r="J13" s="134" t="s">
        <v>860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2.0" customHeight="1">
      <c r="A14" s="25"/>
      <c r="B14" s="126">
        <v>44602.0</v>
      </c>
      <c r="C14" s="140">
        <f t="shared" si="1"/>
        <v>44593</v>
      </c>
      <c r="D14" s="128">
        <f t="shared" si="2"/>
        <v>44602</v>
      </c>
      <c r="E14" s="129">
        <f t="shared" si="3"/>
        <v>7</v>
      </c>
      <c r="F14" s="129" t="s">
        <v>847</v>
      </c>
      <c r="G14" s="134" t="s">
        <v>861</v>
      </c>
      <c r="H14" s="132">
        <v>2244.0</v>
      </c>
      <c r="I14" s="141" t="s">
        <v>122</v>
      </c>
      <c r="J14" s="134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2.0" customHeight="1">
      <c r="A15" s="25"/>
      <c r="B15" s="126">
        <v>44602.0</v>
      </c>
      <c r="C15" s="140">
        <f t="shared" si="1"/>
        <v>44593</v>
      </c>
      <c r="D15" s="128">
        <f t="shared" si="2"/>
        <v>44602</v>
      </c>
      <c r="E15" s="129">
        <f t="shared" si="3"/>
        <v>7</v>
      </c>
      <c r="F15" s="129" t="s">
        <v>847</v>
      </c>
      <c r="G15" s="134" t="s">
        <v>861</v>
      </c>
      <c r="H15" s="132">
        <v>10000.0</v>
      </c>
      <c r="I15" s="141" t="s">
        <v>125</v>
      </c>
      <c r="J15" s="134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2.0" customHeight="1">
      <c r="A16" s="25"/>
      <c r="B16" s="126">
        <v>44604.0</v>
      </c>
      <c r="C16" s="140">
        <f t="shared" si="1"/>
        <v>44593</v>
      </c>
      <c r="D16" s="128">
        <f t="shared" si="2"/>
        <v>44604</v>
      </c>
      <c r="E16" s="129">
        <f t="shared" si="3"/>
        <v>7</v>
      </c>
      <c r="F16" s="129" t="s">
        <v>847</v>
      </c>
      <c r="G16" s="134" t="s">
        <v>862</v>
      </c>
      <c r="H16" s="132">
        <v>2330.0</v>
      </c>
      <c r="I16" s="141" t="s">
        <v>125</v>
      </c>
      <c r="J16" s="134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2.0" customHeight="1">
      <c r="A17" s="25"/>
      <c r="B17" s="126">
        <v>44609.0</v>
      </c>
      <c r="C17" s="140">
        <f t="shared" si="1"/>
        <v>44593</v>
      </c>
      <c r="D17" s="128">
        <f t="shared" si="2"/>
        <v>44609</v>
      </c>
      <c r="E17" s="129">
        <f t="shared" si="3"/>
        <v>8</v>
      </c>
      <c r="F17" s="129" t="s">
        <v>847</v>
      </c>
      <c r="G17" s="134" t="s">
        <v>863</v>
      </c>
      <c r="H17" s="132">
        <v>3533110.0</v>
      </c>
      <c r="I17" s="141" t="s">
        <v>125</v>
      </c>
      <c r="J17" s="134" t="s">
        <v>864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2.0" customHeight="1">
      <c r="A18" s="25"/>
      <c r="B18" s="126">
        <v>44614.0</v>
      </c>
      <c r="C18" s="140">
        <f t="shared" si="1"/>
        <v>44593</v>
      </c>
      <c r="D18" s="128">
        <f t="shared" si="2"/>
        <v>44614</v>
      </c>
      <c r="E18" s="129">
        <f t="shared" si="3"/>
        <v>9</v>
      </c>
      <c r="F18" s="129" t="s">
        <v>847</v>
      </c>
      <c r="G18" s="134" t="s">
        <v>865</v>
      </c>
      <c r="H18" s="132">
        <v>500000.0</v>
      </c>
      <c r="I18" s="141" t="s">
        <v>125</v>
      </c>
      <c r="J18" s="134" t="s">
        <v>866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2.0" customHeight="1">
      <c r="A19" s="25"/>
      <c r="B19" s="126">
        <v>44615.0</v>
      </c>
      <c r="C19" s="140">
        <f t="shared" si="1"/>
        <v>44593</v>
      </c>
      <c r="D19" s="128">
        <f t="shared" si="2"/>
        <v>44615</v>
      </c>
      <c r="E19" s="129">
        <f t="shared" si="3"/>
        <v>9</v>
      </c>
      <c r="F19" s="129" t="s">
        <v>847</v>
      </c>
      <c r="G19" s="134" t="s">
        <v>867</v>
      </c>
      <c r="H19" s="132">
        <v>180000.0</v>
      </c>
      <c r="I19" s="141" t="s">
        <v>122</v>
      </c>
      <c r="J19" s="134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2.0" customHeight="1">
      <c r="A20" s="25"/>
      <c r="B20" s="126">
        <v>44617.0</v>
      </c>
      <c r="C20" s="140">
        <f t="shared" si="1"/>
        <v>44593</v>
      </c>
      <c r="D20" s="128">
        <f t="shared" si="2"/>
        <v>44617</v>
      </c>
      <c r="E20" s="129">
        <f t="shared" si="3"/>
        <v>9</v>
      </c>
      <c r="F20" s="129" t="s">
        <v>847</v>
      </c>
      <c r="G20" s="134" t="s">
        <v>868</v>
      </c>
      <c r="H20" s="132">
        <v>30000.0</v>
      </c>
      <c r="I20" s="141" t="s">
        <v>125</v>
      </c>
      <c r="J20" s="134" t="s">
        <v>869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2.0" customHeight="1">
      <c r="A21" s="25"/>
      <c r="B21" s="126">
        <v>44620.0</v>
      </c>
      <c r="C21" s="140">
        <f t="shared" si="1"/>
        <v>44593</v>
      </c>
      <c r="D21" s="128">
        <f t="shared" si="2"/>
        <v>44620</v>
      </c>
      <c r="E21" s="129">
        <f t="shared" si="3"/>
        <v>10</v>
      </c>
      <c r="F21" s="129" t="s">
        <v>847</v>
      </c>
      <c r="G21" s="134" t="s">
        <v>863</v>
      </c>
      <c r="H21" s="132">
        <v>4515720.0</v>
      </c>
      <c r="I21" s="141" t="s">
        <v>122</v>
      </c>
      <c r="J21" s="134" t="s">
        <v>870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2.0" customHeight="1">
      <c r="A22" s="25"/>
      <c r="B22" s="126">
        <v>44620.0</v>
      </c>
      <c r="C22" s="140">
        <f t="shared" si="1"/>
        <v>44593</v>
      </c>
      <c r="D22" s="128">
        <f t="shared" si="2"/>
        <v>44620</v>
      </c>
      <c r="E22" s="129">
        <f t="shared" si="3"/>
        <v>10</v>
      </c>
      <c r="F22" s="129" t="s">
        <v>847</v>
      </c>
      <c r="G22" s="134" t="s">
        <v>871</v>
      </c>
      <c r="H22" s="132">
        <v>54340.0</v>
      </c>
      <c r="I22" s="141" t="s">
        <v>125</v>
      </c>
      <c r="J22" s="134" t="s">
        <v>872</v>
      </c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2.0" customHeight="1">
      <c r="A23" s="25"/>
      <c r="B23" s="126">
        <v>44620.0</v>
      </c>
      <c r="C23" s="140">
        <f t="shared" si="1"/>
        <v>44593</v>
      </c>
      <c r="D23" s="128">
        <f t="shared" si="2"/>
        <v>44620</v>
      </c>
      <c r="E23" s="129">
        <f t="shared" si="3"/>
        <v>10</v>
      </c>
      <c r="F23" s="129" t="s">
        <v>847</v>
      </c>
      <c r="G23" s="134" t="s">
        <v>873</v>
      </c>
      <c r="H23" s="132">
        <v>27987.0</v>
      </c>
      <c r="I23" s="141" t="s">
        <v>125</v>
      </c>
      <c r="J23" s="134" t="s">
        <v>874</v>
      </c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2.0" customHeight="1">
      <c r="A24" s="25"/>
      <c r="B24" s="126">
        <v>44622.0</v>
      </c>
      <c r="C24" s="140">
        <f t="shared" si="1"/>
        <v>44621</v>
      </c>
      <c r="D24" s="128">
        <f t="shared" si="2"/>
        <v>44622</v>
      </c>
      <c r="E24" s="129">
        <f t="shared" si="3"/>
        <v>10</v>
      </c>
      <c r="F24" s="129" t="s">
        <v>847</v>
      </c>
      <c r="G24" s="134" t="s">
        <v>871</v>
      </c>
      <c r="H24" s="132">
        <v>5000.0</v>
      </c>
      <c r="I24" s="141" t="s">
        <v>125</v>
      </c>
      <c r="J24" s="134" t="s">
        <v>875</v>
      </c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2.0" customHeight="1">
      <c r="A25" s="25"/>
      <c r="B25" s="126">
        <v>44623.0</v>
      </c>
      <c r="C25" s="140">
        <f t="shared" si="1"/>
        <v>44621</v>
      </c>
      <c r="D25" s="128">
        <f t="shared" si="2"/>
        <v>44623</v>
      </c>
      <c r="E25" s="129">
        <f t="shared" si="3"/>
        <v>10</v>
      </c>
      <c r="F25" s="129" t="s">
        <v>847</v>
      </c>
      <c r="G25" s="134" t="s">
        <v>848</v>
      </c>
      <c r="H25" s="132">
        <v>6390.0</v>
      </c>
      <c r="I25" s="141" t="s">
        <v>125</v>
      </c>
      <c r="J25" s="134" t="s">
        <v>849</v>
      </c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2.0" customHeight="1">
      <c r="A26" s="25"/>
      <c r="B26" s="126">
        <v>44627.0</v>
      </c>
      <c r="C26" s="140">
        <f t="shared" si="1"/>
        <v>44621</v>
      </c>
      <c r="D26" s="128">
        <f t="shared" si="2"/>
        <v>44627</v>
      </c>
      <c r="E26" s="129">
        <f t="shared" si="3"/>
        <v>11</v>
      </c>
      <c r="F26" s="129" t="s">
        <v>847</v>
      </c>
      <c r="G26" s="134" t="s">
        <v>876</v>
      </c>
      <c r="H26" s="132">
        <v>32940.0</v>
      </c>
      <c r="I26" s="141" t="s">
        <v>122</v>
      </c>
      <c r="J26" s="134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2.0" customHeight="1">
      <c r="A27" s="25"/>
      <c r="B27" s="126">
        <v>44630.0</v>
      </c>
      <c r="C27" s="140">
        <f t="shared" si="1"/>
        <v>44621</v>
      </c>
      <c r="D27" s="128">
        <f t="shared" si="2"/>
        <v>44630</v>
      </c>
      <c r="E27" s="129">
        <f t="shared" si="3"/>
        <v>11</v>
      </c>
      <c r="F27" s="129" t="s">
        <v>847</v>
      </c>
      <c r="G27" s="134" t="s">
        <v>873</v>
      </c>
      <c r="H27" s="132">
        <v>6742.0</v>
      </c>
      <c r="I27" s="141" t="s">
        <v>122</v>
      </c>
      <c r="J27" s="134" t="s">
        <v>877</v>
      </c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2.0" customHeight="1">
      <c r="A28" s="25"/>
      <c r="B28" s="126">
        <v>44630.0</v>
      </c>
      <c r="C28" s="140">
        <f t="shared" si="1"/>
        <v>44621</v>
      </c>
      <c r="D28" s="128">
        <f t="shared" si="2"/>
        <v>44630</v>
      </c>
      <c r="E28" s="129">
        <f t="shared" si="3"/>
        <v>11</v>
      </c>
      <c r="F28" s="129" t="s">
        <v>847</v>
      </c>
      <c r="G28" s="134" t="s">
        <v>878</v>
      </c>
      <c r="H28" s="132">
        <v>71500.0</v>
      </c>
      <c r="I28" s="141" t="s">
        <v>122</v>
      </c>
      <c r="J28" s="134" t="s">
        <v>879</v>
      </c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2.0" customHeight="1">
      <c r="A29" s="25"/>
      <c r="B29" s="126">
        <v>44637.0</v>
      </c>
      <c r="C29" s="140">
        <f t="shared" si="1"/>
        <v>44621</v>
      </c>
      <c r="D29" s="128">
        <f t="shared" si="2"/>
        <v>44637</v>
      </c>
      <c r="E29" s="129">
        <f t="shared" si="3"/>
        <v>12</v>
      </c>
      <c r="F29" s="129" t="s">
        <v>847</v>
      </c>
      <c r="G29" s="134" t="s">
        <v>880</v>
      </c>
      <c r="H29" s="132">
        <v>3493590.0</v>
      </c>
      <c r="I29" s="141" t="s">
        <v>125</v>
      </c>
      <c r="J29" s="134" t="s">
        <v>864</v>
      </c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2.0" customHeight="1">
      <c r="A30" s="25"/>
      <c r="B30" s="126">
        <v>44639.0</v>
      </c>
      <c r="C30" s="140">
        <f t="shared" si="1"/>
        <v>44621</v>
      </c>
      <c r="D30" s="128">
        <f t="shared" si="2"/>
        <v>44639</v>
      </c>
      <c r="E30" s="129">
        <f t="shared" si="3"/>
        <v>12</v>
      </c>
      <c r="F30" s="129" t="s">
        <v>847</v>
      </c>
      <c r="G30" s="134" t="s">
        <v>873</v>
      </c>
      <c r="H30" s="132">
        <v>26934.0</v>
      </c>
      <c r="I30" s="141" t="s">
        <v>122</v>
      </c>
      <c r="J30" s="134" t="s">
        <v>874</v>
      </c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2.0" customHeight="1">
      <c r="A31" s="25"/>
      <c r="B31" s="126">
        <v>44643.0</v>
      </c>
      <c r="C31" s="140">
        <f t="shared" si="1"/>
        <v>44621</v>
      </c>
      <c r="D31" s="128">
        <f t="shared" si="2"/>
        <v>44643</v>
      </c>
      <c r="E31" s="129">
        <f t="shared" si="3"/>
        <v>13</v>
      </c>
      <c r="F31" s="129" t="s">
        <v>847</v>
      </c>
      <c r="G31" s="134" t="s">
        <v>878</v>
      </c>
      <c r="H31" s="132">
        <v>62400.0</v>
      </c>
      <c r="I31" s="141" t="s">
        <v>122</v>
      </c>
      <c r="J31" s="134" t="s">
        <v>881</v>
      </c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2.0" customHeight="1">
      <c r="A32" s="25"/>
      <c r="B32" s="126">
        <v>44648.0</v>
      </c>
      <c r="C32" s="140">
        <f t="shared" si="1"/>
        <v>44621</v>
      </c>
      <c r="D32" s="128">
        <f t="shared" si="2"/>
        <v>44648</v>
      </c>
      <c r="E32" s="129">
        <f t="shared" si="3"/>
        <v>14</v>
      </c>
      <c r="F32" s="129" t="s">
        <v>847</v>
      </c>
      <c r="G32" s="134" t="s">
        <v>848</v>
      </c>
      <c r="H32" s="132">
        <v>7650.0</v>
      </c>
      <c r="I32" s="141" t="s">
        <v>125</v>
      </c>
      <c r="J32" s="134" t="s">
        <v>849</v>
      </c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2.0" customHeight="1">
      <c r="A33" s="25"/>
      <c r="B33" s="126">
        <v>44649.0</v>
      </c>
      <c r="C33" s="140">
        <f t="shared" si="1"/>
        <v>44621</v>
      </c>
      <c r="D33" s="128">
        <f t="shared" si="2"/>
        <v>44649</v>
      </c>
      <c r="E33" s="129">
        <f t="shared" si="3"/>
        <v>14</v>
      </c>
      <c r="F33" s="129" t="s">
        <v>847</v>
      </c>
      <c r="G33" s="134" t="s">
        <v>871</v>
      </c>
      <c r="H33" s="132">
        <v>10000.0</v>
      </c>
      <c r="I33" s="141" t="s">
        <v>125</v>
      </c>
      <c r="J33" s="134" t="s">
        <v>882</v>
      </c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2.0" customHeight="1">
      <c r="A34" s="25"/>
      <c r="B34" s="126">
        <v>44651.0</v>
      </c>
      <c r="C34" s="140">
        <f t="shared" si="1"/>
        <v>44621</v>
      </c>
      <c r="D34" s="128">
        <f t="shared" si="2"/>
        <v>44651</v>
      </c>
      <c r="E34" s="129">
        <f t="shared" si="3"/>
        <v>14</v>
      </c>
      <c r="F34" s="129" t="s">
        <v>847</v>
      </c>
      <c r="G34" s="134" t="s">
        <v>880</v>
      </c>
      <c r="H34" s="132">
        <v>4250760.0</v>
      </c>
      <c r="I34" s="141" t="s">
        <v>122</v>
      </c>
      <c r="J34" s="134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2.0" customHeight="1">
      <c r="A35" s="25"/>
      <c r="B35" s="126">
        <v>44651.0</v>
      </c>
      <c r="C35" s="140">
        <f t="shared" si="1"/>
        <v>44621</v>
      </c>
      <c r="D35" s="128">
        <f t="shared" si="2"/>
        <v>44651</v>
      </c>
      <c r="E35" s="129">
        <f t="shared" si="3"/>
        <v>14</v>
      </c>
      <c r="F35" s="129" t="s">
        <v>847</v>
      </c>
      <c r="G35" s="134" t="s">
        <v>883</v>
      </c>
      <c r="H35" s="132">
        <v>4817050.0</v>
      </c>
      <c r="I35" s="141" t="s">
        <v>125</v>
      </c>
      <c r="J35" s="134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2.0" customHeight="1">
      <c r="A36" s="25"/>
      <c r="B36" s="126">
        <v>44651.0</v>
      </c>
      <c r="C36" s="140">
        <f t="shared" si="1"/>
        <v>44621</v>
      </c>
      <c r="D36" s="128">
        <f t="shared" si="2"/>
        <v>44651</v>
      </c>
      <c r="E36" s="129">
        <f t="shared" si="3"/>
        <v>14</v>
      </c>
      <c r="F36" s="129" t="s">
        <v>847</v>
      </c>
      <c r="G36" s="134" t="s">
        <v>865</v>
      </c>
      <c r="H36" s="132">
        <v>592800.0</v>
      </c>
      <c r="I36" s="141" t="s">
        <v>125</v>
      </c>
      <c r="J36" s="134" t="s">
        <v>884</v>
      </c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2.0" customHeight="1">
      <c r="A37" s="25"/>
      <c r="B37" s="126">
        <v>44652.0</v>
      </c>
      <c r="C37" s="140">
        <f t="shared" si="1"/>
        <v>44652</v>
      </c>
      <c r="D37" s="128">
        <f t="shared" si="2"/>
        <v>44652</v>
      </c>
      <c r="E37" s="129">
        <f t="shared" si="3"/>
        <v>14</v>
      </c>
      <c r="F37" s="129" t="s">
        <v>847</v>
      </c>
      <c r="G37" s="134" t="s">
        <v>848</v>
      </c>
      <c r="H37" s="132">
        <v>9150.0</v>
      </c>
      <c r="I37" s="141" t="s">
        <v>125</v>
      </c>
      <c r="J37" s="134" t="s">
        <v>849</v>
      </c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2.0" customHeight="1">
      <c r="A38" s="25"/>
      <c r="B38" s="126">
        <v>44652.0</v>
      </c>
      <c r="C38" s="140">
        <f t="shared" si="1"/>
        <v>44652</v>
      </c>
      <c r="D38" s="128">
        <f t="shared" si="2"/>
        <v>44652</v>
      </c>
      <c r="E38" s="129">
        <f t="shared" si="3"/>
        <v>14</v>
      </c>
      <c r="F38" s="129" t="s">
        <v>847</v>
      </c>
      <c r="G38" s="134" t="s">
        <v>885</v>
      </c>
      <c r="H38" s="132">
        <v>178460.0</v>
      </c>
      <c r="I38" s="141" t="s">
        <v>125</v>
      </c>
      <c r="J38" s="134" t="s">
        <v>886</v>
      </c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2.0" customHeight="1">
      <c r="A39" s="25"/>
      <c r="B39" s="126">
        <v>44659.0</v>
      </c>
      <c r="C39" s="140">
        <f t="shared" si="1"/>
        <v>44652</v>
      </c>
      <c r="D39" s="128">
        <f t="shared" si="2"/>
        <v>44659</v>
      </c>
      <c r="E39" s="129">
        <f t="shared" si="3"/>
        <v>15</v>
      </c>
      <c r="F39" s="129" t="s">
        <v>847</v>
      </c>
      <c r="G39" s="134" t="s">
        <v>861</v>
      </c>
      <c r="H39" s="132">
        <v>10000.0</v>
      </c>
      <c r="I39" s="141" t="s">
        <v>125</v>
      </c>
      <c r="J39" s="134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2.0" customHeight="1">
      <c r="A40" s="25"/>
      <c r="B40" s="126">
        <v>44666.0</v>
      </c>
      <c r="C40" s="140">
        <f t="shared" si="1"/>
        <v>44652</v>
      </c>
      <c r="D40" s="128">
        <f t="shared" si="2"/>
        <v>44666</v>
      </c>
      <c r="E40" s="129">
        <f t="shared" si="3"/>
        <v>16</v>
      </c>
      <c r="F40" s="129" t="s">
        <v>847</v>
      </c>
      <c r="G40" s="134" t="s">
        <v>887</v>
      </c>
      <c r="H40" s="132">
        <v>3175740.0</v>
      </c>
      <c r="I40" s="141" t="s">
        <v>125</v>
      </c>
      <c r="J40" s="134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2.0" customHeight="1">
      <c r="A41" s="25"/>
      <c r="B41" s="126">
        <v>44680.0</v>
      </c>
      <c r="C41" s="140">
        <f t="shared" si="1"/>
        <v>44652</v>
      </c>
      <c r="D41" s="128">
        <f t="shared" si="2"/>
        <v>44680</v>
      </c>
      <c r="E41" s="129">
        <f t="shared" si="3"/>
        <v>18</v>
      </c>
      <c r="F41" s="129" t="s">
        <v>847</v>
      </c>
      <c r="G41" s="134" t="s">
        <v>887</v>
      </c>
      <c r="H41" s="132">
        <v>4230990.0</v>
      </c>
      <c r="I41" s="141" t="s">
        <v>122</v>
      </c>
      <c r="J41" s="134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2.0" customHeight="1">
      <c r="A42" s="25"/>
      <c r="B42" s="126">
        <v>44683.0</v>
      </c>
      <c r="C42" s="140">
        <f t="shared" si="1"/>
        <v>44682</v>
      </c>
      <c r="D42" s="128">
        <f t="shared" si="2"/>
        <v>44683</v>
      </c>
      <c r="E42" s="129">
        <f t="shared" si="3"/>
        <v>19</v>
      </c>
      <c r="F42" s="129" t="s">
        <v>847</v>
      </c>
      <c r="G42" s="134" t="s">
        <v>848</v>
      </c>
      <c r="H42" s="132">
        <v>7200.0</v>
      </c>
      <c r="I42" s="141" t="s">
        <v>125</v>
      </c>
      <c r="J42" s="134" t="s">
        <v>849</v>
      </c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2.0" customHeight="1">
      <c r="A43" s="25"/>
      <c r="B43" s="126">
        <v>44685.0</v>
      </c>
      <c r="C43" s="140">
        <f t="shared" si="1"/>
        <v>44682</v>
      </c>
      <c r="D43" s="128">
        <f t="shared" si="2"/>
        <v>44685</v>
      </c>
      <c r="E43" s="129">
        <f t="shared" si="3"/>
        <v>19</v>
      </c>
      <c r="F43" s="129" t="s">
        <v>847</v>
      </c>
      <c r="G43" s="134" t="s">
        <v>865</v>
      </c>
      <c r="H43" s="132">
        <v>1094400.0</v>
      </c>
      <c r="I43" s="141" t="s">
        <v>125</v>
      </c>
      <c r="J43" s="134" t="s">
        <v>884</v>
      </c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2.0" customHeight="1">
      <c r="A44" s="25"/>
      <c r="B44" s="126">
        <v>44687.0</v>
      </c>
      <c r="C44" s="140">
        <f t="shared" si="1"/>
        <v>44682</v>
      </c>
      <c r="D44" s="128">
        <f t="shared" si="2"/>
        <v>44687</v>
      </c>
      <c r="E44" s="129">
        <f t="shared" si="3"/>
        <v>19</v>
      </c>
      <c r="F44" s="129" t="s">
        <v>847</v>
      </c>
      <c r="G44" s="134" t="s">
        <v>848</v>
      </c>
      <c r="H44" s="132">
        <v>5000.0</v>
      </c>
      <c r="I44" s="141" t="s">
        <v>125</v>
      </c>
      <c r="J44" s="134" t="s">
        <v>849</v>
      </c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2.0" customHeight="1">
      <c r="A45" s="25"/>
      <c r="B45" s="126">
        <v>44691.0</v>
      </c>
      <c r="C45" s="140">
        <f t="shared" si="1"/>
        <v>44682</v>
      </c>
      <c r="D45" s="128">
        <f t="shared" si="2"/>
        <v>44691</v>
      </c>
      <c r="E45" s="129">
        <f t="shared" si="3"/>
        <v>20</v>
      </c>
      <c r="F45" s="129" t="s">
        <v>847</v>
      </c>
      <c r="G45" s="134" t="s">
        <v>848</v>
      </c>
      <c r="H45" s="132">
        <f>4150+6850</f>
        <v>11000</v>
      </c>
      <c r="I45" s="141" t="s">
        <v>125</v>
      </c>
      <c r="J45" s="134" t="s">
        <v>849</v>
      </c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2.0" customHeight="1">
      <c r="A46" s="25"/>
      <c r="B46" s="126">
        <v>44695.0</v>
      </c>
      <c r="C46" s="140">
        <f t="shared" si="1"/>
        <v>44682</v>
      </c>
      <c r="D46" s="128">
        <f t="shared" si="2"/>
        <v>44695</v>
      </c>
      <c r="E46" s="129">
        <f t="shared" si="3"/>
        <v>20</v>
      </c>
      <c r="F46" s="129" t="s">
        <v>847</v>
      </c>
      <c r="G46" s="134" t="s">
        <v>862</v>
      </c>
      <c r="H46" s="132">
        <v>2436.0</v>
      </c>
      <c r="I46" s="141" t="s">
        <v>125</v>
      </c>
      <c r="J46" s="134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2.0" customHeight="1">
      <c r="A47" s="25"/>
      <c r="B47" s="126">
        <v>44697.0</v>
      </c>
      <c r="C47" s="140">
        <f t="shared" si="1"/>
        <v>44682</v>
      </c>
      <c r="D47" s="128">
        <f t="shared" si="2"/>
        <v>44697</v>
      </c>
      <c r="E47" s="129">
        <f t="shared" si="3"/>
        <v>21</v>
      </c>
      <c r="F47" s="129" t="s">
        <v>847</v>
      </c>
      <c r="G47" s="134" t="s">
        <v>888</v>
      </c>
      <c r="H47" s="132">
        <v>20000.0</v>
      </c>
      <c r="I47" s="141" t="s">
        <v>125</v>
      </c>
      <c r="J47" s="134" t="s">
        <v>889</v>
      </c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2.0" customHeight="1">
      <c r="A48" s="25"/>
      <c r="B48" s="126">
        <v>44698.0</v>
      </c>
      <c r="C48" s="140">
        <f t="shared" si="1"/>
        <v>44682</v>
      </c>
      <c r="D48" s="128">
        <f t="shared" si="2"/>
        <v>44698</v>
      </c>
      <c r="E48" s="129">
        <f t="shared" si="3"/>
        <v>21</v>
      </c>
      <c r="F48" s="129" t="s">
        <v>847</v>
      </c>
      <c r="G48" s="134" t="s">
        <v>890</v>
      </c>
      <c r="H48" s="132">
        <v>3144890.0</v>
      </c>
      <c r="I48" s="141" t="s">
        <v>125</v>
      </c>
      <c r="J48" s="134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2.0" customHeight="1">
      <c r="A49" s="25"/>
      <c r="B49" s="126">
        <v>44704.0</v>
      </c>
      <c r="C49" s="140">
        <f t="shared" si="1"/>
        <v>44682</v>
      </c>
      <c r="D49" s="128">
        <f t="shared" si="2"/>
        <v>44704</v>
      </c>
      <c r="E49" s="129">
        <f t="shared" si="3"/>
        <v>22</v>
      </c>
      <c r="F49" s="129" t="s">
        <v>847</v>
      </c>
      <c r="G49" s="134" t="s">
        <v>891</v>
      </c>
      <c r="H49" s="132">
        <v>132999.0</v>
      </c>
      <c r="I49" s="141" t="s">
        <v>122</v>
      </c>
      <c r="J49" s="134" t="s">
        <v>892</v>
      </c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2.0" customHeight="1">
      <c r="A50" s="25"/>
      <c r="B50" s="126">
        <v>44708.0</v>
      </c>
      <c r="C50" s="140">
        <f t="shared" si="1"/>
        <v>44682</v>
      </c>
      <c r="D50" s="128">
        <f t="shared" si="2"/>
        <v>44708</v>
      </c>
      <c r="E50" s="129">
        <f t="shared" si="3"/>
        <v>22</v>
      </c>
      <c r="F50" s="129" t="s">
        <v>847</v>
      </c>
      <c r="G50" s="134" t="s">
        <v>865</v>
      </c>
      <c r="H50" s="132">
        <v>547200.0</v>
      </c>
      <c r="I50" s="141" t="s">
        <v>125</v>
      </c>
      <c r="J50" s="134" t="s">
        <v>884</v>
      </c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2.0" customHeight="1">
      <c r="A51" s="25"/>
      <c r="B51" s="126">
        <v>44711.0</v>
      </c>
      <c r="C51" s="140">
        <f t="shared" si="1"/>
        <v>44682</v>
      </c>
      <c r="D51" s="128">
        <f t="shared" si="2"/>
        <v>44711</v>
      </c>
      <c r="E51" s="129">
        <f t="shared" si="3"/>
        <v>23</v>
      </c>
      <c r="F51" s="129" t="s">
        <v>847</v>
      </c>
      <c r="G51" s="134" t="s">
        <v>848</v>
      </c>
      <c r="H51" s="132">
        <v>3320.0</v>
      </c>
      <c r="I51" s="141" t="s">
        <v>125</v>
      </c>
      <c r="J51" s="134" t="s">
        <v>849</v>
      </c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2.0" customHeight="1">
      <c r="A52" s="25"/>
      <c r="B52" s="126">
        <v>44712.0</v>
      </c>
      <c r="C52" s="140">
        <f t="shared" si="1"/>
        <v>44682</v>
      </c>
      <c r="D52" s="128">
        <f t="shared" si="2"/>
        <v>44712</v>
      </c>
      <c r="E52" s="129">
        <f t="shared" si="3"/>
        <v>23</v>
      </c>
      <c r="F52" s="129" t="s">
        <v>847</v>
      </c>
      <c r="G52" s="134" t="s">
        <v>890</v>
      </c>
      <c r="H52" s="132">
        <v>4241550.0</v>
      </c>
      <c r="I52" s="141" t="s">
        <v>122</v>
      </c>
      <c r="J52" s="134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2.0" customHeight="1">
      <c r="A53" s="25"/>
      <c r="B53" s="126">
        <v>44712.0</v>
      </c>
      <c r="C53" s="140">
        <f t="shared" si="1"/>
        <v>44682</v>
      </c>
      <c r="D53" s="128">
        <f t="shared" si="2"/>
        <v>44712</v>
      </c>
      <c r="E53" s="129">
        <f t="shared" si="3"/>
        <v>23</v>
      </c>
      <c r="F53" s="129" t="s">
        <v>847</v>
      </c>
      <c r="G53" s="134" t="s">
        <v>885</v>
      </c>
      <c r="H53" s="132">
        <v>228400.0</v>
      </c>
      <c r="I53" s="141" t="s">
        <v>125</v>
      </c>
      <c r="J53" s="134" t="s">
        <v>886</v>
      </c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2.0" customHeight="1">
      <c r="A54" s="25"/>
      <c r="B54" s="126">
        <v>44713.0</v>
      </c>
      <c r="C54" s="140">
        <f t="shared" si="1"/>
        <v>44713</v>
      </c>
      <c r="D54" s="128">
        <f t="shared" si="2"/>
        <v>44713</v>
      </c>
      <c r="E54" s="129">
        <f t="shared" si="3"/>
        <v>23</v>
      </c>
      <c r="F54" s="129" t="s">
        <v>847</v>
      </c>
      <c r="G54" s="134" t="s">
        <v>873</v>
      </c>
      <c r="H54" s="132">
        <v>20451.0</v>
      </c>
      <c r="I54" s="141" t="s">
        <v>125</v>
      </c>
      <c r="J54" s="134" t="s">
        <v>874</v>
      </c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2.0" customHeight="1">
      <c r="A55" s="25"/>
      <c r="B55" s="126">
        <v>44722.0</v>
      </c>
      <c r="C55" s="140">
        <f t="shared" si="1"/>
        <v>44713</v>
      </c>
      <c r="D55" s="128">
        <f t="shared" si="2"/>
        <v>44722</v>
      </c>
      <c r="E55" s="129">
        <f t="shared" si="3"/>
        <v>24</v>
      </c>
      <c r="F55" s="129" t="s">
        <v>847</v>
      </c>
      <c r="G55" s="134" t="s">
        <v>861</v>
      </c>
      <c r="H55" s="132">
        <v>9403.0</v>
      </c>
      <c r="I55" s="141" t="s">
        <v>122</v>
      </c>
      <c r="J55" s="134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2.0" customHeight="1">
      <c r="A56" s="25"/>
      <c r="B56" s="126">
        <v>44723.0</v>
      </c>
      <c r="C56" s="140">
        <f t="shared" si="1"/>
        <v>44713</v>
      </c>
      <c r="D56" s="128">
        <f t="shared" si="2"/>
        <v>44723</v>
      </c>
      <c r="E56" s="129">
        <f t="shared" si="3"/>
        <v>24</v>
      </c>
      <c r="F56" s="129" t="s">
        <v>847</v>
      </c>
      <c r="G56" s="134" t="s">
        <v>873</v>
      </c>
      <c r="H56" s="132">
        <f>164+103</f>
        <v>267</v>
      </c>
      <c r="I56" s="141" t="s">
        <v>125</v>
      </c>
      <c r="J56" s="134" t="s">
        <v>862</v>
      </c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2.0" customHeight="1">
      <c r="A57" s="25"/>
      <c r="B57" s="126">
        <v>44726.0</v>
      </c>
      <c r="C57" s="140">
        <f t="shared" si="1"/>
        <v>44713</v>
      </c>
      <c r="D57" s="128">
        <f t="shared" si="2"/>
        <v>44726</v>
      </c>
      <c r="E57" s="129">
        <f t="shared" si="3"/>
        <v>25</v>
      </c>
      <c r="F57" s="129" t="s">
        <v>847</v>
      </c>
      <c r="G57" s="134" t="s">
        <v>848</v>
      </c>
      <c r="H57" s="132">
        <v>14400.0</v>
      </c>
      <c r="I57" s="141" t="s">
        <v>125</v>
      </c>
      <c r="J57" s="134" t="s">
        <v>849</v>
      </c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2.0" customHeight="1">
      <c r="A58" s="25"/>
      <c r="B58" s="126">
        <v>44728.0</v>
      </c>
      <c r="C58" s="140">
        <f t="shared" si="1"/>
        <v>44713</v>
      </c>
      <c r="D58" s="128">
        <f t="shared" si="2"/>
        <v>44728</v>
      </c>
      <c r="E58" s="129">
        <f t="shared" si="3"/>
        <v>25</v>
      </c>
      <c r="F58" s="129" t="s">
        <v>847</v>
      </c>
      <c r="G58" s="134" t="s">
        <v>893</v>
      </c>
      <c r="H58" s="132">
        <v>547200.0</v>
      </c>
      <c r="I58" s="141" t="s">
        <v>125</v>
      </c>
      <c r="J58" s="134" t="s">
        <v>894</v>
      </c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2.0" customHeight="1">
      <c r="A59" s="25"/>
      <c r="B59" s="126">
        <v>44729.0</v>
      </c>
      <c r="C59" s="140">
        <f t="shared" si="1"/>
        <v>44713</v>
      </c>
      <c r="D59" s="128">
        <f t="shared" si="2"/>
        <v>44729</v>
      </c>
      <c r="E59" s="129">
        <f t="shared" si="3"/>
        <v>25</v>
      </c>
      <c r="F59" s="129" t="s">
        <v>847</v>
      </c>
      <c r="G59" s="134" t="s">
        <v>895</v>
      </c>
      <c r="H59" s="132">
        <v>3144890.0</v>
      </c>
      <c r="I59" s="141" t="s">
        <v>125</v>
      </c>
      <c r="J59" s="134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2.0" customHeight="1">
      <c r="A60" s="25"/>
      <c r="B60" s="126">
        <v>44736.0</v>
      </c>
      <c r="C60" s="140">
        <f t="shared" si="1"/>
        <v>44713</v>
      </c>
      <c r="D60" s="128">
        <f t="shared" si="2"/>
        <v>44736</v>
      </c>
      <c r="E60" s="129">
        <f t="shared" si="3"/>
        <v>26</v>
      </c>
      <c r="F60" s="129" t="s">
        <v>847</v>
      </c>
      <c r="G60" s="134" t="s">
        <v>896</v>
      </c>
      <c r="H60" s="132">
        <v>240000.0</v>
      </c>
      <c r="I60" s="141" t="s">
        <v>122</v>
      </c>
      <c r="J60" s="134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2.0" customHeight="1">
      <c r="A61" s="25"/>
      <c r="B61" s="126">
        <v>44736.0</v>
      </c>
      <c r="C61" s="140">
        <f t="shared" si="1"/>
        <v>44713</v>
      </c>
      <c r="D61" s="128">
        <f t="shared" si="2"/>
        <v>44736</v>
      </c>
      <c r="E61" s="129">
        <f t="shared" si="3"/>
        <v>26</v>
      </c>
      <c r="F61" s="129" t="s">
        <v>847</v>
      </c>
      <c r="G61" s="134" t="s">
        <v>888</v>
      </c>
      <c r="H61" s="132">
        <v>456000.0</v>
      </c>
      <c r="I61" s="141" t="s">
        <v>125</v>
      </c>
      <c r="J61" s="134" t="s">
        <v>897</v>
      </c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2.0" customHeight="1">
      <c r="A62" s="25"/>
      <c r="B62" s="126">
        <v>44740.0</v>
      </c>
      <c r="C62" s="140">
        <f t="shared" si="1"/>
        <v>44713</v>
      </c>
      <c r="D62" s="128">
        <f t="shared" si="2"/>
        <v>44740</v>
      </c>
      <c r="E62" s="129">
        <f t="shared" si="3"/>
        <v>27</v>
      </c>
      <c r="F62" s="129" t="s">
        <v>847</v>
      </c>
      <c r="G62" s="134" t="s">
        <v>871</v>
      </c>
      <c r="H62" s="132">
        <v>2000.0</v>
      </c>
      <c r="I62" s="141" t="s">
        <v>125</v>
      </c>
      <c r="J62" s="134" t="s">
        <v>898</v>
      </c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2.0" customHeight="1">
      <c r="A63" s="25"/>
      <c r="B63" s="126">
        <v>44742.0</v>
      </c>
      <c r="C63" s="140">
        <f t="shared" si="1"/>
        <v>44713</v>
      </c>
      <c r="D63" s="128">
        <f t="shared" si="2"/>
        <v>44742</v>
      </c>
      <c r="E63" s="129">
        <f t="shared" si="3"/>
        <v>27</v>
      </c>
      <c r="F63" s="129" t="s">
        <v>847</v>
      </c>
      <c r="G63" s="134" t="s">
        <v>895</v>
      </c>
      <c r="H63" s="132">
        <v>4241550.0</v>
      </c>
      <c r="I63" s="141" t="s">
        <v>122</v>
      </c>
      <c r="J63" s="134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2.0" customHeight="1">
      <c r="A64" s="25"/>
      <c r="B64" s="126">
        <v>44742.0</v>
      </c>
      <c r="C64" s="140">
        <f t="shared" si="1"/>
        <v>44713</v>
      </c>
      <c r="D64" s="128">
        <f t="shared" si="2"/>
        <v>44742</v>
      </c>
      <c r="E64" s="129">
        <f t="shared" si="3"/>
        <v>27</v>
      </c>
      <c r="F64" s="129" t="s">
        <v>847</v>
      </c>
      <c r="G64" s="134" t="s">
        <v>899</v>
      </c>
      <c r="H64" s="132">
        <v>127900.0</v>
      </c>
      <c r="I64" s="141" t="s">
        <v>125</v>
      </c>
      <c r="J64" s="134" t="s">
        <v>900</v>
      </c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2.0" customHeight="1">
      <c r="A65" s="25"/>
      <c r="B65" s="126">
        <v>44756.0</v>
      </c>
      <c r="C65" s="140">
        <f t="shared" si="1"/>
        <v>44743</v>
      </c>
      <c r="D65" s="128">
        <f t="shared" si="2"/>
        <v>44756</v>
      </c>
      <c r="E65" s="129">
        <f t="shared" si="3"/>
        <v>29</v>
      </c>
      <c r="F65" s="129" t="s">
        <v>847</v>
      </c>
      <c r="G65" s="134" t="s">
        <v>901</v>
      </c>
      <c r="H65" s="132">
        <v>107170.0</v>
      </c>
      <c r="I65" s="141" t="s">
        <v>122</v>
      </c>
      <c r="J65" s="134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2.0" customHeight="1">
      <c r="A66" s="25"/>
      <c r="B66" s="126">
        <v>44757.0</v>
      </c>
      <c r="C66" s="140">
        <f t="shared" si="1"/>
        <v>44743</v>
      </c>
      <c r="D66" s="128">
        <f t="shared" si="2"/>
        <v>44757</v>
      </c>
      <c r="E66" s="129">
        <f t="shared" si="3"/>
        <v>29</v>
      </c>
      <c r="F66" s="129" t="s">
        <v>847</v>
      </c>
      <c r="G66" s="134" t="s">
        <v>902</v>
      </c>
      <c r="H66" s="132">
        <v>4801980.0</v>
      </c>
      <c r="I66" s="141" t="s">
        <v>125</v>
      </c>
      <c r="J66" s="134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2.0" customHeight="1">
      <c r="A67" s="25"/>
      <c r="B67" s="126">
        <v>44757.0</v>
      </c>
      <c r="C67" s="140">
        <f t="shared" si="1"/>
        <v>44743</v>
      </c>
      <c r="D67" s="128">
        <f t="shared" si="2"/>
        <v>44757</v>
      </c>
      <c r="E67" s="129">
        <f t="shared" si="3"/>
        <v>29</v>
      </c>
      <c r="F67" s="129" t="s">
        <v>847</v>
      </c>
      <c r="G67" s="134" t="s">
        <v>888</v>
      </c>
      <c r="H67" s="132">
        <v>228000.0</v>
      </c>
      <c r="I67" s="141" t="s">
        <v>125</v>
      </c>
      <c r="J67" s="134" t="s">
        <v>903</v>
      </c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2.0" customHeight="1">
      <c r="A68" s="25"/>
      <c r="B68" s="126">
        <v>44757.0</v>
      </c>
      <c r="C68" s="140">
        <f t="shared" si="1"/>
        <v>44743</v>
      </c>
      <c r="D68" s="128">
        <f t="shared" si="2"/>
        <v>44757</v>
      </c>
      <c r="E68" s="129">
        <f t="shared" si="3"/>
        <v>29</v>
      </c>
      <c r="F68" s="129" t="s">
        <v>847</v>
      </c>
      <c r="G68" s="134" t="s">
        <v>901</v>
      </c>
      <c r="H68" s="132">
        <f>87420+9600</f>
        <v>97020</v>
      </c>
      <c r="I68" s="141" t="s">
        <v>125</v>
      </c>
      <c r="J68" s="134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2.0" customHeight="1">
      <c r="A69" s="25"/>
      <c r="B69" s="126">
        <v>44760.0</v>
      </c>
      <c r="C69" s="140">
        <f t="shared" si="1"/>
        <v>44743</v>
      </c>
      <c r="D69" s="128">
        <f t="shared" si="2"/>
        <v>44760</v>
      </c>
      <c r="E69" s="129">
        <f t="shared" si="3"/>
        <v>30</v>
      </c>
      <c r="F69" s="129" t="s">
        <v>847</v>
      </c>
      <c r="G69" s="134" t="s">
        <v>848</v>
      </c>
      <c r="H69" s="132">
        <v>14440.0</v>
      </c>
      <c r="I69" s="141" t="s">
        <v>125</v>
      </c>
      <c r="J69" s="134" t="s">
        <v>849</v>
      </c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2.0" customHeight="1">
      <c r="A70" s="25"/>
      <c r="B70" s="126">
        <v>44761.0</v>
      </c>
      <c r="C70" s="140">
        <f t="shared" si="1"/>
        <v>44743</v>
      </c>
      <c r="D70" s="128">
        <f t="shared" si="2"/>
        <v>44761</v>
      </c>
      <c r="E70" s="129">
        <f t="shared" si="3"/>
        <v>30</v>
      </c>
      <c r="F70" s="129" t="s">
        <v>847</v>
      </c>
      <c r="G70" s="134" t="s">
        <v>904</v>
      </c>
      <c r="H70" s="132">
        <v>5000.0</v>
      </c>
      <c r="I70" s="141" t="s">
        <v>122</v>
      </c>
      <c r="J70" s="134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2.0" customHeight="1">
      <c r="A71" s="25"/>
      <c r="B71" s="126">
        <v>44761.0</v>
      </c>
      <c r="C71" s="140">
        <f t="shared" si="1"/>
        <v>44743</v>
      </c>
      <c r="D71" s="128">
        <f t="shared" si="2"/>
        <v>44761</v>
      </c>
      <c r="E71" s="129">
        <f t="shared" si="3"/>
        <v>30</v>
      </c>
      <c r="F71" s="129" t="s">
        <v>847</v>
      </c>
      <c r="G71" s="134" t="s">
        <v>904</v>
      </c>
      <c r="H71" s="132">
        <v>5000.0</v>
      </c>
      <c r="I71" s="141" t="s">
        <v>125</v>
      </c>
      <c r="J71" s="134" t="s">
        <v>905</v>
      </c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2.0" customHeight="1">
      <c r="A72" s="25"/>
      <c r="B72" s="126">
        <v>44769.0</v>
      </c>
      <c r="C72" s="140">
        <f t="shared" si="1"/>
        <v>44743</v>
      </c>
      <c r="D72" s="128">
        <f t="shared" si="2"/>
        <v>44769</v>
      </c>
      <c r="E72" s="129">
        <f t="shared" si="3"/>
        <v>31</v>
      </c>
      <c r="F72" s="129" t="s">
        <v>847</v>
      </c>
      <c r="G72" s="134" t="s">
        <v>888</v>
      </c>
      <c r="H72" s="132">
        <v>228000.0</v>
      </c>
      <c r="I72" s="141" t="s">
        <v>125</v>
      </c>
      <c r="J72" s="134" t="s">
        <v>906</v>
      </c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2.0" customHeight="1">
      <c r="A73" s="25"/>
      <c r="B73" s="126">
        <v>44771.0</v>
      </c>
      <c r="C73" s="140">
        <f t="shared" si="1"/>
        <v>44743</v>
      </c>
      <c r="D73" s="128">
        <f t="shared" si="2"/>
        <v>44771</v>
      </c>
      <c r="E73" s="129">
        <f t="shared" si="3"/>
        <v>31</v>
      </c>
      <c r="F73" s="129" t="s">
        <v>847</v>
      </c>
      <c r="G73" s="134" t="s">
        <v>902</v>
      </c>
      <c r="H73" s="132">
        <v>4228150.0</v>
      </c>
      <c r="I73" s="141" t="s">
        <v>122</v>
      </c>
      <c r="J73" s="134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2.0" customHeight="1">
      <c r="A74" s="25"/>
      <c r="B74" s="126">
        <v>44771.0</v>
      </c>
      <c r="C74" s="140">
        <f t="shared" si="1"/>
        <v>44743</v>
      </c>
      <c r="D74" s="128">
        <f t="shared" si="2"/>
        <v>44771</v>
      </c>
      <c r="E74" s="129">
        <f t="shared" si="3"/>
        <v>31</v>
      </c>
      <c r="F74" s="129" t="s">
        <v>847</v>
      </c>
      <c r="G74" s="134" t="s">
        <v>865</v>
      </c>
      <c r="H74" s="132">
        <v>638400.0</v>
      </c>
      <c r="I74" s="141" t="s">
        <v>125</v>
      </c>
      <c r="J74" s="134" t="s">
        <v>884</v>
      </c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2.0" customHeight="1">
      <c r="A75" s="25"/>
      <c r="B75" s="126">
        <v>44777.0</v>
      </c>
      <c r="C75" s="140">
        <f t="shared" si="1"/>
        <v>44774</v>
      </c>
      <c r="D75" s="128">
        <f t="shared" si="2"/>
        <v>44777</v>
      </c>
      <c r="E75" s="129">
        <f t="shared" si="3"/>
        <v>32</v>
      </c>
      <c r="F75" s="129" t="s">
        <v>847</v>
      </c>
      <c r="G75" s="134" t="s">
        <v>848</v>
      </c>
      <c r="H75" s="132">
        <v>8270.0</v>
      </c>
      <c r="I75" s="141" t="s">
        <v>125</v>
      </c>
      <c r="J75" s="134" t="s">
        <v>849</v>
      </c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2.0" customHeight="1">
      <c r="A76" s="25"/>
      <c r="B76" s="126">
        <v>44783.0</v>
      </c>
      <c r="C76" s="140">
        <f t="shared" si="1"/>
        <v>44774</v>
      </c>
      <c r="D76" s="128">
        <f t="shared" si="2"/>
        <v>44783</v>
      </c>
      <c r="E76" s="129">
        <f t="shared" si="3"/>
        <v>33</v>
      </c>
      <c r="F76" s="129" t="s">
        <v>847</v>
      </c>
      <c r="G76" s="134" t="s">
        <v>861</v>
      </c>
      <c r="H76" s="132">
        <v>10000.0</v>
      </c>
      <c r="I76" s="141" t="s">
        <v>125</v>
      </c>
      <c r="J76" s="134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2.0" customHeight="1">
      <c r="A77" s="25"/>
      <c r="B77" s="126">
        <v>44783.0</v>
      </c>
      <c r="C77" s="140">
        <f t="shared" si="1"/>
        <v>44774</v>
      </c>
      <c r="D77" s="128">
        <f t="shared" si="2"/>
        <v>44783</v>
      </c>
      <c r="E77" s="129">
        <f t="shared" si="3"/>
        <v>33</v>
      </c>
      <c r="F77" s="129" t="s">
        <v>847</v>
      </c>
      <c r="G77" s="134" t="s">
        <v>861</v>
      </c>
      <c r="H77" s="132">
        <v>1257.0</v>
      </c>
      <c r="I77" s="141" t="s">
        <v>122</v>
      </c>
      <c r="J77" s="134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2.0" customHeight="1">
      <c r="A78" s="25"/>
      <c r="B78" s="126">
        <v>44784.0</v>
      </c>
      <c r="C78" s="140">
        <f t="shared" si="1"/>
        <v>44774</v>
      </c>
      <c r="D78" s="128">
        <f t="shared" si="2"/>
        <v>44784</v>
      </c>
      <c r="E78" s="129">
        <f t="shared" si="3"/>
        <v>33</v>
      </c>
      <c r="F78" s="129" t="s">
        <v>847</v>
      </c>
      <c r="G78" s="134" t="s">
        <v>873</v>
      </c>
      <c r="H78" s="132">
        <v>50000.0</v>
      </c>
      <c r="I78" s="141" t="s">
        <v>125</v>
      </c>
      <c r="J78" s="134" t="s">
        <v>907</v>
      </c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2.0" customHeight="1">
      <c r="A79" s="25"/>
      <c r="B79" s="126">
        <v>44786.0</v>
      </c>
      <c r="C79" s="140">
        <f t="shared" si="1"/>
        <v>44774</v>
      </c>
      <c r="D79" s="128">
        <f t="shared" si="2"/>
        <v>44786</v>
      </c>
      <c r="E79" s="129">
        <f t="shared" si="3"/>
        <v>33</v>
      </c>
      <c r="F79" s="129" t="s">
        <v>847</v>
      </c>
      <c r="G79" s="134" t="s">
        <v>908</v>
      </c>
      <c r="H79" s="132">
        <f>1318+105</f>
        <v>1423</v>
      </c>
      <c r="I79" s="141" t="s">
        <v>122</v>
      </c>
      <c r="J79" s="134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2.0" customHeight="1">
      <c r="A80" s="25"/>
      <c r="B80" s="126">
        <v>44786.0</v>
      </c>
      <c r="C80" s="140">
        <f t="shared" si="1"/>
        <v>44774</v>
      </c>
      <c r="D80" s="128">
        <f t="shared" si="2"/>
        <v>44786</v>
      </c>
      <c r="E80" s="129">
        <f t="shared" si="3"/>
        <v>33</v>
      </c>
      <c r="F80" s="129" t="s">
        <v>847</v>
      </c>
      <c r="G80" s="134" t="s">
        <v>908</v>
      </c>
      <c r="H80" s="132">
        <f>2307</f>
        <v>2307</v>
      </c>
      <c r="I80" s="141" t="s">
        <v>125</v>
      </c>
      <c r="J80" s="134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2.0" customHeight="1">
      <c r="A81" s="25"/>
      <c r="B81" s="126">
        <v>44787.0</v>
      </c>
      <c r="C81" s="140">
        <f t="shared" si="1"/>
        <v>44774</v>
      </c>
      <c r="D81" s="128">
        <f t="shared" si="2"/>
        <v>44787</v>
      </c>
      <c r="E81" s="129">
        <f t="shared" si="3"/>
        <v>34</v>
      </c>
      <c r="F81" s="129" t="s">
        <v>847</v>
      </c>
      <c r="G81" s="134" t="s">
        <v>871</v>
      </c>
      <c r="H81" s="132">
        <v>39128.0</v>
      </c>
      <c r="I81" s="141" t="s">
        <v>125</v>
      </c>
      <c r="J81" s="134" t="s">
        <v>872</v>
      </c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2.0" customHeight="1">
      <c r="A82" s="25"/>
      <c r="B82" s="126">
        <v>44790.0</v>
      </c>
      <c r="C82" s="140">
        <f t="shared" si="1"/>
        <v>44774</v>
      </c>
      <c r="D82" s="128">
        <f t="shared" si="2"/>
        <v>44790</v>
      </c>
      <c r="E82" s="129">
        <f t="shared" si="3"/>
        <v>34</v>
      </c>
      <c r="F82" s="129" t="s">
        <v>847</v>
      </c>
      <c r="G82" s="134" t="s">
        <v>909</v>
      </c>
      <c r="H82" s="132">
        <v>3156620.0</v>
      </c>
      <c r="I82" s="141" t="s">
        <v>125</v>
      </c>
      <c r="J82" s="134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2.0" customHeight="1">
      <c r="A83" s="25"/>
      <c r="B83" s="126">
        <v>44798.0</v>
      </c>
      <c r="C83" s="140">
        <f t="shared" si="1"/>
        <v>44774</v>
      </c>
      <c r="D83" s="128">
        <f t="shared" si="2"/>
        <v>44798</v>
      </c>
      <c r="E83" s="129">
        <f t="shared" si="3"/>
        <v>35</v>
      </c>
      <c r="F83" s="129" t="s">
        <v>847</v>
      </c>
      <c r="G83" s="134" t="s">
        <v>910</v>
      </c>
      <c r="H83" s="132">
        <v>360000.0</v>
      </c>
      <c r="I83" s="141" t="s">
        <v>125</v>
      </c>
      <c r="J83" s="134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2.0" customHeight="1">
      <c r="A84" s="25"/>
      <c r="B84" s="126">
        <v>44803.0</v>
      </c>
      <c r="C84" s="140">
        <f t="shared" si="1"/>
        <v>44774</v>
      </c>
      <c r="D84" s="128">
        <f t="shared" si="2"/>
        <v>44803</v>
      </c>
      <c r="E84" s="129">
        <f t="shared" si="3"/>
        <v>36</v>
      </c>
      <c r="F84" s="129" t="s">
        <v>847</v>
      </c>
      <c r="G84" s="134" t="s">
        <v>873</v>
      </c>
      <c r="H84" s="132">
        <v>30862.0</v>
      </c>
      <c r="I84" s="141" t="s">
        <v>125</v>
      </c>
      <c r="J84" s="134" t="s">
        <v>874</v>
      </c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2.0" customHeight="1">
      <c r="A85" s="25"/>
      <c r="B85" s="126">
        <v>44804.0</v>
      </c>
      <c r="C85" s="140">
        <f t="shared" si="1"/>
        <v>44774</v>
      </c>
      <c r="D85" s="128">
        <f t="shared" si="2"/>
        <v>44804</v>
      </c>
      <c r="E85" s="129">
        <f t="shared" si="3"/>
        <v>36</v>
      </c>
      <c r="F85" s="129" t="s">
        <v>847</v>
      </c>
      <c r="G85" s="134" t="s">
        <v>909</v>
      </c>
      <c r="H85" s="132">
        <v>4228150.0</v>
      </c>
      <c r="I85" s="141" t="s">
        <v>122</v>
      </c>
      <c r="J85" s="134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2.0" customHeight="1">
      <c r="A86" s="25"/>
      <c r="B86" s="126">
        <v>44810.0</v>
      </c>
      <c r="C86" s="140">
        <f t="shared" si="1"/>
        <v>44805</v>
      </c>
      <c r="D86" s="128">
        <f t="shared" si="2"/>
        <v>44810</v>
      </c>
      <c r="E86" s="129">
        <f t="shared" si="3"/>
        <v>37</v>
      </c>
      <c r="F86" s="129" t="s">
        <v>847</v>
      </c>
      <c r="G86" s="134" t="s">
        <v>848</v>
      </c>
      <c r="H86" s="132">
        <v>6900.0</v>
      </c>
      <c r="I86" s="141" t="s">
        <v>125</v>
      </c>
      <c r="J86" s="134" t="s">
        <v>849</v>
      </c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2.0" customHeight="1">
      <c r="A87" s="25"/>
      <c r="B87" s="126">
        <v>44811.0</v>
      </c>
      <c r="C87" s="140">
        <f t="shared" si="1"/>
        <v>44805</v>
      </c>
      <c r="D87" s="128">
        <f t="shared" si="2"/>
        <v>44811</v>
      </c>
      <c r="E87" s="129">
        <f t="shared" si="3"/>
        <v>37</v>
      </c>
      <c r="F87" s="129" t="s">
        <v>847</v>
      </c>
      <c r="G87" s="134" t="s">
        <v>911</v>
      </c>
      <c r="H87" s="132">
        <v>2158260.0</v>
      </c>
      <c r="I87" s="141" t="s">
        <v>125</v>
      </c>
      <c r="J87" s="134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2.0" customHeight="1">
      <c r="A88" s="25"/>
      <c r="B88" s="126">
        <v>44812.0</v>
      </c>
      <c r="C88" s="140">
        <f t="shared" si="1"/>
        <v>44805</v>
      </c>
      <c r="D88" s="128">
        <f t="shared" si="2"/>
        <v>44812</v>
      </c>
      <c r="E88" s="129">
        <f t="shared" si="3"/>
        <v>37</v>
      </c>
      <c r="F88" s="129" t="s">
        <v>847</v>
      </c>
      <c r="G88" s="134" t="s">
        <v>861</v>
      </c>
      <c r="H88" s="132">
        <v>10000.0</v>
      </c>
      <c r="I88" s="141" t="s">
        <v>125</v>
      </c>
      <c r="J88" s="134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2.0" customHeight="1">
      <c r="A89" s="25"/>
      <c r="B89" s="126">
        <v>44820.0</v>
      </c>
      <c r="C89" s="140">
        <f t="shared" si="1"/>
        <v>44805</v>
      </c>
      <c r="D89" s="128">
        <f t="shared" si="2"/>
        <v>44820</v>
      </c>
      <c r="E89" s="129">
        <f t="shared" si="3"/>
        <v>38</v>
      </c>
      <c r="F89" s="129" t="s">
        <v>847</v>
      </c>
      <c r="G89" s="134" t="s">
        <v>912</v>
      </c>
      <c r="H89" s="132">
        <v>3003990.0</v>
      </c>
      <c r="I89" s="141" t="s">
        <v>125</v>
      </c>
      <c r="J89" s="134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2.0" customHeight="1">
      <c r="A90" s="25"/>
      <c r="B90" s="126">
        <v>44834.0</v>
      </c>
      <c r="C90" s="140">
        <f t="shared" si="1"/>
        <v>44805</v>
      </c>
      <c r="D90" s="128">
        <f t="shared" si="2"/>
        <v>44834</v>
      </c>
      <c r="E90" s="129">
        <f t="shared" si="3"/>
        <v>40</v>
      </c>
      <c r="F90" s="129" t="s">
        <v>847</v>
      </c>
      <c r="G90" s="134" t="s">
        <v>912</v>
      </c>
      <c r="H90" s="132">
        <v>4228150.0</v>
      </c>
      <c r="I90" s="141" t="s">
        <v>122</v>
      </c>
      <c r="J90" s="134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2.0" customHeight="1">
      <c r="A91" s="25"/>
      <c r="B91" s="126">
        <v>44838.0</v>
      </c>
      <c r="C91" s="140">
        <f t="shared" si="1"/>
        <v>44835</v>
      </c>
      <c r="D91" s="128">
        <f t="shared" si="2"/>
        <v>44838</v>
      </c>
      <c r="E91" s="129">
        <f t="shared" si="3"/>
        <v>41</v>
      </c>
      <c r="F91" s="129" t="s">
        <v>847</v>
      </c>
      <c r="G91" s="134" t="s">
        <v>913</v>
      </c>
      <c r="H91" s="132">
        <v>10000.0</v>
      </c>
      <c r="I91" s="141" t="s">
        <v>125</v>
      </c>
      <c r="J91" s="134" t="s">
        <v>914</v>
      </c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2.0" customHeight="1">
      <c r="A92" s="25"/>
      <c r="B92" s="126">
        <v>44841.0</v>
      </c>
      <c r="C92" s="140">
        <f t="shared" si="1"/>
        <v>44835</v>
      </c>
      <c r="D92" s="128">
        <f t="shared" si="2"/>
        <v>44841</v>
      </c>
      <c r="E92" s="129">
        <f t="shared" si="3"/>
        <v>41</v>
      </c>
      <c r="F92" s="129" t="s">
        <v>847</v>
      </c>
      <c r="G92" s="134" t="s">
        <v>861</v>
      </c>
      <c r="H92" s="132">
        <v>10000.0</v>
      </c>
      <c r="I92" s="141" t="s">
        <v>125</v>
      </c>
      <c r="J92" s="134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2.0" customHeight="1">
      <c r="A93" s="25"/>
      <c r="B93" s="126">
        <v>44849.0</v>
      </c>
      <c r="C93" s="140">
        <f t="shared" si="1"/>
        <v>44835</v>
      </c>
      <c r="D93" s="128">
        <f t="shared" si="2"/>
        <v>44849</v>
      </c>
      <c r="E93" s="129">
        <f t="shared" si="3"/>
        <v>42</v>
      </c>
      <c r="F93" s="129" t="s">
        <v>847</v>
      </c>
      <c r="G93" s="134" t="s">
        <v>873</v>
      </c>
      <c r="H93" s="132">
        <v>18755.0</v>
      </c>
      <c r="I93" s="141" t="s">
        <v>125</v>
      </c>
      <c r="J93" s="134" t="s">
        <v>874</v>
      </c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2.0" customHeight="1">
      <c r="A94" s="25"/>
      <c r="B94" s="126">
        <v>44851.0</v>
      </c>
      <c r="C94" s="140">
        <f t="shared" si="1"/>
        <v>44835</v>
      </c>
      <c r="D94" s="128">
        <f t="shared" si="2"/>
        <v>44851</v>
      </c>
      <c r="E94" s="129">
        <f t="shared" si="3"/>
        <v>43</v>
      </c>
      <c r="F94" s="129" t="s">
        <v>847</v>
      </c>
      <c r="G94" s="134" t="s">
        <v>915</v>
      </c>
      <c r="H94" s="132">
        <v>3160830.0</v>
      </c>
      <c r="I94" s="141" t="s">
        <v>125</v>
      </c>
      <c r="J94" s="134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2.0" customHeight="1">
      <c r="A95" s="25"/>
      <c r="B95" s="126">
        <v>44854.0</v>
      </c>
      <c r="C95" s="140">
        <f t="shared" si="1"/>
        <v>44835</v>
      </c>
      <c r="D95" s="128">
        <f t="shared" si="2"/>
        <v>44854</v>
      </c>
      <c r="E95" s="129">
        <f t="shared" si="3"/>
        <v>43</v>
      </c>
      <c r="F95" s="129" t="s">
        <v>847</v>
      </c>
      <c r="G95" s="134" t="s">
        <v>916</v>
      </c>
      <c r="H95" s="132">
        <v>100000.0</v>
      </c>
      <c r="I95" s="141" t="s">
        <v>122</v>
      </c>
      <c r="J95" s="134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2.0" customHeight="1">
      <c r="A96" s="25"/>
      <c r="B96" s="126">
        <v>44862.0</v>
      </c>
      <c r="C96" s="140">
        <f t="shared" si="1"/>
        <v>44835</v>
      </c>
      <c r="D96" s="128">
        <f t="shared" si="2"/>
        <v>44862</v>
      </c>
      <c r="E96" s="129">
        <f t="shared" si="3"/>
        <v>44</v>
      </c>
      <c r="F96" s="129" t="s">
        <v>847</v>
      </c>
      <c r="G96" s="134" t="s">
        <v>873</v>
      </c>
      <c r="H96" s="132">
        <v>35548.0</v>
      </c>
      <c r="I96" s="141" t="s">
        <v>125</v>
      </c>
      <c r="J96" s="134" t="s">
        <v>874</v>
      </c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2.0" customHeight="1">
      <c r="A97" s="25"/>
      <c r="B97" s="126">
        <v>44863.0</v>
      </c>
      <c r="C97" s="140">
        <f t="shared" si="1"/>
        <v>44835</v>
      </c>
      <c r="D97" s="128">
        <f t="shared" si="2"/>
        <v>44863</v>
      </c>
      <c r="E97" s="129">
        <f t="shared" si="3"/>
        <v>44</v>
      </c>
      <c r="F97" s="129" t="s">
        <v>847</v>
      </c>
      <c r="G97" s="134" t="s">
        <v>917</v>
      </c>
      <c r="H97" s="132">
        <v>1000000.0</v>
      </c>
      <c r="I97" s="141" t="s">
        <v>125</v>
      </c>
      <c r="J97" s="134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2.0" customHeight="1">
      <c r="A98" s="25"/>
      <c r="B98" s="126">
        <v>44865.0</v>
      </c>
      <c r="C98" s="140">
        <f t="shared" si="1"/>
        <v>44835</v>
      </c>
      <c r="D98" s="128">
        <f t="shared" si="2"/>
        <v>44865</v>
      </c>
      <c r="E98" s="129">
        <f t="shared" si="3"/>
        <v>45</v>
      </c>
      <c r="F98" s="129" t="s">
        <v>847</v>
      </c>
      <c r="G98" s="134" t="s">
        <v>915</v>
      </c>
      <c r="H98" s="132">
        <v>4228150.0</v>
      </c>
      <c r="I98" s="141" t="s">
        <v>122</v>
      </c>
      <c r="J98" s="134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2.0" customHeight="1">
      <c r="A99" s="25"/>
      <c r="B99" s="126">
        <v>44865.0</v>
      </c>
      <c r="C99" s="140">
        <f t="shared" si="1"/>
        <v>44835</v>
      </c>
      <c r="D99" s="128">
        <f t="shared" si="2"/>
        <v>44865</v>
      </c>
      <c r="E99" s="129">
        <f t="shared" si="3"/>
        <v>45</v>
      </c>
      <c r="F99" s="129" t="s">
        <v>847</v>
      </c>
      <c r="G99" s="134" t="s">
        <v>918</v>
      </c>
      <c r="H99" s="132">
        <v>740000.0</v>
      </c>
      <c r="I99" s="141" t="s">
        <v>125</v>
      </c>
      <c r="J99" s="134" t="s">
        <v>919</v>
      </c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2.0" customHeight="1">
      <c r="A100" s="25"/>
      <c r="B100" s="126">
        <v>44865.0</v>
      </c>
      <c r="C100" s="140">
        <f t="shared" si="1"/>
        <v>44835</v>
      </c>
      <c r="D100" s="128">
        <f t="shared" si="2"/>
        <v>44865</v>
      </c>
      <c r="E100" s="129">
        <f t="shared" si="3"/>
        <v>45</v>
      </c>
      <c r="F100" s="129" t="s">
        <v>847</v>
      </c>
      <c r="G100" s="134" t="s">
        <v>848</v>
      </c>
      <c r="H100" s="132">
        <v>2450.0</v>
      </c>
      <c r="I100" s="141" t="s">
        <v>125</v>
      </c>
      <c r="J100" s="134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2.0" customHeight="1">
      <c r="A101" s="25"/>
      <c r="B101" s="126">
        <v>44865.0</v>
      </c>
      <c r="C101" s="140">
        <f t="shared" si="1"/>
        <v>44835</v>
      </c>
      <c r="D101" s="128">
        <f t="shared" si="2"/>
        <v>44865</v>
      </c>
      <c r="E101" s="129">
        <f t="shared" si="3"/>
        <v>45</v>
      </c>
      <c r="F101" s="129" t="s">
        <v>847</v>
      </c>
      <c r="G101" s="134" t="s">
        <v>885</v>
      </c>
      <c r="H101" s="132">
        <v>353930.0</v>
      </c>
      <c r="I101" s="141" t="s">
        <v>125</v>
      </c>
      <c r="J101" s="134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2.0" customHeight="1">
      <c r="A102" s="25"/>
      <c r="B102" s="126">
        <v>44872.0</v>
      </c>
      <c r="C102" s="140">
        <f t="shared" si="1"/>
        <v>44866</v>
      </c>
      <c r="D102" s="128">
        <f t="shared" si="2"/>
        <v>44872</v>
      </c>
      <c r="E102" s="129">
        <f t="shared" si="3"/>
        <v>46</v>
      </c>
      <c r="F102" s="129" t="s">
        <v>847</v>
      </c>
      <c r="G102" s="134" t="s">
        <v>865</v>
      </c>
      <c r="H102" s="132">
        <v>410400.0</v>
      </c>
      <c r="I102" s="141" t="s">
        <v>125</v>
      </c>
      <c r="J102" s="134" t="s">
        <v>920</v>
      </c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2.0" customHeight="1">
      <c r="A103" s="25"/>
      <c r="B103" s="126">
        <v>44875.0</v>
      </c>
      <c r="C103" s="140">
        <f t="shared" si="1"/>
        <v>44866</v>
      </c>
      <c r="D103" s="128">
        <f t="shared" si="2"/>
        <v>44875</v>
      </c>
      <c r="E103" s="129">
        <f t="shared" si="3"/>
        <v>46</v>
      </c>
      <c r="F103" s="129" t="s">
        <v>847</v>
      </c>
      <c r="G103" s="134" t="s">
        <v>861</v>
      </c>
      <c r="H103" s="132">
        <v>10000.0</v>
      </c>
      <c r="I103" s="141" t="s">
        <v>122</v>
      </c>
      <c r="J103" s="134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2.0" customHeight="1">
      <c r="A104" s="25"/>
      <c r="B104" s="126">
        <v>44877.0</v>
      </c>
      <c r="C104" s="140">
        <f t="shared" si="1"/>
        <v>44866</v>
      </c>
      <c r="D104" s="128">
        <f t="shared" si="2"/>
        <v>44877</v>
      </c>
      <c r="E104" s="129">
        <f t="shared" si="3"/>
        <v>46</v>
      </c>
      <c r="F104" s="129" t="s">
        <v>847</v>
      </c>
      <c r="G104" s="134" t="s">
        <v>873</v>
      </c>
      <c r="H104" s="132">
        <v>2433.0</v>
      </c>
      <c r="I104" s="141" t="s">
        <v>125</v>
      </c>
      <c r="J104" s="134" t="s">
        <v>862</v>
      </c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2.0" customHeight="1">
      <c r="A105" s="25"/>
      <c r="B105" s="126">
        <v>44882.0</v>
      </c>
      <c r="C105" s="140">
        <f t="shared" si="1"/>
        <v>44866</v>
      </c>
      <c r="D105" s="128">
        <f t="shared" si="2"/>
        <v>44882</v>
      </c>
      <c r="E105" s="129">
        <f t="shared" si="3"/>
        <v>47</v>
      </c>
      <c r="F105" s="129" t="s">
        <v>847</v>
      </c>
      <c r="G105" s="134" t="s">
        <v>921</v>
      </c>
      <c r="H105" s="132">
        <v>3083130.0</v>
      </c>
      <c r="I105" s="141" t="s">
        <v>125</v>
      </c>
      <c r="J105" s="134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2.0" customHeight="1">
      <c r="A106" s="25"/>
      <c r="B106" s="126">
        <v>44895.0</v>
      </c>
      <c r="C106" s="140">
        <f t="shared" si="1"/>
        <v>44866</v>
      </c>
      <c r="D106" s="128">
        <f t="shared" si="2"/>
        <v>44895</v>
      </c>
      <c r="E106" s="129">
        <f t="shared" si="3"/>
        <v>49</v>
      </c>
      <c r="F106" s="129" t="s">
        <v>847</v>
      </c>
      <c r="G106" s="134" t="s">
        <v>921</v>
      </c>
      <c r="H106" s="132">
        <v>4228150.0</v>
      </c>
      <c r="I106" s="141" t="s">
        <v>122</v>
      </c>
      <c r="J106" s="134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2.0" customHeight="1">
      <c r="A107" s="25"/>
      <c r="B107" s="126">
        <v>44896.0</v>
      </c>
      <c r="C107" s="140">
        <f t="shared" si="1"/>
        <v>44896</v>
      </c>
      <c r="D107" s="128">
        <f t="shared" si="2"/>
        <v>44896</v>
      </c>
      <c r="E107" s="129">
        <f t="shared" si="3"/>
        <v>49</v>
      </c>
      <c r="F107" s="129" t="s">
        <v>847</v>
      </c>
      <c r="G107" s="134" t="s">
        <v>922</v>
      </c>
      <c r="H107" s="132">
        <v>50000.0</v>
      </c>
      <c r="I107" s="141" t="s">
        <v>122</v>
      </c>
      <c r="J107" s="134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2.0" customHeight="1">
      <c r="A108" s="25"/>
      <c r="B108" s="126">
        <v>44896.0</v>
      </c>
      <c r="C108" s="140">
        <f t="shared" si="1"/>
        <v>44896</v>
      </c>
      <c r="D108" s="128">
        <f t="shared" si="2"/>
        <v>44896</v>
      </c>
      <c r="E108" s="129">
        <f t="shared" si="3"/>
        <v>49</v>
      </c>
      <c r="F108" s="129" t="s">
        <v>847</v>
      </c>
      <c r="G108" s="134" t="s">
        <v>848</v>
      </c>
      <c r="H108" s="132">
        <v>4800.0</v>
      </c>
      <c r="I108" s="141" t="s">
        <v>125</v>
      </c>
      <c r="J108" s="134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2.0" customHeight="1">
      <c r="A109" s="25"/>
      <c r="B109" s="126">
        <v>44899.0</v>
      </c>
      <c r="C109" s="140">
        <f t="shared" si="1"/>
        <v>44896</v>
      </c>
      <c r="D109" s="128">
        <f t="shared" si="2"/>
        <v>44899</v>
      </c>
      <c r="E109" s="129">
        <f t="shared" si="3"/>
        <v>50</v>
      </c>
      <c r="F109" s="129" t="s">
        <v>847</v>
      </c>
      <c r="G109" s="134" t="s">
        <v>923</v>
      </c>
      <c r="H109" s="132">
        <v>61170.0</v>
      </c>
      <c r="I109" s="141" t="s">
        <v>122</v>
      </c>
      <c r="J109" s="134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2.0" customHeight="1">
      <c r="A110" s="25"/>
      <c r="B110" s="126">
        <v>44900.0</v>
      </c>
      <c r="C110" s="140">
        <f t="shared" si="1"/>
        <v>44896</v>
      </c>
      <c r="D110" s="128">
        <f t="shared" si="2"/>
        <v>44900</v>
      </c>
      <c r="E110" s="129">
        <f t="shared" si="3"/>
        <v>50</v>
      </c>
      <c r="F110" s="129" t="s">
        <v>847</v>
      </c>
      <c r="G110" s="134" t="s">
        <v>913</v>
      </c>
      <c r="H110" s="132">
        <v>20000.0</v>
      </c>
      <c r="I110" s="141" t="s">
        <v>125</v>
      </c>
      <c r="J110" s="134" t="s">
        <v>914</v>
      </c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2.0" customHeight="1">
      <c r="A111" s="25"/>
      <c r="B111" s="126">
        <v>44909.0</v>
      </c>
      <c r="C111" s="140">
        <f t="shared" si="1"/>
        <v>44896</v>
      </c>
      <c r="D111" s="128">
        <f t="shared" si="2"/>
        <v>44909</v>
      </c>
      <c r="E111" s="129">
        <f t="shared" si="3"/>
        <v>51</v>
      </c>
      <c r="F111" s="129" t="s">
        <v>847</v>
      </c>
      <c r="G111" s="134" t="s">
        <v>865</v>
      </c>
      <c r="H111" s="132">
        <v>1185600.0</v>
      </c>
      <c r="I111" s="141" t="s">
        <v>125</v>
      </c>
      <c r="J111" s="134" t="s">
        <v>884</v>
      </c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2.0" customHeight="1">
      <c r="A112" s="25"/>
      <c r="B112" s="126">
        <v>44910.0</v>
      </c>
      <c r="C112" s="140">
        <f t="shared" si="1"/>
        <v>44896</v>
      </c>
      <c r="D112" s="128">
        <f t="shared" si="2"/>
        <v>44910</v>
      </c>
      <c r="E112" s="129">
        <f t="shared" si="3"/>
        <v>51</v>
      </c>
      <c r="F112" s="129" t="s">
        <v>847</v>
      </c>
      <c r="G112" s="134" t="s">
        <v>888</v>
      </c>
      <c r="H112" s="132">
        <v>319200.0</v>
      </c>
      <c r="I112" s="141" t="s">
        <v>125</v>
      </c>
      <c r="J112" s="134" t="s">
        <v>924</v>
      </c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2.0" customHeight="1">
      <c r="A113" s="25"/>
      <c r="B113" s="126">
        <v>44911.0</v>
      </c>
      <c r="C113" s="140">
        <f t="shared" si="1"/>
        <v>44896</v>
      </c>
      <c r="D113" s="128">
        <f t="shared" si="2"/>
        <v>44911</v>
      </c>
      <c r="E113" s="129">
        <f t="shared" si="3"/>
        <v>51</v>
      </c>
      <c r="F113" s="129" t="s">
        <v>847</v>
      </c>
      <c r="G113" s="134" t="s">
        <v>925</v>
      </c>
      <c r="H113" s="132">
        <v>3167180.0</v>
      </c>
      <c r="I113" s="141" t="s">
        <v>125</v>
      </c>
      <c r="J113" s="134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2.0" customHeight="1">
      <c r="A114" s="25"/>
      <c r="B114" s="126">
        <v>44914.0</v>
      </c>
      <c r="C114" s="140">
        <f t="shared" si="1"/>
        <v>44896</v>
      </c>
      <c r="D114" s="128">
        <f t="shared" si="2"/>
        <v>44914</v>
      </c>
      <c r="E114" s="129">
        <f t="shared" si="3"/>
        <v>52</v>
      </c>
      <c r="F114" s="129" t="s">
        <v>847</v>
      </c>
      <c r="G114" s="134" t="s">
        <v>848</v>
      </c>
      <c r="H114" s="132">
        <v>10530.0</v>
      </c>
      <c r="I114" s="141" t="s">
        <v>125</v>
      </c>
      <c r="J114" s="134" t="s">
        <v>849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2.0" customHeight="1">
      <c r="A115" s="25"/>
      <c r="B115" s="126">
        <v>44924.0</v>
      </c>
      <c r="C115" s="140">
        <f t="shared" si="1"/>
        <v>44896</v>
      </c>
      <c r="D115" s="128">
        <f t="shared" si="2"/>
        <v>44924</v>
      </c>
      <c r="E115" s="129">
        <f t="shared" si="3"/>
        <v>53</v>
      </c>
      <c r="F115" s="129" t="s">
        <v>847</v>
      </c>
      <c r="G115" s="134" t="s">
        <v>926</v>
      </c>
      <c r="H115" s="132">
        <v>100000.0</v>
      </c>
      <c r="I115" s="141" t="s">
        <v>122</v>
      </c>
      <c r="J115" s="134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2.0" customHeight="1">
      <c r="A116" s="25"/>
      <c r="B116" s="126">
        <v>44924.0</v>
      </c>
      <c r="C116" s="140">
        <f t="shared" si="1"/>
        <v>44896</v>
      </c>
      <c r="D116" s="128">
        <f t="shared" si="2"/>
        <v>44924</v>
      </c>
      <c r="E116" s="129">
        <f t="shared" si="3"/>
        <v>53</v>
      </c>
      <c r="F116" s="129" t="s">
        <v>847</v>
      </c>
      <c r="G116" s="134" t="s">
        <v>848</v>
      </c>
      <c r="H116" s="132">
        <v>5000.0</v>
      </c>
      <c r="I116" s="141" t="s">
        <v>125</v>
      </c>
      <c r="J116" s="134" t="s">
        <v>849</v>
      </c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2.0" customHeight="1">
      <c r="A117" s="25"/>
      <c r="B117" s="126">
        <v>44924.0</v>
      </c>
      <c r="C117" s="140">
        <f t="shared" si="1"/>
        <v>44896</v>
      </c>
      <c r="D117" s="128">
        <f t="shared" si="2"/>
        <v>44924</v>
      </c>
      <c r="E117" s="129">
        <f t="shared" si="3"/>
        <v>53</v>
      </c>
      <c r="F117" s="129" t="s">
        <v>847</v>
      </c>
      <c r="G117" s="134" t="s">
        <v>927</v>
      </c>
      <c r="H117" s="132">
        <v>218880.0</v>
      </c>
      <c r="I117" s="141" t="s">
        <v>125</v>
      </c>
      <c r="J117" s="134" t="s">
        <v>928</v>
      </c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2.0" customHeight="1">
      <c r="A118" s="25"/>
      <c r="B118" s="126">
        <v>44925.0</v>
      </c>
      <c r="C118" s="140">
        <f t="shared" si="1"/>
        <v>44896</v>
      </c>
      <c r="D118" s="128">
        <f t="shared" si="2"/>
        <v>44925</v>
      </c>
      <c r="E118" s="129">
        <f t="shared" si="3"/>
        <v>53</v>
      </c>
      <c r="F118" s="129" t="s">
        <v>847</v>
      </c>
      <c r="G118" s="134" t="s">
        <v>925</v>
      </c>
      <c r="H118" s="132">
        <v>4228150.0</v>
      </c>
      <c r="I118" s="141" t="s">
        <v>122</v>
      </c>
      <c r="J118" s="134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2.0" customHeight="1">
      <c r="A119" s="25"/>
      <c r="B119" s="126"/>
      <c r="C119" s="140"/>
      <c r="D119" s="128"/>
      <c r="E119" s="129"/>
      <c r="F119" s="129"/>
      <c r="G119" s="134"/>
      <c r="H119" s="132"/>
      <c r="I119" s="141"/>
      <c r="J119" s="134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2.0" customHeight="1">
      <c r="A120" s="25"/>
      <c r="B120" s="126"/>
      <c r="C120" s="140"/>
      <c r="D120" s="128"/>
      <c r="E120" s="129"/>
      <c r="F120" s="129"/>
      <c r="G120" s="134"/>
      <c r="H120" s="132"/>
      <c r="I120" s="141"/>
      <c r="J120" s="134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2.0" customHeight="1">
      <c r="A121" s="25"/>
      <c r="B121" s="126"/>
      <c r="C121" s="140"/>
      <c r="D121" s="128"/>
      <c r="E121" s="129"/>
      <c r="F121" s="129"/>
      <c r="G121" s="134"/>
      <c r="H121" s="132"/>
      <c r="I121" s="141"/>
      <c r="J121" s="134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2.0" customHeight="1">
      <c r="A122" s="25"/>
      <c r="B122" s="126"/>
      <c r="C122" s="140"/>
      <c r="D122" s="128"/>
      <c r="E122" s="129"/>
      <c r="F122" s="129"/>
      <c r="G122" s="134"/>
      <c r="H122" s="132"/>
      <c r="I122" s="141"/>
      <c r="J122" s="134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2.0" customHeight="1">
      <c r="A123" s="25"/>
      <c r="B123" s="126"/>
      <c r="C123" s="140"/>
      <c r="D123" s="128"/>
      <c r="E123" s="129"/>
      <c r="F123" s="129"/>
      <c r="G123" s="134"/>
      <c r="H123" s="132"/>
      <c r="I123" s="141"/>
      <c r="J123" s="134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2.0" customHeight="1">
      <c r="A124" s="25"/>
      <c r="B124" s="126"/>
      <c r="C124" s="140"/>
      <c r="D124" s="128"/>
      <c r="E124" s="129"/>
      <c r="F124" s="129"/>
      <c r="G124" s="134"/>
      <c r="H124" s="132"/>
      <c r="I124" s="141"/>
      <c r="J124" s="134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2.0" customHeight="1">
      <c r="A125" s="25"/>
      <c r="B125" s="126"/>
      <c r="C125" s="140"/>
      <c r="D125" s="128"/>
      <c r="E125" s="129"/>
      <c r="F125" s="129"/>
      <c r="G125" s="134"/>
      <c r="H125" s="132"/>
      <c r="I125" s="141"/>
      <c r="J125" s="134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2.0" customHeight="1">
      <c r="A126" s="25"/>
      <c r="B126" s="126"/>
      <c r="C126" s="140"/>
      <c r="D126" s="128"/>
      <c r="E126" s="129"/>
      <c r="F126" s="129"/>
      <c r="G126" s="134"/>
      <c r="H126" s="132"/>
      <c r="I126" s="141"/>
      <c r="J126" s="134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2.0" customHeight="1">
      <c r="A127" s="25"/>
      <c r="B127" s="126"/>
      <c r="C127" s="140"/>
      <c r="D127" s="128"/>
      <c r="E127" s="129"/>
      <c r="F127" s="129"/>
      <c r="G127" s="134"/>
      <c r="H127" s="132"/>
      <c r="I127" s="141"/>
      <c r="J127" s="134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2.0" customHeight="1">
      <c r="A128" s="25"/>
      <c r="B128" s="126"/>
      <c r="C128" s="140"/>
      <c r="D128" s="128"/>
      <c r="E128" s="129"/>
      <c r="F128" s="129"/>
      <c r="G128" s="134"/>
      <c r="H128" s="132"/>
      <c r="I128" s="141"/>
      <c r="J128" s="134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2.0" customHeight="1">
      <c r="A129" s="25"/>
      <c r="B129" s="126"/>
      <c r="C129" s="140"/>
      <c r="D129" s="128"/>
      <c r="E129" s="129"/>
      <c r="F129" s="129"/>
      <c r="G129" s="134"/>
      <c r="H129" s="132"/>
      <c r="I129" s="141"/>
      <c r="J129" s="134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2.0" customHeight="1">
      <c r="A130" s="25"/>
      <c r="B130" s="126"/>
      <c r="C130" s="140"/>
      <c r="D130" s="128"/>
      <c r="E130" s="129"/>
      <c r="F130" s="129"/>
      <c r="G130" s="134"/>
      <c r="H130" s="132"/>
      <c r="I130" s="141"/>
      <c r="J130" s="134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2.0" customHeight="1">
      <c r="A131" s="25"/>
      <c r="B131" s="126"/>
      <c r="C131" s="140"/>
      <c r="D131" s="128"/>
      <c r="E131" s="129"/>
      <c r="F131" s="129"/>
      <c r="G131" s="134"/>
      <c r="H131" s="132"/>
      <c r="I131" s="141"/>
      <c r="J131" s="134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2.0" customHeight="1">
      <c r="A132" s="25"/>
      <c r="B132" s="126"/>
      <c r="C132" s="140"/>
      <c r="D132" s="128"/>
      <c r="E132" s="129"/>
      <c r="F132" s="129"/>
      <c r="G132" s="134"/>
      <c r="H132" s="132"/>
      <c r="I132" s="141"/>
      <c r="J132" s="134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2.0" customHeight="1">
      <c r="A133" s="25"/>
      <c r="B133" s="126"/>
      <c r="C133" s="140"/>
      <c r="D133" s="128"/>
      <c r="E133" s="129"/>
      <c r="F133" s="129"/>
      <c r="G133" s="134"/>
      <c r="H133" s="132"/>
      <c r="I133" s="141"/>
      <c r="J133" s="134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2.0" customHeight="1">
      <c r="A134" s="25"/>
      <c r="B134" s="126"/>
      <c r="C134" s="140"/>
      <c r="D134" s="128"/>
      <c r="E134" s="129"/>
      <c r="F134" s="129"/>
      <c r="G134" s="134"/>
      <c r="H134" s="132"/>
      <c r="I134" s="141"/>
      <c r="J134" s="134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2.0" customHeight="1">
      <c r="A135" s="25"/>
      <c r="B135" s="126"/>
      <c r="C135" s="140"/>
      <c r="D135" s="128"/>
      <c r="E135" s="129"/>
      <c r="F135" s="129"/>
      <c r="G135" s="134"/>
      <c r="H135" s="132"/>
      <c r="I135" s="141"/>
      <c r="J135" s="134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2.0" customHeight="1">
      <c r="A136" s="25"/>
      <c r="B136" s="126"/>
      <c r="C136" s="140"/>
      <c r="D136" s="128"/>
      <c r="E136" s="129"/>
      <c r="F136" s="129"/>
      <c r="G136" s="134"/>
      <c r="H136" s="132"/>
      <c r="I136" s="141"/>
      <c r="J136" s="134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2.0" customHeight="1">
      <c r="A137" s="25"/>
      <c r="B137" s="126"/>
      <c r="C137" s="140"/>
      <c r="D137" s="128"/>
      <c r="E137" s="129"/>
      <c r="F137" s="129"/>
      <c r="G137" s="134"/>
      <c r="H137" s="132"/>
      <c r="I137" s="141"/>
      <c r="J137" s="134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2.0" customHeight="1">
      <c r="A138" s="25"/>
      <c r="B138" s="126"/>
      <c r="C138" s="140"/>
      <c r="D138" s="128"/>
      <c r="E138" s="129"/>
      <c r="F138" s="129"/>
      <c r="G138" s="134"/>
      <c r="H138" s="132"/>
      <c r="I138" s="141"/>
      <c r="J138" s="134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2.0" customHeight="1">
      <c r="A139" s="25"/>
      <c r="B139" s="126"/>
      <c r="C139" s="140"/>
      <c r="D139" s="128"/>
      <c r="E139" s="129"/>
      <c r="F139" s="129"/>
      <c r="G139" s="134"/>
      <c r="H139" s="132"/>
      <c r="I139" s="141"/>
      <c r="J139" s="134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2.0" customHeight="1">
      <c r="A140" s="25"/>
      <c r="B140" s="126"/>
      <c r="C140" s="140"/>
      <c r="D140" s="128"/>
      <c r="E140" s="129"/>
      <c r="F140" s="129"/>
      <c r="G140" s="134"/>
      <c r="H140" s="132"/>
      <c r="I140" s="141"/>
      <c r="J140" s="134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2.0" customHeight="1">
      <c r="A141" s="25"/>
      <c r="B141" s="126"/>
      <c r="C141" s="140"/>
      <c r="D141" s="128"/>
      <c r="E141" s="129"/>
      <c r="F141" s="129"/>
      <c r="G141" s="134"/>
      <c r="H141" s="132"/>
      <c r="I141" s="141"/>
      <c r="J141" s="134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2.0" customHeight="1">
      <c r="A142" s="25"/>
      <c r="B142" s="126"/>
      <c r="C142" s="140"/>
      <c r="D142" s="128"/>
      <c r="E142" s="129"/>
      <c r="F142" s="129"/>
      <c r="G142" s="134"/>
      <c r="H142" s="132"/>
      <c r="I142" s="141"/>
      <c r="J142" s="134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2.0" customHeight="1">
      <c r="A143" s="25"/>
      <c r="B143" s="126"/>
      <c r="C143" s="140"/>
      <c r="D143" s="128"/>
      <c r="E143" s="129"/>
      <c r="F143" s="129"/>
      <c r="G143" s="134"/>
      <c r="H143" s="132"/>
      <c r="I143" s="141"/>
      <c r="J143" s="134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2.0" customHeight="1">
      <c r="A144" s="25"/>
      <c r="B144" s="126"/>
      <c r="C144" s="140"/>
      <c r="D144" s="128"/>
      <c r="E144" s="129"/>
      <c r="F144" s="129"/>
      <c r="G144" s="134"/>
      <c r="H144" s="132"/>
      <c r="I144" s="141"/>
      <c r="J144" s="134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2.0" customHeight="1">
      <c r="A145" s="25"/>
      <c r="B145" s="126"/>
      <c r="C145" s="140"/>
      <c r="D145" s="128"/>
      <c r="E145" s="129"/>
      <c r="F145" s="129"/>
      <c r="G145" s="134"/>
      <c r="H145" s="132"/>
      <c r="I145" s="141"/>
      <c r="J145" s="134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2.0" customHeight="1">
      <c r="A146" s="25"/>
      <c r="B146" s="126"/>
      <c r="C146" s="140"/>
      <c r="D146" s="128"/>
      <c r="E146" s="129"/>
      <c r="F146" s="129"/>
      <c r="G146" s="134"/>
      <c r="H146" s="132"/>
      <c r="I146" s="141"/>
      <c r="J146" s="134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2.0" customHeight="1">
      <c r="A147" s="25"/>
      <c r="B147" s="126"/>
      <c r="C147" s="140"/>
      <c r="D147" s="128"/>
      <c r="E147" s="129"/>
      <c r="F147" s="129"/>
      <c r="G147" s="134"/>
      <c r="H147" s="132"/>
      <c r="I147" s="141"/>
      <c r="J147" s="134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2.0" customHeight="1">
      <c r="A148" s="25"/>
      <c r="B148" s="126"/>
      <c r="C148" s="140"/>
      <c r="D148" s="128"/>
      <c r="E148" s="129"/>
      <c r="F148" s="129"/>
      <c r="G148" s="134"/>
      <c r="H148" s="132"/>
      <c r="I148" s="141"/>
      <c r="J148" s="134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2.0" customHeight="1">
      <c r="A149" s="25"/>
      <c r="B149" s="126"/>
      <c r="C149" s="140"/>
      <c r="D149" s="128"/>
      <c r="E149" s="129"/>
      <c r="F149" s="129"/>
      <c r="G149" s="134"/>
      <c r="H149" s="132"/>
      <c r="I149" s="141"/>
      <c r="J149" s="134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2.0" customHeight="1">
      <c r="A150" s="25"/>
      <c r="B150" s="126"/>
      <c r="C150" s="140"/>
      <c r="D150" s="128"/>
      <c r="E150" s="129"/>
      <c r="F150" s="129"/>
      <c r="G150" s="134"/>
      <c r="H150" s="132"/>
      <c r="I150" s="141"/>
      <c r="J150" s="134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2.0" customHeight="1">
      <c r="A151" s="25"/>
      <c r="B151" s="126"/>
      <c r="C151" s="140"/>
      <c r="D151" s="128"/>
      <c r="E151" s="129"/>
      <c r="F151" s="129"/>
      <c r="G151" s="134"/>
      <c r="H151" s="132"/>
      <c r="I151" s="141"/>
      <c r="J151" s="134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2.0" customHeight="1">
      <c r="A152" s="25"/>
      <c r="B152" s="126"/>
      <c r="C152" s="140"/>
      <c r="D152" s="128"/>
      <c r="E152" s="129"/>
      <c r="F152" s="129"/>
      <c r="G152" s="134"/>
      <c r="H152" s="132"/>
      <c r="I152" s="141"/>
      <c r="J152" s="134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2.0" customHeight="1">
      <c r="A153" s="25"/>
      <c r="B153" s="126"/>
      <c r="C153" s="140"/>
      <c r="D153" s="128"/>
      <c r="E153" s="129"/>
      <c r="F153" s="129"/>
      <c r="G153" s="134"/>
      <c r="H153" s="132"/>
      <c r="I153" s="141"/>
      <c r="J153" s="134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2.0" customHeight="1">
      <c r="A154" s="25"/>
      <c r="B154" s="126"/>
      <c r="C154" s="140"/>
      <c r="D154" s="128"/>
      <c r="E154" s="129"/>
      <c r="F154" s="129"/>
      <c r="G154" s="134"/>
      <c r="H154" s="132"/>
      <c r="I154" s="141"/>
      <c r="J154" s="134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2.0" customHeight="1">
      <c r="A155" s="25"/>
      <c r="B155" s="126"/>
      <c r="C155" s="140"/>
      <c r="D155" s="128"/>
      <c r="E155" s="129"/>
      <c r="F155" s="129"/>
      <c r="G155" s="134"/>
      <c r="H155" s="132"/>
      <c r="I155" s="141"/>
      <c r="J155" s="134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2.0" customHeight="1">
      <c r="A156" s="25"/>
      <c r="B156" s="126"/>
      <c r="C156" s="140"/>
      <c r="D156" s="128"/>
      <c r="E156" s="129"/>
      <c r="F156" s="129"/>
      <c r="G156" s="134"/>
      <c r="H156" s="132"/>
      <c r="I156" s="141"/>
      <c r="J156" s="134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2.0" customHeight="1">
      <c r="A157" s="25"/>
      <c r="B157" s="126"/>
      <c r="C157" s="140"/>
      <c r="D157" s="128"/>
      <c r="E157" s="129"/>
      <c r="F157" s="129"/>
      <c r="G157" s="134"/>
      <c r="H157" s="132"/>
      <c r="I157" s="141"/>
      <c r="J157" s="134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2.0" customHeight="1">
      <c r="A158" s="25"/>
      <c r="B158" s="126"/>
      <c r="C158" s="140"/>
      <c r="D158" s="128"/>
      <c r="E158" s="129"/>
      <c r="F158" s="129"/>
      <c r="G158" s="134"/>
      <c r="H158" s="132"/>
      <c r="I158" s="141"/>
      <c r="J158" s="134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2.0" customHeight="1">
      <c r="A159" s="25"/>
      <c r="B159" s="126"/>
      <c r="C159" s="140"/>
      <c r="D159" s="128"/>
      <c r="E159" s="129"/>
      <c r="F159" s="129"/>
      <c r="G159" s="134"/>
      <c r="H159" s="132"/>
      <c r="I159" s="141"/>
      <c r="J159" s="134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2.0" customHeight="1">
      <c r="A160" s="25"/>
      <c r="B160" s="126"/>
      <c r="C160" s="140"/>
      <c r="D160" s="128"/>
      <c r="E160" s="129"/>
      <c r="F160" s="129"/>
      <c r="G160" s="134"/>
      <c r="H160" s="132"/>
      <c r="I160" s="141"/>
      <c r="J160" s="134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2.0" customHeight="1">
      <c r="A161" s="25"/>
      <c r="B161" s="126"/>
      <c r="C161" s="140"/>
      <c r="D161" s="128"/>
      <c r="E161" s="129"/>
      <c r="F161" s="129"/>
      <c r="G161" s="134"/>
      <c r="H161" s="132"/>
      <c r="I161" s="141"/>
      <c r="J161" s="134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2.0" customHeight="1">
      <c r="A162" s="25"/>
      <c r="B162" s="126"/>
      <c r="C162" s="140"/>
      <c r="D162" s="128"/>
      <c r="E162" s="129"/>
      <c r="F162" s="129"/>
      <c r="G162" s="134"/>
      <c r="H162" s="132"/>
      <c r="I162" s="141"/>
      <c r="J162" s="134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2.0" customHeight="1">
      <c r="A163" s="25"/>
      <c r="B163" s="126"/>
      <c r="C163" s="140"/>
      <c r="D163" s="128"/>
      <c r="E163" s="129"/>
      <c r="F163" s="129"/>
      <c r="G163" s="134"/>
      <c r="H163" s="132"/>
      <c r="I163" s="141"/>
      <c r="J163" s="134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2.0" customHeight="1">
      <c r="A164" s="25"/>
      <c r="B164" s="126"/>
      <c r="C164" s="140"/>
      <c r="D164" s="128"/>
      <c r="E164" s="129"/>
      <c r="F164" s="129"/>
      <c r="G164" s="134"/>
      <c r="H164" s="132"/>
      <c r="I164" s="141"/>
      <c r="J164" s="134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2.0" customHeight="1">
      <c r="A165" s="25"/>
      <c r="B165" s="126"/>
      <c r="C165" s="140"/>
      <c r="D165" s="128"/>
      <c r="E165" s="129"/>
      <c r="F165" s="129"/>
      <c r="G165" s="134"/>
      <c r="H165" s="132"/>
      <c r="I165" s="141"/>
      <c r="J165" s="134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2.0" customHeight="1">
      <c r="A166" s="25"/>
      <c r="B166" s="126"/>
      <c r="C166" s="140"/>
      <c r="D166" s="128"/>
      <c r="E166" s="129"/>
      <c r="F166" s="129"/>
      <c r="G166" s="134"/>
      <c r="H166" s="132"/>
      <c r="I166" s="141"/>
      <c r="J166" s="134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2.0" customHeight="1">
      <c r="A167" s="25"/>
      <c r="B167" s="126"/>
      <c r="C167" s="140"/>
      <c r="D167" s="128"/>
      <c r="E167" s="129"/>
      <c r="F167" s="129"/>
      <c r="G167" s="134"/>
      <c r="H167" s="132"/>
      <c r="I167" s="141"/>
      <c r="J167" s="134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2.0" customHeight="1">
      <c r="A168" s="25"/>
      <c r="B168" s="126"/>
      <c r="C168" s="140"/>
      <c r="D168" s="128"/>
      <c r="E168" s="129"/>
      <c r="F168" s="129"/>
      <c r="G168" s="134"/>
      <c r="H168" s="132"/>
      <c r="I168" s="141"/>
      <c r="J168" s="134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2.0" customHeight="1">
      <c r="A169" s="25"/>
      <c r="B169" s="126"/>
      <c r="C169" s="140"/>
      <c r="D169" s="128"/>
      <c r="E169" s="129"/>
      <c r="F169" s="129"/>
      <c r="G169" s="134"/>
      <c r="H169" s="132"/>
      <c r="I169" s="141"/>
      <c r="J169" s="134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2.0" customHeight="1">
      <c r="A170" s="25"/>
      <c r="B170" s="126"/>
      <c r="C170" s="140"/>
      <c r="D170" s="128"/>
      <c r="E170" s="129"/>
      <c r="F170" s="129"/>
      <c r="G170" s="134"/>
      <c r="H170" s="132"/>
      <c r="I170" s="141"/>
      <c r="J170" s="134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2.0" customHeight="1">
      <c r="A171" s="25"/>
      <c r="B171" s="126"/>
      <c r="C171" s="140"/>
      <c r="D171" s="128"/>
      <c r="E171" s="129"/>
      <c r="F171" s="129"/>
      <c r="G171" s="134"/>
      <c r="H171" s="132"/>
      <c r="I171" s="141"/>
      <c r="J171" s="134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2.0" customHeight="1">
      <c r="A172" s="25"/>
      <c r="B172" s="126"/>
      <c r="C172" s="140"/>
      <c r="D172" s="128"/>
      <c r="E172" s="129"/>
      <c r="F172" s="129"/>
      <c r="G172" s="134"/>
      <c r="H172" s="132"/>
      <c r="I172" s="141"/>
      <c r="J172" s="134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2.0" customHeight="1">
      <c r="A173" s="25"/>
      <c r="B173" s="126"/>
      <c r="C173" s="140"/>
      <c r="D173" s="128"/>
      <c r="E173" s="129"/>
      <c r="F173" s="129"/>
      <c r="G173" s="134"/>
      <c r="H173" s="132"/>
      <c r="I173" s="141"/>
      <c r="J173" s="134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2.0" customHeight="1">
      <c r="A174" s="25"/>
      <c r="B174" s="126"/>
      <c r="C174" s="140"/>
      <c r="D174" s="128"/>
      <c r="E174" s="129"/>
      <c r="F174" s="129"/>
      <c r="G174" s="134"/>
      <c r="H174" s="132"/>
      <c r="I174" s="141"/>
      <c r="J174" s="134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2.0" customHeight="1">
      <c r="A175" s="25"/>
      <c r="B175" s="126"/>
      <c r="C175" s="140"/>
      <c r="D175" s="128"/>
      <c r="E175" s="129"/>
      <c r="F175" s="129"/>
      <c r="G175" s="134"/>
      <c r="H175" s="132"/>
      <c r="I175" s="141"/>
      <c r="J175" s="134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2.0" customHeight="1">
      <c r="A176" s="25"/>
      <c r="B176" s="126"/>
      <c r="C176" s="140"/>
      <c r="D176" s="128"/>
      <c r="E176" s="129"/>
      <c r="F176" s="129"/>
      <c r="G176" s="134"/>
      <c r="H176" s="132"/>
      <c r="I176" s="141"/>
      <c r="J176" s="134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2.0" customHeight="1">
      <c r="A177" s="25"/>
      <c r="B177" s="126"/>
      <c r="C177" s="140"/>
      <c r="D177" s="128"/>
      <c r="E177" s="129"/>
      <c r="F177" s="129"/>
      <c r="G177" s="134"/>
      <c r="H177" s="132"/>
      <c r="I177" s="141"/>
      <c r="J177" s="134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2.0" customHeight="1">
      <c r="A178" s="25"/>
      <c r="B178" s="126"/>
      <c r="C178" s="140"/>
      <c r="D178" s="128"/>
      <c r="E178" s="129"/>
      <c r="F178" s="129"/>
      <c r="G178" s="134"/>
      <c r="H178" s="132"/>
      <c r="I178" s="141"/>
      <c r="J178" s="134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2.0" customHeight="1">
      <c r="A179" s="25"/>
      <c r="B179" s="126"/>
      <c r="C179" s="140"/>
      <c r="D179" s="128"/>
      <c r="E179" s="129"/>
      <c r="F179" s="129"/>
      <c r="G179" s="134"/>
      <c r="H179" s="132"/>
      <c r="I179" s="141"/>
      <c r="J179" s="134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2.0" customHeight="1">
      <c r="A180" s="25"/>
      <c r="B180" s="126"/>
      <c r="C180" s="140"/>
      <c r="D180" s="128"/>
      <c r="E180" s="129"/>
      <c r="F180" s="129"/>
      <c r="G180" s="134"/>
      <c r="H180" s="132"/>
      <c r="I180" s="141"/>
      <c r="J180" s="134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2.0" customHeight="1">
      <c r="A181" s="25"/>
      <c r="B181" s="126"/>
      <c r="C181" s="140"/>
      <c r="D181" s="128"/>
      <c r="E181" s="129"/>
      <c r="F181" s="129"/>
      <c r="G181" s="134"/>
      <c r="H181" s="132"/>
      <c r="I181" s="141"/>
      <c r="J181" s="134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2.0" customHeight="1">
      <c r="A182" s="25"/>
      <c r="B182" s="126"/>
      <c r="C182" s="140"/>
      <c r="D182" s="128"/>
      <c r="E182" s="129"/>
      <c r="F182" s="129"/>
      <c r="G182" s="134"/>
      <c r="H182" s="132"/>
      <c r="I182" s="141"/>
      <c r="J182" s="134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2.0" customHeight="1">
      <c r="A183" s="25"/>
      <c r="B183" s="126"/>
      <c r="C183" s="140"/>
      <c r="D183" s="128"/>
      <c r="E183" s="129"/>
      <c r="F183" s="129"/>
      <c r="G183" s="134"/>
      <c r="H183" s="132"/>
      <c r="I183" s="141"/>
      <c r="J183" s="134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2.0" customHeight="1">
      <c r="A184" s="25"/>
      <c r="B184" s="126"/>
      <c r="C184" s="140"/>
      <c r="D184" s="128"/>
      <c r="E184" s="129"/>
      <c r="F184" s="129"/>
      <c r="G184" s="134"/>
      <c r="H184" s="132"/>
      <c r="I184" s="141"/>
      <c r="J184" s="134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2.0" customHeight="1">
      <c r="A185" s="25"/>
      <c r="B185" s="126"/>
      <c r="C185" s="140"/>
      <c r="D185" s="128"/>
      <c r="E185" s="129"/>
      <c r="F185" s="129"/>
      <c r="G185" s="134"/>
      <c r="H185" s="132"/>
      <c r="I185" s="141"/>
      <c r="J185" s="134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2.0" customHeight="1">
      <c r="A186" s="25"/>
      <c r="B186" s="126"/>
      <c r="C186" s="140"/>
      <c r="D186" s="128"/>
      <c r="E186" s="129"/>
      <c r="F186" s="129"/>
      <c r="G186" s="134"/>
      <c r="H186" s="132"/>
      <c r="I186" s="141"/>
      <c r="J186" s="134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2.0" customHeight="1">
      <c r="A187" s="25"/>
      <c r="B187" s="126"/>
      <c r="C187" s="140"/>
      <c r="D187" s="128"/>
      <c r="E187" s="129"/>
      <c r="F187" s="129"/>
      <c r="G187" s="134"/>
      <c r="H187" s="132"/>
      <c r="I187" s="141"/>
      <c r="J187" s="134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2.0" customHeight="1">
      <c r="A188" s="25"/>
      <c r="B188" s="126"/>
      <c r="C188" s="140"/>
      <c r="D188" s="128"/>
      <c r="E188" s="129"/>
      <c r="F188" s="129"/>
      <c r="G188" s="134"/>
      <c r="H188" s="132"/>
      <c r="I188" s="141"/>
      <c r="J188" s="134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2.0" customHeight="1">
      <c r="A189" s="25"/>
      <c r="B189" s="126"/>
      <c r="C189" s="140"/>
      <c r="D189" s="128"/>
      <c r="E189" s="129"/>
      <c r="F189" s="129"/>
      <c r="G189" s="134"/>
      <c r="H189" s="132"/>
      <c r="I189" s="141"/>
      <c r="J189" s="134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2.0" customHeight="1">
      <c r="A190" s="25"/>
      <c r="B190" s="126"/>
      <c r="C190" s="140"/>
      <c r="D190" s="128"/>
      <c r="E190" s="129"/>
      <c r="F190" s="129"/>
      <c r="G190" s="134"/>
      <c r="H190" s="132"/>
      <c r="I190" s="141"/>
      <c r="J190" s="134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2.0" customHeight="1">
      <c r="A191" s="25"/>
      <c r="B191" s="126"/>
      <c r="C191" s="140"/>
      <c r="D191" s="128"/>
      <c r="E191" s="129"/>
      <c r="F191" s="129"/>
      <c r="G191" s="134"/>
      <c r="H191" s="132"/>
      <c r="I191" s="141"/>
      <c r="J191" s="134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2.0" customHeight="1">
      <c r="A192" s="25"/>
      <c r="B192" s="126"/>
      <c r="C192" s="140"/>
      <c r="D192" s="128"/>
      <c r="E192" s="129"/>
      <c r="F192" s="129"/>
      <c r="G192" s="134"/>
      <c r="H192" s="132"/>
      <c r="I192" s="141"/>
      <c r="J192" s="134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2.0" customHeight="1">
      <c r="A193" s="25"/>
      <c r="B193" s="126"/>
      <c r="C193" s="140"/>
      <c r="D193" s="128"/>
      <c r="E193" s="129"/>
      <c r="F193" s="129"/>
      <c r="G193" s="134"/>
      <c r="H193" s="132"/>
      <c r="I193" s="141"/>
      <c r="J193" s="134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2.0" customHeight="1">
      <c r="A194" s="25"/>
      <c r="B194" s="126"/>
      <c r="C194" s="140"/>
      <c r="D194" s="128"/>
      <c r="E194" s="129"/>
      <c r="F194" s="129"/>
      <c r="G194" s="134"/>
      <c r="H194" s="132"/>
      <c r="I194" s="141"/>
      <c r="J194" s="134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2.0" customHeight="1">
      <c r="A195" s="25"/>
      <c r="B195" s="126"/>
      <c r="C195" s="140"/>
      <c r="D195" s="128"/>
      <c r="E195" s="129"/>
      <c r="F195" s="129"/>
      <c r="G195" s="134"/>
      <c r="H195" s="132"/>
      <c r="I195" s="141"/>
      <c r="J195" s="134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2.0" customHeight="1">
      <c r="A196" s="25"/>
      <c r="B196" s="126"/>
      <c r="C196" s="140"/>
      <c r="D196" s="128"/>
      <c r="E196" s="129"/>
      <c r="F196" s="129"/>
      <c r="G196" s="134"/>
      <c r="H196" s="132"/>
      <c r="I196" s="141"/>
      <c r="J196" s="134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2.0" customHeight="1">
      <c r="A197" s="25"/>
      <c r="B197" s="126"/>
      <c r="C197" s="140"/>
      <c r="D197" s="128"/>
      <c r="E197" s="129"/>
      <c r="F197" s="129"/>
      <c r="G197" s="134"/>
      <c r="H197" s="132"/>
      <c r="I197" s="141"/>
      <c r="J197" s="134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2.0" customHeight="1">
      <c r="A198" s="25"/>
      <c r="B198" s="126"/>
      <c r="C198" s="140"/>
      <c r="D198" s="128"/>
      <c r="E198" s="129"/>
      <c r="F198" s="129"/>
      <c r="G198" s="134"/>
      <c r="H198" s="132"/>
      <c r="I198" s="141"/>
      <c r="J198" s="134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2.0" customHeight="1">
      <c r="A199" s="25"/>
      <c r="B199" s="126"/>
      <c r="C199" s="140"/>
      <c r="D199" s="128"/>
      <c r="E199" s="129"/>
      <c r="F199" s="129"/>
      <c r="G199" s="134"/>
      <c r="H199" s="132"/>
      <c r="I199" s="141"/>
      <c r="J199" s="134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2.0" customHeight="1">
      <c r="A200" s="25"/>
      <c r="B200" s="126"/>
      <c r="C200" s="140"/>
      <c r="D200" s="128"/>
      <c r="E200" s="129"/>
      <c r="F200" s="129"/>
      <c r="G200" s="134"/>
      <c r="H200" s="132"/>
      <c r="I200" s="141"/>
      <c r="J200" s="134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2.0" customHeight="1">
      <c r="A201" s="25"/>
      <c r="B201" s="126"/>
      <c r="C201" s="140"/>
      <c r="D201" s="128"/>
      <c r="E201" s="129"/>
      <c r="F201" s="129"/>
      <c r="G201" s="134"/>
      <c r="H201" s="132"/>
      <c r="I201" s="141"/>
      <c r="J201" s="134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2.0" customHeight="1">
      <c r="A202" s="25"/>
      <c r="B202" s="126"/>
      <c r="C202" s="140"/>
      <c r="D202" s="128"/>
      <c r="E202" s="129"/>
      <c r="F202" s="129"/>
      <c r="G202" s="134"/>
      <c r="H202" s="132"/>
      <c r="I202" s="141"/>
      <c r="J202" s="134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2.0" customHeight="1">
      <c r="A203" s="25"/>
      <c r="B203" s="126"/>
      <c r="C203" s="140"/>
      <c r="D203" s="128"/>
      <c r="E203" s="129"/>
      <c r="F203" s="129"/>
      <c r="G203" s="134"/>
      <c r="H203" s="132"/>
      <c r="I203" s="141"/>
      <c r="J203" s="134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2.0" customHeight="1">
      <c r="A204" s="25"/>
      <c r="B204" s="126"/>
      <c r="C204" s="140"/>
      <c r="D204" s="128"/>
      <c r="E204" s="129"/>
      <c r="F204" s="129"/>
      <c r="G204" s="134"/>
      <c r="H204" s="132"/>
      <c r="I204" s="141"/>
      <c r="J204" s="134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2.0" customHeight="1">
      <c r="A205" s="25"/>
      <c r="B205" s="126"/>
      <c r="C205" s="140"/>
      <c r="D205" s="128"/>
      <c r="E205" s="129"/>
      <c r="F205" s="129"/>
      <c r="G205" s="134"/>
      <c r="H205" s="132"/>
      <c r="I205" s="141"/>
      <c r="J205" s="134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2.0" customHeight="1">
      <c r="A206" s="25"/>
      <c r="B206" s="126"/>
      <c r="C206" s="140"/>
      <c r="D206" s="128"/>
      <c r="E206" s="129"/>
      <c r="F206" s="129"/>
      <c r="G206" s="134"/>
      <c r="H206" s="132"/>
      <c r="I206" s="141"/>
      <c r="J206" s="134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2.0" customHeight="1">
      <c r="A207" s="25"/>
      <c r="B207" s="126"/>
      <c r="C207" s="140"/>
      <c r="D207" s="128"/>
      <c r="E207" s="129"/>
      <c r="F207" s="129"/>
      <c r="G207" s="134"/>
      <c r="H207" s="132"/>
      <c r="I207" s="141"/>
      <c r="J207" s="134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2.0" customHeight="1">
      <c r="A208" s="25"/>
      <c r="B208" s="126"/>
      <c r="C208" s="140"/>
      <c r="D208" s="128"/>
      <c r="E208" s="129"/>
      <c r="F208" s="129"/>
      <c r="G208" s="134"/>
      <c r="H208" s="132"/>
      <c r="I208" s="141"/>
      <c r="J208" s="134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2.0" customHeight="1">
      <c r="A209" s="25"/>
      <c r="B209" s="126"/>
      <c r="C209" s="140"/>
      <c r="D209" s="128"/>
      <c r="E209" s="129"/>
      <c r="F209" s="129"/>
      <c r="G209" s="134"/>
      <c r="H209" s="132"/>
      <c r="I209" s="141"/>
      <c r="J209" s="134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2.0" customHeight="1">
      <c r="A210" s="25"/>
      <c r="B210" s="126"/>
      <c r="C210" s="140"/>
      <c r="D210" s="128"/>
      <c r="E210" s="129"/>
      <c r="F210" s="129"/>
      <c r="G210" s="134"/>
      <c r="H210" s="132"/>
      <c r="I210" s="141"/>
      <c r="J210" s="134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2.0" customHeight="1">
      <c r="A211" s="25"/>
      <c r="B211" s="126"/>
      <c r="C211" s="140"/>
      <c r="D211" s="128"/>
      <c r="E211" s="129"/>
      <c r="F211" s="129"/>
      <c r="G211" s="134"/>
      <c r="H211" s="132"/>
      <c r="I211" s="141"/>
      <c r="J211" s="134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2.0" customHeight="1">
      <c r="A212" s="25"/>
      <c r="B212" s="126"/>
      <c r="C212" s="140"/>
      <c r="D212" s="128"/>
      <c r="E212" s="129"/>
      <c r="F212" s="129"/>
      <c r="G212" s="134"/>
      <c r="H212" s="132"/>
      <c r="I212" s="141"/>
      <c r="J212" s="134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2.0" customHeight="1">
      <c r="A213" s="25"/>
      <c r="B213" s="126"/>
      <c r="C213" s="140"/>
      <c r="D213" s="128"/>
      <c r="E213" s="129"/>
      <c r="F213" s="129"/>
      <c r="G213" s="134"/>
      <c r="H213" s="132"/>
      <c r="I213" s="141"/>
      <c r="J213" s="134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2.0" customHeight="1">
      <c r="A214" s="25"/>
      <c r="B214" s="126"/>
      <c r="C214" s="140"/>
      <c r="D214" s="128"/>
      <c r="E214" s="129"/>
      <c r="F214" s="129"/>
      <c r="G214" s="134"/>
      <c r="H214" s="132"/>
      <c r="I214" s="141"/>
      <c r="J214" s="134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2.0" customHeight="1">
      <c r="A215" s="25"/>
      <c r="B215" s="126"/>
      <c r="C215" s="140"/>
      <c r="D215" s="128"/>
      <c r="E215" s="129"/>
      <c r="F215" s="129"/>
      <c r="G215" s="134"/>
      <c r="H215" s="132"/>
      <c r="I215" s="141"/>
      <c r="J215" s="134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2.0" customHeight="1">
      <c r="A216" s="25"/>
      <c r="B216" s="126"/>
      <c r="C216" s="140"/>
      <c r="D216" s="128"/>
      <c r="E216" s="129"/>
      <c r="F216" s="129"/>
      <c r="G216" s="134"/>
      <c r="H216" s="132"/>
      <c r="I216" s="141"/>
      <c r="J216" s="134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2.0" customHeight="1">
      <c r="A217" s="25"/>
      <c r="B217" s="126"/>
      <c r="C217" s="140"/>
      <c r="D217" s="128"/>
      <c r="E217" s="129"/>
      <c r="F217" s="129"/>
      <c r="G217" s="134"/>
      <c r="H217" s="132"/>
      <c r="I217" s="141"/>
      <c r="J217" s="134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2.0" customHeight="1">
      <c r="A218" s="25"/>
      <c r="B218" s="126"/>
      <c r="C218" s="140"/>
      <c r="D218" s="128"/>
      <c r="E218" s="129"/>
      <c r="F218" s="129"/>
      <c r="G218" s="134"/>
      <c r="H218" s="132"/>
      <c r="I218" s="141"/>
      <c r="J218" s="134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2.0" customHeight="1">
      <c r="A219" s="25"/>
      <c r="B219" s="126"/>
      <c r="C219" s="140"/>
      <c r="D219" s="128"/>
      <c r="E219" s="129"/>
      <c r="F219" s="129"/>
      <c r="G219" s="134"/>
      <c r="H219" s="132"/>
      <c r="I219" s="141"/>
      <c r="J219" s="134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2.0" customHeight="1">
      <c r="A220" s="25"/>
      <c r="B220" s="126"/>
      <c r="C220" s="140"/>
      <c r="D220" s="128"/>
      <c r="E220" s="129"/>
      <c r="F220" s="129"/>
      <c r="G220" s="134"/>
      <c r="H220" s="132"/>
      <c r="I220" s="141"/>
      <c r="J220" s="134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2.0" customHeight="1">
      <c r="A221" s="25"/>
      <c r="B221" s="126"/>
      <c r="C221" s="140"/>
      <c r="D221" s="128"/>
      <c r="E221" s="129"/>
      <c r="F221" s="129"/>
      <c r="G221" s="134"/>
      <c r="H221" s="132"/>
      <c r="I221" s="141"/>
      <c r="J221" s="134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2.0" customHeight="1">
      <c r="A222" s="25"/>
      <c r="B222" s="126"/>
      <c r="C222" s="140"/>
      <c r="D222" s="128"/>
      <c r="E222" s="129"/>
      <c r="F222" s="129"/>
      <c r="G222" s="134"/>
      <c r="H222" s="132"/>
      <c r="I222" s="141"/>
      <c r="J222" s="134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2.0" customHeight="1">
      <c r="A223" s="25"/>
      <c r="B223" s="126"/>
      <c r="C223" s="140"/>
      <c r="D223" s="128"/>
      <c r="E223" s="129"/>
      <c r="F223" s="129"/>
      <c r="G223" s="134"/>
      <c r="H223" s="132"/>
      <c r="I223" s="141"/>
      <c r="J223" s="134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2.0" customHeight="1">
      <c r="A224" s="25"/>
      <c r="B224" s="126"/>
      <c r="C224" s="140"/>
      <c r="D224" s="128"/>
      <c r="E224" s="129"/>
      <c r="F224" s="129"/>
      <c r="G224" s="134"/>
      <c r="H224" s="132"/>
      <c r="I224" s="141"/>
      <c r="J224" s="134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2.0" customHeight="1">
      <c r="A225" s="25"/>
      <c r="B225" s="126"/>
      <c r="C225" s="140"/>
      <c r="D225" s="128"/>
      <c r="E225" s="129"/>
      <c r="F225" s="129"/>
      <c r="G225" s="134"/>
      <c r="H225" s="132"/>
      <c r="I225" s="141"/>
      <c r="J225" s="134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2.0" customHeight="1">
      <c r="A226" s="25"/>
      <c r="B226" s="126"/>
      <c r="C226" s="140"/>
      <c r="D226" s="128"/>
      <c r="E226" s="129"/>
      <c r="F226" s="129"/>
      <c r="G226" s="134"/>
      <c r="H226" s="132"/>
      <c r="I226" s="141"/>
      <c r="J226" s="134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2.0" customHeight="1">
      <c r="A227" s="25"/>
      <c r="B227" s="126"/>
      <c r="C227" s="140"/>
      <c r="D227" s="128"/>
      <c r="E227" s="129"/>
      <c r="F227" s="129"/>
      <c r="G227" s="134"/>
      <c r="H227" s="132"/>
      <c r="I227" s="141"/>
      <c r="J227" s="134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2.0" customHeight="1">
      <c r="A228" s="25"/>
      <c r="B228" s="126"/>
      <c r="C228" s="140"/>
      <c r="D228" s="128"/>
      <c r="E228" s="129"/>
      <c r="F228" s="129"/>
      <c r="G228" s="134"/>
      <c r="H228" s="132"/>
      <c r="I228" s="141"/>
      <c r="J228" s="134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2.0" customHeight="1">
      <c r="A229" s="25"/>
      <c r="B229" s="126"/>
      <c r="C229" s="140"/>
      <c r="D229" s="128"/>
      <c r="E229" s="129"/>
      <c r="F229" s="129"/>
      <c r="G229" s="134"/>
      <c r="H229" s="132"/>
      <c r="I229" s="141"/>
      <c r="J229" s="134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2.0" customHeight="1">
      <c r="A230" s="25"/>
      <c r="B230" s="126"/>
      <c r="C230" s="140"/>
      <c r="D230" s="128"/>
      <c r="E230" s="129"/>
      <c r="F230" s="129"/>
      <c r="G230" s="134"/>
      <c r="H230" s="132"/>
      <c r="I230" s="141"/>
      <c r="J230" s="134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2.0" customHeight="1">
      <c r="A231" s="25"/>
      <c r="B231" s="126"/>
      <c r="C231" s="140"/>
      <c r="D231" s="128"/>
      <c r="E231" s="129"/>
      <c r="F231" s="129"/>
      <c r="G231" s="134"/>
      <c r="H231" s="132"/>
      <c r="I231" s="141"/>
      <c r="J231" s="134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2.0" customHeight="1">
      <c r="A232" s="25"/>
      <c r="B232" s="126"/>
      <c r="C232" s="140"/>
      <c r="D232" s="128"/>
      <c r="E232" s="129"/>
      <c r="F232" s="129"/>
      <c r="G232" s="134"/>
      <c r="H232" s="132"/>
      <c r="I232" s="141"/>
      <c r="J232" s="134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2.0" customHeight="1">
      <c r="A233" s="25"/>
      <c r="B233" s="126"/>
      <c r="C233" s="140"/>
      <c r="D233" s="128"/>
      <c r="E233" s="129"/>
      <c r="F233" s="129"/>
      <c r="G233" s="134"/>
      <c r="H233" s="132"/>
      <c r="I233" s="141"/>
      <c r="J233" s="134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2.0" customHeight="1">
      <c r="A234" s="25"/>
      <c r="B234" s="126"/>
      <c r="C234" s="140"/>
      <c r="D234" s="128"/>
      <c r="E234" s="129"/>
      <c r="F234" s="129"/>
      <c r="G234" s="134"/>
      <c r="H234" s="132"/>
      <c r="I234" s="141"/>
      <c r="J234" s="134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2.0" customHeight="1">
      <c r="A235" s="25"/>
      <c r="B235" s="126"/>
      <c r="C235" s="140"/>
      <c r="D235" s="128"/>
      <c r="E235" s="129"/>
      <c r="F235" s="129"/>
      <c r="G235" s="134"/>
      <c r="H235" s="132"/>
      <c r="I235" s="141"/>
      <c r="J235" s="134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2.0" customHeight="1">
      <c r="A236" s="25"/>
      <c r="B236" s="126"/>
      <c r="C236" s="140"/>
      <c r="D236" s="128"/>
      <c r="E236" s="129"/>
      <c r="F236" s="129"/>
      <c r="G236" s="134"/>
      <c r="H236" s="132"/>
      <c r="I236" s="141"/>
      <c r="J236" s="134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2.0" customHeight="1">
      <c r="A237" s="25"/>
      <c r="B237" s="126"/>
      <c r="C237" s="140"/>
      <c r="D237" s="128"/>
      <c r="E237" s="129"/>
      <c r="F237" s="129"/>
      <c r="G237" s="134"/>
      <c r="H237" s="132"/>
      <c r="I237" s="141"/>
      <c r="J237" s="134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2.0" customHeight="1">
      <c r="A238" s="25"/>
      <c r="B238" s="126"/>
      <c r="C238" s="140"/>
      <c r="D238" s="128"/>
      <c r="E238" s="129"/>
      <c r="F238" s="129"/>
      <c r="G238" s="134"/>
      <c r="H238" s="132"/>
      <c r="I238" s="141"/>
      <c r="J238" s="134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2.0" customHeight="1">
      <c r="A239" s="25"/>
      <c r="B239" s="126"/>
      <c r="C239" s="140"/>
      <c r="D239" s="128"/>
      <c r="E239" s="129"/>
      <c r="F239" s="129"/>
      <c r="G239" s="134"/>
      <c r="H239" s="132"/>
      <c r="I239" s="141"/>
      <c r="J239" s="134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2.0" customHeight="1">
      <c r="A240" s="25"/>
      <c r="B240" s="126"/>
      <c r="C240" s="140"/>
      <c r="D240" s="128"/>
      <c r="E240" s="129"/>
      <c r="F240" s="129"/>
      <c r="G240" s="134"/>
      <c r="H240" s="132"/>
      <c r="I240" s="141"/>
      <c r="J240" s="134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2.0" customHeight="1">
      <c r="A241" s="25"/>
      <c r="B241" s="126"/>
      <c r="C241" s="140"/>
      <c r="D241" s="128"/>
      <c r="E241" s="129"/>
      <c r="F241" s="129"/>
      <c r="G241" s="134"/>
      <c r="H241" s="132"/>
      <c r="I241" s="141"/>
      <c r="J241" s="134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2.0" customHeight="1">
      <c r="A242" s="25"/>
      <c r="B242" s="126"/>
      <c r="C242" s="140"/>
      <c r="D242" s="128"/>
      <c r="E242" s="129"/>
      <c r="F242" s="129"/>
      <c r="G242" s="134"/>
      <c r="H242" s="132"/>
      <c r="I242" s="141"/>
      <c r="J242" s="134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2.0" customHeight="1">
      <c r="A243" s="25"/>
      <c r="B243" s="126"/>
      <c r="C243" s="140"/>
      <c r="D243" s="128"/>
      <c r="E243" s="129"/>
      <c r="F243" s="129"/>
      <c r="G243" s="134"/>
      <c r="H243" s="132"/>
      <c r="I243" s="141"/>
      <c r="J243" s="134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2.0" customHeight="1">
      <c r="A244" s="25"/>
      <c r="B244" s="126"/>
      <c r="C244" s="140"/>
      <c r="D244" s="128"/>
      <c r="E244" s="129"/>
      <c r="F244" s="129"/>
      <c r="G244" s="134"/>
      <c r="H244" s="132"/>
      <c r="I244" s="141"/>
      <c r="J244" s="134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2.0" customHeight="1">
      <c r="A245" s="25"/>
      <c r="B245" s="126"/>
      <c r="C245" s="140"/>
      <c r="D245" s="128"/>
      <c r="E245" s="129"/>
      <c r="F245" s="129"/>
      <c r="G245" s="134"/>
      <c r="H245" s="132"/>
      <c r="I245" s="141"/>
      <c r="J245" s="134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2.0" customHeight="1">
      <c r="A246" s="25"/>
      <c r="B246" s="126"/>
      <c r="C246" s="140"/>
      <c r="D246" s="128"/>
      <c r="E246" s="129"/>
      <c r="F246" s="129"/>
      <c r="G246" s="134"/>
      <c r="H246" s="132"/>
      <c r="I246" s="141"/>
      <c r="J246" s="134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2.0" customHeight="1">
      <c r="A247" s="25"/>
      <c r="B247" s="126"/>
      <c r="C247" s="140"/>
      <c r="D247" s="128"/>
      <c r="E247" s="129"/>
      <c r="F247" s="129"/>
      <c r="G247" s="134"/>
      <c r="H247" s="132"/>
      <c r="I247" s="141"/>
      <c r="J247" s="134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2.0" customHeight="1">
      <c r="A248" s="25"/>
      <c r="B248" s="126"/>
      <c r="C248" s="140"/>
      <c r="D248" s="128"/>
      <c r="E248" s="129"/>
      <c r="F248" s="129"/>
      <c r="G248" s="134"/>
      <c r="H248" s="132"/>
      <c r="I248" s="141"/>
      <c r="J248" s="134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2.0" customHeight="1">
      <c r="A249" s="25"/>
      <c r="B249" s="126"/>
      <c r="C249" s="140"/>
      <c r="D249" s="128"/>
      <c r="E249" s="129"/>
      <c r="F249" s="129"/>
      <c r="G249" s="134"/>
      <c r="H249" s="132"/>
      <c r="I249" s="141"/>
      <c r="J249" s="134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2.0" customHeight="1">
      <c r="A250" s="25"/>
      <c r="B250" s="126"/>
      <c r="C250" s="140"/>
      <c r="D250" s="128"/>
      <c r="E250" s="129"/>
      <c r="F250" s="129"/>
      <c r="G250" s="134"/>
      <c r="H250" s="132"/>
      <c r="I250" s="141"/>
      <c r="J250" s="134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2.0" customHeight="1">
      <c r="A251" s="25"/>
      <c r="B251" s="126"/>
      <c r="C251" s="140"/>
      <c r="D251" s="128"/>
      <c r="E251" s="129"/>
      <c r="F251" s="129"/>
      <c r="G251" s="134"/>
      <c r="H251" s="132"/>
      <c r="I251" s="141"/>
      <c r="J251" s="134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2.0" customHeight="1">
      <c r="A252" s="25"/>
      <c r="B252" s="126"/>
      <c r="C252" s="140"/>
      <c r="D252" s="128"/>
      <c r="E252" s="129"/>
      <c r="F252" s="129"/>
      <c r="G252" s="134"/>
      <c r="H252" s="132"/>
      <c r="I252" s="141"/>
      <c r="J252" s="134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2.0" customHeight="1">
      <c r="A253" s="25"/>
      <c r="B253" s="126"/>
      <c r="C253" s="140"/>
      <c r="D253" s="128"/>
      <c r="E253" s="129"/>
      <c r="F253" s="129"/>
      <c r="G253" s="134"/>
      <c r="H253" s="132"/>
      <c r="I253" s="141"/>
      <c r="J253" s="134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2.0" customHeight="1">
      <c r="A254" s="25"/>
      <c r="B254" s="126"/>
      <c r="C254" s="140"/>
      <c r="D254" s="128"/>
      <c r="E254" s="129"/>
      <c r="F254" s="129"/>
      <c r="G254" s="134"/>
      <c r="H254" s="132"/>
      <c r="I254" s="141"/>
      <c r="J254" s="134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2.0" customHeight="1">
      <c r="A255" s="25"/>
      <c r="B255" s="126"/>
      <c r="C255" s="140"/>
      <c r="D255" s="128"/>
      <c r="E255" s="129"/>
      <c r="F255" s="129"/>
      <c r="G255" s="134"/>
      <c r="H255" s="132"/>
      <c r="I255" s="141"/>
      <c r="J255" s="134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2.0" customHeight="1">
      <c r="A256" s="25"/>
      <c r="B256" s="126"/>
      <c r="C256" s="140"/>
      <c r="D256" s="128"/>
      <c r="E256" s="129"/>
      <c r="F256" s="129"/>
      <c r="G256" s="134"/>
      <c r="H256" s="132"/>
      <c r="I256" s="141"/>
      <c r="J256" s="134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2.0" customHeight="1">
      <c r="A257" s="25"/>
      <c r="B257" s="126"/>
      <c r="C257" s="140"/>
      <c r="D257" s="128"/>
      <c r="E257" s="129"/>
      <c r="F257" s="129"/>
      <c r="G257" s="134"/>
      <c r="H257" s="132"/>
      <c r="I257" s="141"/>
      <c r="J257" s="134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2.0" customHeight="1">
      <c r="A258" s="25"/>
      <c r="B258" s="126"/>
      <c r="C258" s="140"/>
      <c r="D258" s="128"/>
      <c r="E258" s="129"/>
      <c r="F258" s="129"/>
      <c r="G258" s="134"/>
      <c r="H258" s="132"/>
      <c r="I258" s="141"/>
      <c r="J258" s="134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2.0" customHeight="1">
      <c r="A259" s="25"/>
      <c r="B259" s="126"/>
      <c r="C259" s="140"/>
      <c r="D259" s="128"/>
      <c r="E259" s="129"/>
      <c r="F259" s="129"/>
      <c r="G259" s="134"/>
      <c r="H259" s="132"/>
      <c r="I259" s="141"/>
      <c r="J259" s="134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2.0" customHeight="1">
      <c r="A260" s="25"/>
      <c r="B260" s="126"/>
      <c r="C260" s="140"/>
      <c r="D260" s="128"/>
      <c r="E260" s="129"/>
      <c r="F260" s="129"/>
      <c r="G260" s="134"/>
      <c r="H260" s="132"/>
      <c r="I260" s="141"/>
      <c r="J260" s="134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2.0" customHeight="1">
      <c r="A261" s="25"/>
      <c r="B261" s="126"/>
      <c r="C261" s="140"/>
      <c r="D261" s="128"/>
      <c r="E261" s="129"/>
      <c r="F261" s="129"/>
      <c r="G261" s="134"/>
      <c r="H261" s="132"/>
      <c r="I261" s="141"/>
      <c r="J261" s="134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2.0" customHeight="1">
      <c r="A262" s="25"/>
      <c r="B262" s="126"/>
      <c r="C262" s="140"/>
      <c r="D262" s="128"/>
      <c r="E262" s="129"/>
      <c r="F262" s="129"/>
      <c r="G262" s="134"/>
      <c r="H262" s="132"/>
      <c r="I262" s="141"/>
      <c r="J262" s="134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2.0" customHeight="1">
      <c r="A263" s="25"/>
      <c r="B263" s="126"/>
      <c r="C263" s="140"/>
      <c r="D263" s="128"/>
      <c r="E263" s="129"/>
      <c r="F263" s="129"/>
      <c r="G263" s="134"/>
      <c r="H263" s="132"/>
      <c r="I263" s="141"/>
      <c r="J263" s="134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2.0" customHeight="1">
      <c r="A264" s="25"/>
      <c r="B264" s="126"/>
      <c r="C264" s="140"/>
      <c r="D264" s="128"/>
      <c r="E264" s="129"/>
      <c r="F264" s="129"/>
      <c r="G264" s="134"/>
      <c r="H264" s="132"/>
      <c r="I264" s="141"/>
      <c r="J264" s="134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2.0" customHeight="1">
      <c r="A265" s="25"/>
      <c r="B265" s="126"/>
      <c r="C265" s="140"/>
      <c r="D265" s="128"/>
      <c r="E265" s="129"/>
      <c r="F265" s="129"/>
      <c r="G265" s="134"/>
      <c r="H265" s="132"/>
      <c r="I265" s="141"/>
      <c r="J265" s="134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2.0" customHeight="1">
      <c r="A266" s="25"/>
      <c r="B266" s="126"/>
      <c r="C266" s="140"/>
      <c r="D266" s="128"/>
      <c r="E266" s="129"/>
      <c r="F266" s="129"/>
      <c r="G266" s="134"/>
      <c r="H266" s="132"/>
      <c r="I266" s="141"/>
      <c r="J266" s="134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2.0" customHeight="1">
      <c r="A267" s="25"/>
      <c r="B267" s="126"/>
      <c r="C267" s="140"/>
      <c r="D267" s="128"/>
      <c r="E267" s="129"/>
      <c r="F267" s="129"/>
      <c r="G267" s="134"/>
      <c r="H267" s="132"/>
      <c r="I267" s="141"/>
      <c r="J267" s="134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2.0" customHeight="1">
      <c r="A268" s="25"/>
      <c r="B268" s="126"/>
      <c r="C268" s="140"/>
      <c r="D268" s="128"/>
      <c r="E268" s="129"/>
      <c r="F268" s="129"/>
      <c r="G268" s="134"/>
      <c r="H268" s="132"/>
      <c r="I268" s="141"/>
      <c r="J268" s="134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2.0" customHeight="1">
      <c r="A269" s="25"/>
      <c r="B269" s="126"/>
      <c r="C269" s="140"/>
      <c r="D269" s="128"/>
      <c r="E269" s="129"/>
      <c r="F269" s="129"/>
      <c r="G269" s="134"/>
      <c r="H269" s="132"/>
      <c r="I269" s="141"/>
      <c r="J269" s="134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2.0" customHeight="1">
      <c r="A270" s="25"/>
      <c r="B270" s="126"/>
      <c r="C270" s="140"/>
      <c r="D270" s="128"/>
      <c r="E270" s="129"/>
      <c r="F270" s="129"/>
      <c r="G270" s="134"/>
      <c r="H270" s="132"/>
      <c r="I270" s="141"/>
      <c r="J270" s="134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2.0" customHeight="1">
      <c r="A271" s="25"/>
      <c r="B271" s="126"/>
      <c r="C271" s="140"/>
      <c r="D271" s="128"/>
      <c r="E271" s="129"/>
      <c r="F271" s="129"/>
      <c r="G271" s="134"/>
      <c r="H271" s="132"/>
      <c r="I271" s="141"/>
      <c r="J271" s="134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2.0" customHeight="1">
      <c r="A272" s="25"/>
      <c r="B272" s="126"/>
      <c r="C272" s="140"/>
      <c r="D272" s="128"/>
      <c r="E272" s="129"/>
      <c r="F272" s="129"/>
      <c r="G272" s="134"/>
      <c r="H272" s="132"/>
      <c r="I272" s="141"/>
      <c r="J272" s="134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2.0" customHeight="1">
      <c r="A273" s="25"/>
      <c r="B273" s="126"/>
      <c r="C273" s="140"/>
      <c r="D273" s="128"/>
      <c r="E273" s="129"/>
      <c r="F273" s="129"/>
      <c r="G273" s="134"/>
      <c r="H273" s="132"/>
      <c r="I273" s="141"/>
      <c r="J273" s="134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2.0" customHeight="1">
      <c r="A274" s="25"/>
      <c r="B274" s="126"/>
      <c r="C274" s="140"/>
      <c r="D274" s="128"/>
      <c r="E274" s="129"/>
      <c r="F274" s="129"/>
      <c r="G274" s="134"/>
      <c r="H274" s="132"/>
      <c r="I274" s="141"/>
      <c r="J274" s="134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2.0" customHeight="1">
      <c r="A275" s="25"/>
      <c r="B275" s="126"/>
      <c r="C275" s="140"/>
      <c r="D275" s="128"/>
      <c r="E275" s="129"/>
      <c r="F275" s="129"/>
      <c r="G275" s="134"/>
      <c r="H275" s="132"/>
      <c r="I275" s="141"/>
      <c r="J275" s="134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2.0" customHeight="1">
      <c r="A276" s="25"/>
      <c r="B276" s="126"/>
      <c r="C276" s="140"/>
      <c r="D276" s="128"/>
      <c r="E276" s="129"/>
      <c r="F276" s="129"/>
      <c r="G276" s="134"/>
      <c r="H276" s="132"/>
      <c r="I276" s="141"/>
      <c r="J276" s="134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2.0" customHeight="1">
      <c r="A277" s="25"/>
      <c r="B277" s="126"/>
      <c r="C277" s="140"/>
      <c r="D277" s="128"/>
      <c r="E277" s="129"/>
      <c r="F277" s="129"/>
      <c r="G277" s="134"/>
      <c r="H277" s="132"/>
      <c r="I277" s="141"/>
      <c r="J277" s="134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2.0" customHeight="1">
      <c r="A278" s="25"/>
      <c r="B278" s="126"/>
      <c r="C278" s="140"/>
      <c r="D278" s="128"/>
      <c r="E278" s="129"/>
      <c r="F278" s="129"/>
      <c r="G278" s="134"/>
      <c r="H278" s="132"/>
      <c r="I278" s="141"/>
      <c r="J278" s="134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2.0" customHeight="1">
      <c r="A279" s="25"/>
      <c r="B279" s="126"/>
      <c r="C279" s="140"/>
      <c r="D279" s="128"/>
      <c r="E279" s="129"/>
      <c r="F279" s="129"/>
      <c r="G279" s="134"/>
      <c r="H279" s="132"/>
      <c r="I279" s="141"/>
      <c r="J279" s="134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2.0" customHeight="1">
      <c r="A280" s="25"/>
      <c r="B280" s="126"/>
      <c r="C280" s="140"/>
      <c r="D280" s="128"/>
      <c r="E280" s="129"/>
      <c r="F280" s="129"/>
      <c r="G280" s="134"/>
      <c r="H280" s="132"/>
      <c r="I280" s="141"/>
      <c r="J280" s="134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2.0" customHeight="1">
      <c r="A281" s="25"/>
      <c r="B281" s="126"/>
      <c r="C281" s="140"/>
      <c r="D281" s="128"/>
      <c r="E281" s="129"/>
      <c r="F281" s="129"/>
      <c r="G281" s="134"/>
      <c r="H281" s="132"/>
      <c r="I281" s="141"/>
      <c r="J281" s="134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2.0" customHeight="1">
      <c r="A282" s="25"/>
      <c r="B282" s="126"/>
      <c r="C282" s="140"/>
      <c r="D282" s="128"/>
      <c r="E282" s="129"/>
      <c r="F282" s="129"/>
      <c r="G282" s="134"/>
      <c r="H282" s="132"/>
      <c r="I282" s="141"/>
      <c r="J282" s="134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2.0" customHeight="1">
      <c r="A283" s="25"/>
      <c r="B283" s="126"/>
      <c r="C283" s="140"/>
      <c r="D283" s="128"/>
      <c r="E283" s="129"/>
      <c r="F283" s="129"/>
      <c r="G283" s="134"/>
      <c r="H283" s="132"/>
      <c r="I283" s="141"/>
      <c r="J283" s="134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2.0" customHeight="1">
      <c r="A284" s="25"/>
      <c r="B284" s="126"/>
      <c r="C284" s="140"/>
      <c r="D284" s="128"/>
      <c r="E284" s="129"/>
      <c r="F284" s="129"/>
      <c r="G284" s="134"/>
      <c r="H284" s="132"/>
      <c r="I284" s="141"/>
      <c r="J284" s="134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2.0" customHeight="1">
      <c r="A285" s="25"/>
      <c r="B285" s="126"/>
      <c r="C285" s="140"/>
      <c r="D285" s="128"/>
      <c r="E285" s="129"/>
      <c r="F285" s="129"/>
      <c r="G285" s="134"/>
      <c r="H285" s="132"/>
      <c r="I285" s="141"/>
      <c r="J285" s="134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2.0" customHeight="1">
      <c r="A286" s="25"/>
      <c r="B286" s="126"/>
      <c r="C286" s="140"/>
      <c r="D286" s="128"/>
      <c r="E286" s="129"/>
      <c r="F286" s="129"/>
      <c r="G286" s="134"/>
      <c r="H286" s="132"/>
      <c r="I286" s="141"/>
      <c r="J286" s="134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2.0" customHeight="1">
      <c r="A287" s="25"/>
      <c r="B287" s="126"/>
      <c r="C287" s="140"/>
      <c r="D287" s="128"/>
      <c r="E287" s="129"/>
      <c r="F287" s="129"/>
      <c r="G287" s="134"/>
      <c r="H287" s="132"/>
      <c r="I287" s="141"/>
      <c r="J287" s="134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2.0" customHeight="1">
      <c r="A288" s="25"/>
      <c r="B288" s="126"/>
      <c r="C288" s="140"/>
      <c r="D288" s="128"/>
      <c r="E288" s="129"/>
      <c r="F288" s="129"/>
      <c r="G288" s="134"/>
      <c r="H288" s="132"/>
      <c r="I288" s="141"/>
      <c r="J288" s="134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2.0" customHeight="1">
      <c r="A289" s="25"/>
      <c r="B289" s="126"/>
      <c r="C289" s="140"/>
      <c r="D289" s="128"/>
      <c r="E289" s="129"/>
      <c r="F289" s="129"/>
      <c r="G289" s="134"/>
      <c r="H289" s="132"/>
      <c r="I289" s="141"/>
      <c r="J289" s="134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2.0" customHeight="1">
      <c r="A290" s="25"/>
      <c r="B290" s="126"/>
      <c r="C290" s="140"/>
      <c r="D290" s="128"/>
      <c r="E290" s="129"/>
      <c r="F290" s="129"/>
      <c r="G290" s="134"/>
      <c r="H290" s="132"/>
      <c r="I290" s="141"/>
      <c r="J290" s="134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2.0" customHeight="1">
      <c r="A291" s="25"/>
      <c r="B291" s="126"/>
      <c r="C291" s="140"/>
      <c r="D291" s="128"/>
      <c r="E291" s="129"/>
      <c r="F291" s="129"/>
      <c r="G291" s="134"/>
      <c r="H291" s="132"/>
      <c r="I291" s="141"/>
      <c r="J291" s="134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2.0" customHeight="1">
      <c r="A292" s="25"/>
      <c r="B292" s="126"/>
      <c r="C292" s="140"/>
      <c r="D292" s="128"/>
      <c r="E292" s="129"/>
      <c r="F292" s="129"/>
      <c r="G292" s="134"/>
      <c r="H292" s="132"/>
      <c r="I292" s="141"/>
      <c r="J292" s="134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2.0" customHeight="1">
      <c r="A293" s="25"/>
      <c r="B293" s="126"/>
      <c r="C293" s="140"/>
      <c r="D293" s="128"/>
      <c r="E293" s="129"/>
      <c r="F293" s="129"/>
      <c r="G293" s="134"/>
      <c r="H293" s="132"/>
      <c r="I293" s="141"/>
      <c r="J293" s="134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2.0" customHeight="1">
      <c r="A294" s="25"/>
      <c r="B294" s="126"/>
      <c r="C294" s="140"/>
      <c r="D294" s="128"/>
      <c r="E294" s="129"/>
      <c r="F294" s="129"/>
      <c r="G294" s="134"/>
      <c r="H294" s="132"/>
      <c r="I294" s="141"/>
      <c r="J294" s="134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2.0" customHeight="1">
      <c r="A295" s="25"/>
      <c r="B295" s="126"/>
      <c r="C295" s="140"/>
      <c r="D295" s="128"/>
      <c r="E295" s="129"/>
      <c r="F295" s="129"/>
      <c r="G295" s="134"/>
      <c r="H295" s="132"/>
      <c r="I295" s="141"/>
      <c r="J295" s="134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2.0" customHeight="1">
      <c r="A296" s="25"/>
      <c r="B296" s="126"/>
      <c r="C296" s="140"/>
      <c r="D296" s="128"/>
      <c r="E296" s="129"/>
      <c r="F296" s="129"/>
      <c r="G296" s="134"/>
      <c r="H296" s="132"/>
      <c r="I296" s="141"/>
      <c r="J296" s="134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2.0" customHeight="1">
      <c r="A297" s="25"/>
      <c r="B297" s="126"/>
      <c r="C297" s="140"/>
      <c r="D297" s="128"/>
      <c r="E297" s="129"/>
      <c r="F297" s="129"/>
      <c r="G297" s="134"/>
      <c r="H297" s="132"/>
      <c r="I297" s="141"/>
      <c r="J297" s="134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2.0" customHeight="1">
      <c r="A298" s="25"/>
      <c r="B298" s="126"/>
      <c r="C298" s="140"/>
      <c r="D298" s="128"/>
      <c r="E298" s="129"/>
      <c r="F298" s="129"/>
      <c r="G298" s="134"/>
      <c r="H298" s="132"/>
      <c r="I298" s="141"/>
      <c r="J298" s="134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2.0" customHeight="1">
      <c r="A299" s="25"/>
      <c r="B299" s="126"/>
      <c r="C299" s="140"/>
      <c r="D299" s="128"/>
      <c r="E299" s="129"/>
      <c r="F299" s="129"/>
      <c r="G299" s="134"/>
      <c r="H299" s="132"/>
      <c r="I299" s="141"/>
      <c r="J299" s="134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2.0" customHeight="1">
      <c r="A300" s="25"/>
      <c r="B300" s="126"/>
      <c r="C300" s="140"/>
      <c r="D300" s="128"/>
      <c r="E300" s="129"/>
      <c r="F300" s="129"/>
      <c r="G300" s="134"/>
      <c r="H300" s="132"/>
      <c r="I300" s="141"/>
      <c r="J300" s="134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2.0" customHeight="1">
      <c r="A301" s="25"/>
      <c r="B301" s="126"/>
      <c r="C301" s="140"/>
      <c r="D301" s="128"/>
      <c r="E301" s="129"/>
      <c r="F301" s="129"/>
      <c r="G301" s="134"/>
      <c r="H301" s="132"/>
      <c r="I301" s="141"/>
      <c r="J301" s="134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2.0" customHeight="1">
      <c r="A302" s="25"/>
      <c r="B302" s="126"/>
      <c r="C302" s="140"/>
      <c r="D302" s="128"/>
      <c r="E302" s="129"/>
      <c r="F302" s="129"/>
      <c r="G302" s="134"/>
      <c r="H302" s="132"/>
      <c r="I302" s="141"/>
      <c r="J302" s="134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2.0" customHeight="1">
      <c r="A303" s="25"/>
      <c r="B303" s="126"/>
      <c r="C303" s="140"/>
      <c r="D303" s="128"/>
      <c r="E303" s="129"/>
      <c r="F303" s="129"/>
      <c r="G303" s="134"/>
      <c r="H303" s="132"/>
      <c r="I303" s="141"/>
      <c r="J303" s="134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2.0" customHeight="1">
      <c r="A304" s="25"/>
      <c r="B304" s="126"/>
      <c r="C304" s="140"/>
      <c r="D304" s="128"/>
      <c r="E304" s="129"/>
      <c r="F304" s="129"/>
      <c r="G304" s="134"/>
      <c r="H304" s="132"/>
      <c r="I304" s="141"/>
      <c r="J304" s="134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2.0" customHeight="1">
      <c r="A305" s="25"/>
      <c r="B305" s="126"/>
      <c r="C305" s="140"/>
      <c r="D305" s="128"/>
      <c r="E305" s="129"/>
      <c r="F305" s="129"/>
      <c r="G305" s="134"/>
      <c r="H305" s="132"/>
      <c r="I305" s="141"/>
      <c r="J305" s="134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2.0" customHeight="1">
      <c r="A306" s="25"/>
      <c r="B306" s="126"/>
      <c r="C306" s="140"/>
      <c r="D306" s="128"/>
      <c r="E306" s="129"/>
      <c r="F306" s="129"/>
      <c r="G306" s="134"/>
      <c r="H306" s="132"/>
      <c r="I306" s="141"/>
      <c r="J306" s="134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2.0" customHeight="1">
      <c r="A307" s="25"/>
      <c r="B307" s="126"/>
      <c r="C307" s="140"/>
      <c r="D307" s="128"/>
      <c r="E307" s="129"/>
      <c r="F307" s="129"/>
      <c r="G307" s="134"/>
      <c r="H307" s="132"/>
      <c r="I307" s="141"/>
      <c r="J307" s="134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2.0" customHeight="1">
      <c r="A308" s="25"/>
      <c r="B308" s="126"/>
      <c r="C308" s="140"/>
      <c r="D308" s="128"/>
      <c r="E308" s="129"/>
      <c r="F308" s="129"/>
      <c r="G308" s="134"/>
      <c r="H308" s="132"/>
      <c r="I308" s="141"/>
      <c r="J308" s="134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2.0" customHeight="1">
      <c r="A309" s="25"/>
      <c r="B309" s="126"/>
      <c r="C309" s="140"/>
      <c r="D309" s="128"/>
      <c r="E309" s="129"/>
      <c r="F309" s="129"/>
      <c r="G309" s="134"/>
      <c r="H309" s="132"/>
      <c r="I309" s="141"/>
      <c r="J309" s="134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2.0" customHeight="1">
      <c r="A310" s="25"/>
      <c r="B310" s="126"/>
      <c r="C310" s="140"/>
      <c r="D310" s="128"/>
      <c r="E310" s="129"/>
      <c r="F310" s="129"/>
      <c r="G310" s="134"/>
      <c r="H310" s="132"/>
      <c r="I310" s="141"/>
      <c r="J310" s="134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2.0" customHeight="1">
      <c r="A311" s="25"/>
      <c r="B311" s="126"/>
      <c r="C311" s="140"/>
      <c r="D311" s="128"/>
      <c r="E311" s="129"/>
      <c r="F311" s="129"/>
      <c r="G311" s="134"/>
      <c r="H311" s="132"/>
      <c r="I311" s="141"/>
      <c r="J311" s="134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2.0" customHeight="1">
      <c r="A312" s="25"/>
      <c r="B312" s="126"/>
      <c r="C312" s="140"/>
      <c r="D312" s="128"/>
      <c r="E312" s="129"/>
      <c r="F312" s="129"/>
      <c r="G312" s="134"/>
      <c r="H312" s="132"/>
      <c r="I312" s="141"/>
      <c r="J312" s="134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2.0" customHeight="1">
      <c r="A313" s="25"/>
      <c r="B313" s="126"/>
      <c r="C313" s="140"/>
      <c r="D313" s="128"/>
      <c r="E313" s="129"/>
      <c r="F313" s="129"/>
      <c r="G313" s="134"/>
      <c r="H313" s="132"/>
      <c r="I313" s="141"/>
      <c r="J313" s="134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2.0" customHeight="1">
      <c r="A314" s="25"/>
      <c r="B314" s="126"/>
      <c r="C314" s="140"/>
      <c r="D314" s="128"/>
      <c r="E314" s="129"/>
      <c r="F314" s="129"/>
      <c r="G314" s="134"/>
      <c r="H314" s="132"/>
      <c r="I314" s="141"/>
      <c r="J314" s="134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2.0" customHeight="1">
      <c r="A315" s="25"/>
      <c r="B315" s="126"/>
      <c r="C315" s="140"/>
      <c r="D315" s="128"/>
      <c r="E315" s="129"/>
      <c r="F315" s="129"/>
      <c r="G315" s="134"/>
      <c r="H315" s="132"/>
      <c r="I315" s="141"/>
      <c r="J315" s="134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2.0" customHeight="1">
      <c r="A316" s="25"/>
      <c r="B316" s="126"/>
      <c r="C316" s="140"/>
      <c r="D316" s="128"/>
      <c r="E316" s="129"/>
      <c r="F316" s="129"/>
      <c r="G316" s="134"/>
      <c r="H316" s="132"/>
      <c r="I316" s="141"/>
      <c r="J316" s="134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2.0" customHeight="1">
      <c r="A317" s="25"/>
      <c r="B317" s="126"/>
      <c r="C317" s="140"/>
      <c r="D317" s="128"/>
      <c r="E317" s="129"/>
      <c r="F317" s="129"/>
      <c r="G317" s="134"/>
      <c r="H317" s="132"/>
      <c r="I317" s="141"/>
      <c r="J317" s="134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2.0" customHeight="1">
      <c r="A318" s="25"/>
      <c r="B318" s="126"/>
      <c r="C318" s="140"/>
      <c r="D318" s="128"/>
      <c r="E318" s="129"/>
      <c r="F318" s="129"/>
      <c r="G318" s="134"/>
      <c r="H318" s="132"/>
      <c r="I318" s="141"/>
      <c r="J318" s="134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2.0" customHeight="1">
      <c r="A319" s="25"/>
      <c r="B319" s="142"/>
      <c r="C319" s="143"/>
      <c r="D319" s="144"/>
      <c r="E319" s="144"/>
      <c r="F319" s="144"/>
      <c r="G319" s="25"/>
      <c r="H319" s="28"/>
      <c r="I319" s="14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2.0" customHeight="1">
      <c r="A320" s="25"/>
      <c r="B320" s="142"/>
      <c r="C320" s="143"/>
      <c r="D320" s="144"/>
      <c r="E320" s="144"/>
      <c r="F320" s="144"/>
      <c r="G320" s="25"/>
      <c r="H320" s="28"/>
      <c r="I320" s="14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2.0" customHeight="1">
      <c r="A321" s="25"/>
      <c r="B321" s="142"/>
      <c r="C321" s="143"/>
      <c r="D321" s="144"/>
      <c r="E321" s="144"/>
      <c r="F321" s="144"/>
      <c r="G321" s="25"/>
      <c r="H321" s="28"/>
      <c r="I321" s="14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2.0" customHeight="1">
      <c r="A322" s="25"/>
      <c r="B322" s="142"/>
      <c r="C322" s="143"/>
      <c r="D322" s="144"/>
      <c r="E322" s="144"/>
      <c r="F322" s="144"/>
      <c r="G322" s="25"/>
      <c r="H322" s="28"/>
      <c r="I322" s="14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2.0" customHeight="1">
      <c r="A323" s="25"/>
      <c r="B323" s="142"/>
      <c r="C323" s="143"/>
      <c r="D323" s="144"/>
      <c r="E323" s="144"/>
      <c r="F323" s="144"/>
      <c r="G323" s="25"/>
      <c r="H323" s="28"/>
      <c r="I323" s="14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2.0" customHeight="1">
      <c r="A324" s="25"/>
      <c r="B324" s="142"/>
      <c r="C324" s="143"/>
      <c r="D324" s="144"/>
      <c r="E324" s="144"/>
      <c r="F324" s="144"/>
      <c r="G324" s="25"/>
      <c r="H324" s="28"/>
      <c r="I324" s="14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2.0" customHeight="1">
      <c r="A325" s="25"/>
      <c r="B325" s="142"/>
      <c r="C325" s="143"/>
      <c r="D325" s="144"/>
      <c r="E325" s="144"/>
      <c r="F325" s="144"/>
      <c r="G325" s="25"/>
      <c r="H325" s="28"/>
      <c r="I325" s="14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2.0" customHeight="1">
      <c r="A326" s="25"/>
      <c r="B326" s="142"/>
      <c r="C326" s="143"/>
      <c r="D326" s="144"/>
      <c r="E326" s="144"/>
      <c r="F326" s="144"/>
      <c r="G326" s="25"/>
      <c r="H326" s="28"/>
      <c r="I326" s="14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2.0" customHeight="1">
      <c r="A327" s="25"/>
      <c r="B327" s="142"/>
      <c r="C327" s="143"/>
      <c r="D327" s="144"/>
      <c r="E327" s="144"/>
      <c r="F327" s="144"/>
      <c r="G327" s="25"/>
      <c r="H327" s="28"/>
      <c r="I327" s="14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2.0" customHeight="1">
      <c r="A328" s="25"/>
      <c r="B328" s="142"/>
      <c r="C328" s="143"/>
      <c r="D328" s="144"/>
      <c r="E328" s="144"/>
      <c r="F328" s="144"/>
      <c r="G328" s="25"/>
      <c r="H328" s="28"/>
      <c r="I328" s="14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2.0" customHeight="1">
      <c r="A329" s="25"/>
      <c r="B329" s="142"/>
      <c r="C329" s="143"/>
      <c r="D329" s="144"/>
      <c r="E329" s="144"/>
      <c r="F329" s="144"/>
      <c r="G329" s="25"/>
      <c r="H329" s="28"/>
      <c r="I329" s="14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2.0" customHeight="1">
      <c r="A330" s="25"/>
      <c r="B330" s="142"/>
      <c r="C330" s="143"/>
      <c r="D330" s="144"/>
      <c r="E330" s="144"/>
      <c r="F330" s="144"/>
      <c r="G330" s="25"/>
      <c r="H330" s="28"/>
      <c r="I330" s="14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2.0" customHeight="1">
      <c r="A331" s="25"/>
      <c r="B331" s="142"/>
      <c r="C331" s="143"/>
      <c r="D331" s="144"/>
      <c r="E331" s="144"/>
      <c r="F331" s="144"/>
      <c r="G331" s="25"/>
      <c r="H331" s="28"/>
      <c r="I331" s="14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2.0" customHeight="1">
      <c r="A332" s="25"/>
      <c r="B332" s="142"/>
      <c r="C332" s="143"/>
      <c r="D332" s="144"/>
      <c r="E332" s="144"/>
      <c r="F332" s="144"/>
      <c r="G332" s="25"/>
      <c r="H332" s="28"/>
      <c r="I332" s="14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2.0" customHeight="1">
      <c r="A333" s="25"/>
      <c r="B333" s="142"/>
      <c r="C333" s="143"/>
      <c r="D333" s="144"/>
      <c r="E333" s="144"/>
      <c r="F333" s="144"/>
      <c r="G333" s="25"/>
      <c r="H333" s="28"/>
      <c r="I333" s="14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2.0" customHeight="1">
      <c r="A334" s="25"/>
      <c r="B334" s="142"/>
      <c r="C334" s="143"/>
      <c r="D334" s="144"/>
      <c r="E334" s="144"/>
      <c r="F334" s="144"/>
      <c r="G334" s="25"/>
      <c r="H334" s="28"/>
      <c r="I334" s="14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2.0" customHeight="1">
      <c r="A335" s="25"/>
      <c r="B335" s="142"/>
      <c r="C335" s="143"/>
      <c r="D335" s="144"/>
      <c r="E335" s="144"/>
      <c r="F335" s="144"/>
      <c r="G335" s="25"/>
      <c r="H335" s="28"/>
      <c r="I335" s="14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2.0" customHeight="1">
      <c r="A336" s="25"/>
      <c r="B336" s="142"/>
      <c r="C336" s="143"/>
      <c r="D336" s="144"/>
      <c r="E336" s="144"/>
      <c r="F336" s="144"/>
      <c r="G336" s="25"/>
      <c r="H336" s="28"/>
      <c r="I336" s="14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2.0" customHeight="1">
      <c r="A337" s="25"/>
      <c r="B337" s="142"/>
      <c r="C337" s="143"/>
      <c r="D337" s="144"/>
      <c r="E337" s="144"/>
      <c r="F337" s="144"/>
      <c r="G337" s="25"/>
      <c r="H337" s="28"/>
      <c r="I337" s="14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2.0" customHeight="1">
      <c r="A338" s="25"/>
      <c r="B338" s="142"/>
      <c r="C338" s="143"/>
      <c r="D338" s="144"/>
      <c r="E338" s="144"/>
      <c r="F338" s="144"/>
      <c r="G338" s="25"/>
      <c r="H338" s="28"/>
      <c r="I338" s="14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2.0" customHeight="1">
      <c r="A339" s="25"/>
      <c r="B339" s="142"/>
      <c r="C339" s="143"/>
      <c r="D339" s="144"/>
      <c r="E339" s="144"/>
      <c r="F339" s="144"/>
      <c r="G339" s="25"/>
      <c r="H339" s="28"/>
      <c r="I339" s="14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2.0" customHeight="1">
      <c r="A340" s="25"/>
      <c r="B340" s="142"/>
      <c r="C340" s="143"/>
      <c r="D340" s="144"/>
      <c r="E340" s="144"/>
      <c r="F340" s="144"/>
      <c r="G340" s="25"/>
      <c r="H340" s="28"/>
      <c r="I340" s="14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2.0" customHeight="1">
      <c r="A341" s="25"/>
      <c r="B341" s="142"/>
      <c r="C341" s="143"/>
      <c r="D341" s="144"/>
      <c r="E341" s="144"/>
      <c r="F341" s="144"/>
      <c r="G341" s="25"/>
      <c r="H341" s="28"/>
      <c r="I341" s="14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2.0" customHeight="1">
      <c r="A342" s="25"/>
      <c r="B342" s="142"/>
      <c r="C342" s="143"/>
      <c r="D342" s="144"/>
      <c r="E342" s="144"/>
      <c r="F342" s="144"/>
      <c r="G342" s="25"/>
      <c r="H342" s="28"/>
      <c r="I342" s="14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2.0" customHeight="1">
      <c r="A343" s="25"/>
      <c r="B343" s="142"/>
      <c r="C343" s="143"/>
      <c r="D343" s="144"/>
      <c r="E343" s="144"/>
      <c r="F343" s="144"/>
      <c r="G343" s="25"/>
      <c r="H343" s="28"/>
      <c r="I343" s="14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2.0" customHeight="1">
      <c r="A344" s="25"/>
      <c r="B344" s="142"/>
      <c r="C344" s="143"/>
      <c r="D344" s="144"/>
      <c r="E344" s="144"/>
      <c r="F344" s="144"/>
      <c r="G344" s="25"/>
      <c r="H344" s="28"/>
      <c r="I344" s="14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2.0" customHeight="1">
      <c r="A345" s="25"/>
      <c r="B345" s="142"/>
      <c r="C345" s="143"/>
      <c r="D345" s="144"/>
      <c r="E345" s="144"/>
      <c r="F345" s="144"/>
      <c r="G345" s="25"/>
      <c r="H345" s="28"/>
      <c r="I345" s="14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2.0" customHeight="1">
      <c r="A346" s="25"/>
      <c r="B346" s="142"/>
      <c r="C346" s="143"/>
      <c r="D346" s="144"/>
      <c r="E346" s="144"/>
      <c r="F346" s="144"/>
      <c r="G346" s="25"/>
      <c r="H346" s="28"/>
      <c r="I346" s="14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2.0" customHeight="1">
      <c r="A347" s="25"/>
      <c r="B347" s="142"/>
      <c r="C347" s="143"/>
      <c r="D347" s="144"/>
      <c r="E347" s="144"/>
      <c r="F347" s="144"/>
      <c r="G347" s="25"/>
      <c r="H347" s="28"/>
      <c r="I347" s="14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2.0" customHeight="1">
      <c r="A348" s="25"/>
      <c r="B348" s="142"/>
      <c r="C348" s="143"/>
      <c r="D348" s="144"/>
      <c r="E348" s="144"/>
      <c r="F348" s="144"/>
      <c r="G348" s="25"/>
      <c r="H348" s="28"/>
      <c r="I348" s="14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2.0" customHeight="1">
      <c r="A349" s="25"/>
      <c r="B349" s="142"/>
      <c r="C349" s="143"/>
      <c r="D349" s="144"/>
      <c r="E349" s="144"/>
      <c r="F349" s="144"/>
      <c r="G349" s="25"/>
      <c r="H349" s="28"/>
      <c r="I349" s="14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2.0" customHeight="1">
      <c r="A350" s="25"/>
      <c r="B350" s="142"/>
      <c r="C350" s="143"/>
      <c r="D350" s="144"/>
      <c r="E350" s="144"/>
      <c r="F350" s="144"/>
      <c r="G350" s="25"/>
      <c r="H350" s="28"/>
      <c r="I350" s="14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2.0" customHeight="1">
      <c r="A351" s="25"/>
      <c r="B351" s="142"/>
      <c r="C351" s="143"/>
      <c r="D351" s="144"/>
      <c r="E351" s="144"/>
      <c r="F351" s="144"/>
      <c r="G351" s="25"/>
      <c r="H351" s="28"/>
      <c r="I351" s="14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2.0" customHeight="1">
      <c r="A352" s="25"/>
      <c r="B352" s="142"/>
      <c r="C352" s="143"/>
      <c r="D352" s="144"/>
      <c r="E352" s="144"/>
      <c r="F352" s="144"/>
      <c r="G352" s="25"/>
      <c r="H352" s="28"/>
      <c r="I352" s="14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2.0" customHeight="1">
      <c r="A353" s="25"/>
      <c r="B353" s="142"/>
      <c r="C353" s="143"/>
      <c r="D353" s="144"/>
      <c r="E353" s="144"/>
      <c r="F353" s="144"/>
      <c r="G353" s="25"/>
      <c r="H353" s="28"/>
      <c r="I353" s="14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2.0" customHeight="1">
      <c r="A354" s="25"/>
      <c r="B354" s="142"/>
      <c r="C354" s="143"/>
      <c r="D354" s="144"/>
      <c r="E354" s="144"/>
      <c r="F354" s="144"/>
      <c r="G354" s="25"/>
      <c r="H354" s="28"/>
      <c r="I354" s="14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2.0" customHeight="1">
      <c r="A355" s="25"/>
      <c r="B355" s="142"/>
      <c r="C355" s="143"/>
      <c r="D355" s="144"/>
      <c r="E355" s="144"/>
      <c r="F355" s="144"/>
      <c r="G355" s="25"/>
      <c r="H355" s="28"/>
      <c r="I355" s="14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2.0" customHeight="1">
      <c r="A356" s="25"/>
      <c r="B356" s="142"/>
      <c r="C356" s="143"/>
      <c r="D356" s="144"/>
      <c r="E356" s="144"/>
      <c r="F356" s="144"/>
      <c r="G356" s="25"/>
      <c r="H356" s="28"/>
      <c r="I356" s="14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2.0" customHeight="1">
      <c r="A357" s="25"/>
      <c r="B357" s="142"/>
      <c r="C357" s="143"/>
      <c r="D357" s="144"/>
      <c r="E357" s="144"/>
      <c r="F357" s="144"/>
      <c r="G357" s="25"/>
      <c r="H357" s="28"/>
      <c r="I357" s="14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2.0" customHeight="1">
      <c r="A358" s="25"/>
      <c r="B358" s="142"/>
      <c r="C358" s="143"/>
      <c r="D358" s="144"/>
      <c r="E358" s="144"/>
      <c r="F358" s="144"/>
      <c r="G358" s="25"/>
      <c r="H358" s="28"/>
      <c r="I358" s="14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2.0" customHeight="1">
      <c r="A359" s="25"/>
      <c r="B359" s="142"/>
      <c r="C359" s="143"/>
      <c r="D359" s="144"/>
      <c r="E359" s="144"/>
      <c r="F359" s="144"/>
      <c r="G359" s="25"/>
      <c r="H359" s="28"/>
      <c r="I359" s="14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2.0" customHeight="1">
      <c r="A360" s="25"/>
      <c r="B360" s="142"/>
      <c r="C360" s="143"/>
      <c r="D360" s="144"/>
      <c r="E360" s="144"/>
      <c r="F360" s="144"/>
      <c r="G360" s="25"/>
      <c r="H360" s="28"/>
      <c r="I360" s="14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2.0" customHeight="1">
      <c r="A361" s="25"/>
      <c r="B361" s="142"/>
      <c r="C361" s="143"/>
      <c r="D361" s="144"/>
      <c r="E361" s="144"/>
      <c r="F361" s="144"/>
      <c r="G361" s="25"/>
      <c r="H361" s="28"/>
      <c r="I361" s="14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2.0" customHeight="1">
      <c r="A362" s="25"/>
      <c r="B362" s="142"/>
      <c r="C362" s="143"/>
      <c r="D362" s="144"/>
      <c r="E362" s="144"/>
      <c r="F362" s="144"/>
      <c r="G362" s="25"/>
      <c r="H362" s="28"/>
      <c r="I362" s="14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2.0" customHeight="1">
      <c r="A363" s="25"/>
      <c r="B363" s="142"/>
      <c r="C363" s="143"/>
      <c r="D363" s="144"/>
      <c r="E363" s="144"/>
      <c r="F363" s="144"/>
      <c r="G363" s="25"/>
      <c r="H363" s="28"/>
      <c r="I363" s="14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2.0" customHeight="1">
      <c r="A364" s="25"/>
      <c r="B364" s="142"/>
      <c r="C364" s="143"/>
      <c r="D364" s="144"/>
      <c r="E364" s="144"/>
      <c r="F364" s="144"/>
      <c r="G364" s="25"/>
      <c r="H364" s="28"/>
      <c r="I364" s="14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2.0" customHeight="1">
      <c r="A365" s="25"/>
      <c r="B365" s="142"/>
      <c r="C365" s="143"/>
      <c r="D365" s="144"/>
      <c r="E365" s="144"/>
      <c r="F365" s="144"/>
      <c r="G365" s="25"/>
      <c r="H365" s="28"/>
      <c r="I365" s="14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2.0" customHeight="1">
      <c r="A366" s="25"/>
      <c r="B366" s="142"/>
      <c r="C366" s="143"/>
      <c r="D366" s="144"/>
      <c r="E366" s="144"/>
      <c r="F366" s="144"/>
      <c r="G366" s="25"/>
      <c r="H366" s="28"/>
      <c r="I366" s="14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2.0" customHeight="1">
      <c r="A367" s="25"/>
      <c r="B367" s="142"/>
      <c r="C367" s="143"/>
      <c r="D367" s="144"/>
      <c r="E367" s="144"/>
      <c r="F367" s="144"/>
      <c r="G367" s="25"/>
      <c r="H367" s="28"/>
      <c r="I367" s="14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2.0" customHeight="1">
      <c r="A368" s="25"/>
      <c r="B368" s="142"/>
      <c r="C368" s="143"/>
      <c r="D368" s="144"/>
      <c r="E368" s="144"/>
      <c r="F368" s="144"/>
      <c r="G368" s="25"/>
      <c r="H368" s="28"/>
      <c r="I368" s="14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2.0" customHeight="1">
      <c r="A369" s="25"/>
      <c r="B369" s="142"/>
      <c r="C369" s="143"/>
      <c r="D369" s="144"/>
      <c r="E369" s="144"/>
      <c r="F369" s="144"/>
      <c r="G369" s="25"/>
      <c r="H369" s="28"/>
      <c r="I369" s="14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2.0" customHeight="1">
      <c r="A370" s="25"/>
      <c r="B370" s="142"/>
      <c r="C370" s="143"/>
      <c r="D370" s="144"/>
      <c r="E370" s="144"/>
      <c r="F370" s="144"/>
      <c r="G370" s="25"/>
      <c r="H370" s="28"/>
      <c r="I370" s="14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2.0" customHeight="1">
      <c r="A371" s="25"/>
      <c r="B371" s="142"/>
      <c r="C371" s="143"/>
      <c r="D371" s="144"/>
      <c r="E371" s="144"/>
      <c r="F371" s="144"/>
      <c r="G371" s="25"/>
      <c r="H371" s="28"/>
      <c r="I371" s="14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2.0" customHeight="1">
      <c r="A372" s="25"/>
      <c r="B372" s="142"/>
      <c r="C372" s="143"/>
      <c r="D372" s="144"/>
      <c r="E372" s="144"/>
      <c r="F372" s="144"/>
      <c r="G372" s="25"/>
      <c r="H372" s="28"/>
      <c r="I372" s="14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2.0" customHeight="1">
      <c r="A373" s="25"/>
      <c r="B373" s="142"/>
      <c r="C373" s="143"/>
      <c r="D373" s="144"/>
      <c r="E373" s="144"/>
      <c r="F373" s="144"/>
      <c r="G373" s="25"/>
      <c r="H373" s="28"/>
      <c r="I373" s="14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2.0" customHeight="1">
      <c r="A374" s="25"/>
      <c r="B374" s="142"/>
      <c r="C374" s="143"/>
      <c r="D374" s="144"/>
      <c r="E374" s="144"/>
      <c r="F374" s="144"/>
      <c r="G374" s="25"/>
      <c r="H374" s="28"/>
      <c r="I374" s="14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2.0" customHeight="1">
      <c r="A375" s="25"/>
      <c r="B375" s="142"/>
      <c r="C375" s="143"/>
      <c r="D375" s="144"/>
      <c r="E375" s="144"/>
      <c r="F375" s="144"/>
      <c r="G375" s="25"/>
      <c r="H375" s="28"/>
      <c r="I375" s="14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2.0" customHeight="1">
      <c r="A376" s="25"/>
      <c r="B376" s="142"/>
      <c r="C376" s="143"/>
      <c r="D376" s="144"/>
      <c r="E376" s="144"/>
      <c r="F376" s="144"/>
      <c r="G376" s="25"/>
      <c r="H376" s="28"/>
      <c r="I376" s="14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2.0" customHeight="1">
      <c r="A377" s="25"/>
      <c r="B377" s="142"/>
      <c r="C377" s="143"/>
      <c r="D377" s="144"/>
      <c r="E377" s="144"/>
      <c r="F377" s="144"/>
      <c r="G377" s="25"/>
      <c r="H377" s="28"/>
      <c r="I377" s="14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2.0" customHeight="1">
      <c r="A378" s="25"/>
      <c r="B378" s="142"/>
      <c r="C378" s="143"/>
      <c r="D378" s="144"/>
      <c r="E378" s="144"/>
      <c r="F378" s="144"/>
      <c r="G378" s="25"/>
      <c r="H378" s="28"/>
      <c r="I378" s="14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2.0" customHeight="1">
      <c r="A379" s="25"/>
      <c r="B379" s="142"/>
      <c r="C379" s="143"/>
      <c r="D379" s="144"/>
      <c r="E379" s="144"/>
      <c r="F379" s="144"/>
      <c r="G379" s="25"/>
      <c r="H379" s="28"/>
      <c r="I379" s="14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2.0" customHeight="1">
      <c r="A380" s="25"/>
      <c r="B380" s="142"/>
      <c r="C380" s="143"/>
      <c r="D380" s="144"/>
      <c r="E380" s="144"/>
      <c r="F380" s="144"/>
      <c r="G380" s="25"/>
      <c r="H380" s="28"/>
      <c r="I380" s="14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2.0" customHeight="1">
      <c r="A381" s="25"/>
      <c r="B381" s="142"/>
      <c r="C381" s="143"/>
      <c r="D381" s="144"/>
      <c r="E381" s="144"/>
      <c r="F381" s="144"/>
      <c r="G381" s="25"/>
      <c r="H381" s="28"/>
      <c r="I381" s="14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2.0" customHeight="1">
      <c r="A382" s="25"/>
      <c r="B382" s="142"/>
      <c r="C382" s="143"/>
      <c r="D382" s="144"/>
      <c r="E382" s="144"/>
      <c r="F382" s="144"/>
      <c r="G382" s="25"/>
      <c r="H382" s="28"/>
      <c r="I382" s="14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2.0" customHeight="1">
      <c r="A383" s="25"/>
      <c r="B383" s="142"/>
      <c r="C383" s="143"/>
      <c r="D383" s="144"/>
      <c r="E383" s="144"/>
      <c r="F383" s="144"/>
      <c r="G383" s="25"/>
      <c r="H383" s="28"/>
      <c r="I383" s="14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2.0" customHeight="1">
      <c r="A384" s="25"/>
      <c r="B384" s="142"/>
      <c r="C384" s="143"/>
      <c r="D384" s="144"/>
      <c r="E384" s="144"/>
      <c r="F384" s="144"/>
      <c r="G384" s="25"/>
      <c r="H384" s="28"/>
      <c r="I384" s="14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2.0" customHeight="1">
      <c r="A385" s="25"/>
      <c r="B385" s="142"/>
      <c r="C385" s="143"/>
      <c r="D385" s="144"/>
      <c r="E385" s="144"/>
      <c r="F385" s="144"/>
      <c r="G385" s="25"/>
      <c r="H385" s="28"/>
      <c r="I385" s="14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2.0" customHeight="1">
      <c r="A386" s="25"/>
      <c r="B386" s="142"/>
      <c r="C386" s="143"/>
      <c r="D386" s="144"/>
      <c r="E386" s="144"/>
      <c r="F386" s="144"/>
      <c r="G386" s="25"/>
      <c r="H386" s="28"/>
      <c r="I386" s="14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2.0" customHeight="1">
      <c r="A387" s="25"/>
      <c r="B387" s="142"/>
      <c r="C387" s="143"/>
      <c r="D387" s="144"/>
      <c r="E387" s="144"/>
      <c r="F387" s="144"/>
      <c r="G387" s="25"/>
      <c r="H387" s="28"/>
      <c r="I387" s="14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2.0" customHeight="1">
      <c r="A388" s="25"/>
      <c r="B388" s="142"/>
      <c r="C388" s="143"/>
      <c r="D388" s="144"/>
      <c r="E388" s="144"/>
      <c r="F388" s="144"/>
      <c r="G388" s="25"/>
      <c r="H388" s="28"/>
      <c r="I388" s="14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2.0" customHeight="1">
      <c r="A389" s="25"/>
      <c r="B389" s="142"/>
      <c r="C389" s="143"/>
      <c r="D389" s="144"/>
      <c r="E389" s="144"/>
      <c r="F389" s="144"/>
      <c r="G389" s="25"/>
      <c r="H389" s="28"/>
      <c r="I389" s="14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2.0" customHeight="1">
      <c r="A390" s="25"/>
      <c r="B390" s="142"/>
      <c r="C390" s="143"/>
      <c r="D390" s="144"/>
      <c r="E390" s="144"/>
      <c r="F390" s="144"/>
      <c r="G390" s="25"/>
      <c r="H390" s="28"/>
      <c r="I390" s="14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2.0" customHeight="1">
      <c r="A391" s="25"/>
      <c r="B391" s="142"/>
      <c r="C391" s="143"/>
      <c r="D391" s="144"/>
      <c r="E391" s="144"/>
      <c r="F391" s="144"/>
      <c r="G391" s="25"/>
      <c r="H391" s="28"/>
      <c r="I391" s="14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2.0" customHeight="1">
      <c r="A392" s="25"/>
      <c r="B392" s="142"/>
      <c r="C392" s="143"/>
      <c r="D392" s="144"/>
      <c r="E392" s="144"/>
      <c r="F392" s="144"/>
      <c r="G392" s="25"/>
      <c r="H392" s="28"/>
      <c r="I392" s="14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2.0" customHeight="1">
      <c r="A393" s="25"/>
      <c r="B393" s="142"/>
      <c r="C393" s="143"/>
      <c r="D393" s="144"/>
      <c r="E393" s="144"/>
      <c r="F393" s="144"/>
      <c r="G393" s="25"/>
      <c r="H393" s="28"/>
      <c r="I393" s="14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2.0" customHeight="1">
      <c r="A394" s="25"/>
      <c r="B394" s="142"/>
      <c r="C394" s="143"/>
      <c r="D394" s="144"/>
      <c r="E394" s="144"/>
      <c r="F394" s="144"/>
      <c r="G394" s="25"/>
      <c r="H394" s="28"/>
      <c r="I394" s="14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2.0" customHeight="1">
      <c r="A395" s="25"/>
      <c r="B395" s="142"/>
      <c r="C395" s="143"/>
      <c r="D395" s="144"/>
      <c r="E395" s="144"/>
      <c r="F395" s="144"/>
      <c r="G395" s="25"/>
      <c r="H395" s="28"/>
      <c r="I395" s="14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2.0" customHeight="1">
      <c r="A396" s="25"/>
      <c r="B396" s="142"/>
      <c r="C396" s="143"/>
      <c r="D396" s="144"/>
      <c r="E396" s="144"/>
      <c r="F396" s="144"/>
      <c r="G396" s="25"/>
      <c r="H396" s="28"/>
      <c r="I396" s="14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2.0" customHeight="1">
      <c r="A397" s="25"/>
      <c r="B397" s="142"/>
      <c r="C397" s="143"/>
      <c r="D397" s="144"/>
      <c r="E397" s="144"/>
      <c r="F397" s="144"/>
      <c r="G397" s="25"/>
      <c r="H397" s="28"/>
      <c r="I397" s="14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2.0" customHeight="1">
      <c r="A398" s="25"/>
      <c r="B398" s="142"/>
      <c r="C398" s="143"/>
      <c r="D398" s="144"/>
      <c r="E398" s="144"/>
      <c r="F398" s="144"/>
      <c r="G398" s="25"/>
      <c r="H398" s="28"/>
      <c r="I398" s="14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2.0" customHeight="1">
      <c r="A399" s="25"/>
      <c r="B399" s="142"/>
      <c r="C399" s="143"/>
      <c r="D399" s="144"/>
      <c r="E399" s="144"/>
      <c r="F399" s="144"/>
      <c r="G399" s="25"/>
      <c r="H399" s="28"/>
      <c r="I399" s="14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2.0" customHeight="1">
      <c r="A400" s="25"/>
      <c r="B400" s="142"/>
      <c r="C400" s="143"/>
      <c r="D400" s="144"/>
      <c r="E400" s="144"/>
      <c r="F400" s="144"/>
      <c r="G400" s="25"/>
      <c r="H400" s="28"/>
      <c r="I400" s="14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2.0" customHeight="1">
      <c r="A401" s="25"/>
      <c r="B401" s="142"/>
      <c r="C401" s="143"/>
      <c r="D401" s="144"/>
      <c r="E401" s="144"/>
      <c r="F401" s="144"/>
      <c r="G401" s="25"/>
      <c r="H401" s="28"/>
      <c r="I401" s="14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2.0" customHeight="1">
      <c r="A402" s="25"/>
      <c r="B402" s="142"/>
      <c r="C402" s="143"/>
      <c r="D402" s="144"/>
      <c r="E402" s="144"/>
      <c r="F402" s="144"/>
      <c r="G402" s="25"/>
      <c r="H402" s="28"/>
      <c r="I402" s="14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2.0" customHeight="1">
      <c r="A403" s="25"/>
      <c r="B403" s="142"/>
      <c r="C403" s="143"/>
      <c r="D403" s="144"/>
      <c r="E403" s="144"/>
      <c r="F403" s="144"/>
      <c r="G403" s="25"/>
      <c r="H403" s="28"/>
      <c r="I403" s="14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2.0" customHeight="1">
      <c r="A404" s="25"/>
      <c r="B404" s="142"/>
      <c r="C404" s="143"/>
      <c r="D404" s="144"/>
      <c r="E404" s="144"/>
      <c r="F404" s="144"/>
      <c r="G404" s="25"/>
      <c r="H404" s="28"/>
      <c r="I404" s="14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2.0" customHeight="1">
      <c r="A405" s="25"/>
      <c r="B405" s="142"/>
      <c r="C405" s="143"/>
      <c r="D405" s="144"/>
      <c r="E405" s="144"/>
      <c r="F405" s="144"/>
      <c r="G405" s="25"/>
      <c r="H405" s="28"/>
      <c r="I405" s="14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2.0" customHeight="1">
      <c r="A406" s="25"/>
      <c r="B406" s="142"/>
      <c r="C406" s="143"/>
      <c r="D406" s="144"/>
      <c r="E406" s="144"/>
      <c r="F406" s="144"/>
      <c r="G406" s="25"/>
      <c r="H406" s="28"/>
      <c r="I406" s="14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2.0" customHeight="1">
      <c r="A407" s="25"/>
      <c r="B407" s="142"/>
      <c r="C407" s="143"/>
      <c r="D407" s="144"/>
      <c r="E407" s="144"/>
      <c r="F407" s="144"/>
      <c r="G407" s="25"/>
      <c r="H407" s="28"/>
      <c r="I407" s="14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2.0" customHeight="1">
      <c r="A408" s="25"/>
      <c r="B408" s="142"/>
      <c r="C408" s="143"/>
      <c r="D408" s="144"/>
      <c r="E408" s="144"/>
      <c r="F408" s="144"/>
      <c r="G408" s="25"/>
      <c r="H408" s="28"/>
      <c r="I408" s="14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2.0" customHeight="1">
      <c r="A409" s="25"/>
      <c r="B409" s="142"/>
      <c r="C409" s="143"/>
      <c r="D409" s="144"/>
      <c r="E409" s="144"/>
      <c r="F409" s="144"/>
      <c r="G409" s="25"/>
      <c r="H409" s="28"/>
      <c r="I409" s="14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2.0" customHeight="1">
      <c r="A410" s="25"/>
      <c r="B410" s="142"/>
      <c r="C410" s="143"/>
      <c r="D410" s="144"/>
      <c r="E410" s="144"/>
      <c r="F410" s="144"/>
      <c r="G410" s="25"/>
      <c r="H410" s="28"/>
      <c r="I410" s="14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2.0" customHeight="1">
      <c r="A411" s="25"/>
      <c r="B411" s="142"/>
      <c r="C411" s="143"/>
      <c r="D411" s="144"/>
      <c r="E411" s="144"/>
      <c r="F411" s="144"/>
      <c r="G411" s="25"/>
      <c r="H411" s="28"/>
      <c r="I411" s="14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2.0" customHeight="1">
      <c r="A412" s="25"/>
      <c r="B412" s="142"/>
      <c r="C412" s="143"/>
      <c r="D412" s="144"/>
      <c r="E412" s="144"/>
      <c r="F412" s="144"/>
      <c r="G412" s="25"/>
      <c r="H412" s="28"/>
      <c r="I412" s="14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2.0" customHeight="1">
      <c r="A413" s="25"/>
      <c r="B413" s="142"/>
      <c r="C413" s="143"/>
      <c r="D413" s="144"/>
      <c r="E413" s="144"/>
      <c r="F413" s="144"/>
      <c r="G413" s="25"/>
      <c r="H413" s="28"/>
      <c r="I413" s="14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2.0" customHeight="1">
      <c r="A414" s="25"/>
      <c r="B414" s="142"/>
      <c r="C414" s="143"/>
      <c r="D414" s="144"/>
      <c r="E414" s="144"/>
      <c r="F414" s="144"/>
      <c r="G414" s="25"/>
      <c r="H414" s="28"/>
      <c r="I414" s="14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2.0" customHeight="1">
      <c r="A415" s="25"/>
      <c r="B415" s="142"/>
      <c r="C415" s="143"/>
      <c r="D415" s="144"/>
      <c r="E415" s="144"/>
      <c r="F415" s="144"/>
      <c r="G415" s="25"/>
      <c r="H415" s="28"/>
      <c r="I415" s="14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2.0" customHeight="1">
      <c r="A416" s="25"/>
      <c r="B416" s="142"/>
      <c r="C416" s="143"/>
      <c r="D416" s="144"/>
      <c r="E416" s="144"/>
      <c r="F416" s="144"/>
      <c r="G416" s="25"/>
      <c r="H416" s="28"/>
      <c r="I416" s="14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2.0" customHeight="1">
      <c r="A417" s="25"/>
      <c r="B417" s="142"/>
      <c r="C417" s="143"/>
      <c r="D417" s="144"/>
      <c r="E417" s="144"/>
      <c r="F417" s="144"/>
      <c r="G417" s="25"/>
      <c r="H417" s="28"/>
      <c r="I417" s="14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2.0" customHeight="1">
      <c r="A418" s="25"/>
      <c r="B418" s="142"/>
      <c r="C418" s="143"/>
      <c r="D418" s="144"/>
      <c r="E418" s="144"/>
      <c r="F418" s="144"/>
      <c r="G418" s="25"/>
      <c r="H418" s="28"/>
      <c r="I418" s="14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2.0" customHeight="1">
      <c r="A419" s="25"/>
      <c r="B419" s="142"/>
      <c r="C419" s="143"/>
      <c r="D419" s="144"/>
      <c r="E419" s="144"/>
      <c r="F419" s="144"/>
      <c r="G419" s="25"/>
      <c r="H419" s="28"/>
      <c r="I419" s="14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2.0" customHeight="1">
      <c r="A420" s="25"/>
      <c r="B420" s="142"/>
      <c r="C420" s="143"/>
      <c r="D420" s="144"/>
      <c r="E420" s="144"/>
      <c r="F420" s="144"/>
      <c r="G420" s="25"/>
      <c r="H420" s="28"/>
      <c r="I420" s="14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2.0" customHeight="1">
      <c r="A421" s="25"/>
      <c r="B421" s="142"/>
      <c r="C421" s="143"/>
      <c r="D421" s="144"/>
      <c r="E421" s="144"/>
      <c r="F421" s="144"/>
      <c r="G421" s="25"/>
      <c r="H421" s="28"/>
      <c r="I421" s="14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2.0" customHeight="1">
      <c r="A422" s="25"/>
      <c r="B422" s="142"/>
      <c r="C422" s="143"/>
      <c r="D422" s="144"/>
      <c r="E422" s="144"/>
      <c r="F422" s="144"/>
      <c r="G422" s="25"/>
      <c r="H422" s="28"/>
      <c r="I422" s="14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2.0" customHeight="1">
      <c r="A423" s="25"/>
      <c r="B423" s="142"/>
      <c r="C423" s="143"/>
      <c r="D423" s="144"/>
      <c r="E423" s="144"/>
      <c r="F423" s="144"/>
      <c r="G423" s="25"/>
      <c r="H423" s="28"/>
      <c r="I423" s="14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2.0" customHeight="1">
      <c r="A424" s="25"/>
      <c r="B424" s="142"/>
      <c r="C424" s="143"/>
      <c r="D424" s="144"/>
      <c r="E424" s="144"/>
      <c r="F424" s="144"/>
      <c r="G424" s="25"/>
      <c r="H424" s="28"/>
      <c r="I424" s="14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2.0" customHeight="1">
      <c r="A425" s="25"/>
      <c r="B425" s="142"/>
      <c r="C425" s="143"/>
      <c r="D425" s="144"/>
      <c r="E425" s="144"/>
      <c r="F425" s="144"/>
      <c r="G425" s="25"/>
      <c r="H425" s="28"/>
      <c r="I425" s="14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2.0" customHeight="1">
      <c r="A426" s="25"/>
      <c r="B426" s="142"/>
      <c r="C426" s="143"/>
      <c r="D426" s="144"/>
      <c r="E426" s="144"/>
      <c r="F426" s="144"/>
      <c r="G426" s="25"/>
      <c r="H426" s="28"/>
      <c r="I426" s="14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2.0" customHeight="1">
      <c r="A427" s="25"/>
      <c r="B427" s="142"/>
      <c r="C427" s="143"/>
      <c r="D427" s="144"/>
      <c r="E427" s="144"/>
      <c r="F427" s="144"/>
      <c r="G427" s="25"/>
      <c r="H427" s="28"/>
      <c r="I427" s="14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2.0" customHeight="1">
      <c r="A428" s="25"/>
      <c r="B428" s="142"/>
      <c r="C428" s="143"/>
      <c r="D428" s="144"/>
      <c r="E428" s="144"/>
      <c r="F428" s="144"/>
      <c r="G428" s="25"/>
      <c r="H428" s="28"/>
      <c r="I428" s="14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2.0" customHeight="1">
      <c r="A429" s="25"/>
      <c r="B429" s="142"/>
      <c r="C429" s="143"/>
      <c r="D429" s="144"/>
      <c r="E429" s="144"/>
      <c r="F429" s="144"/>
      <c r="G429" s="25"/>
      <c r="H429" s="28"/>
      <c r="I429" s="14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2.0" customHeight="1">
      <c r="A430" s="25"/>
      <c r="B430" s="142"/>
      <c r="C430" s="143"/>
      <c r="D430" s="144"/>
      <c r="E430" s="144"/>
      <c r="F430" s="144"/>
      <c r="G430" s="25"/>
      <c r="H430" s="28"/>
      <c r="I430" s="14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2.0" customHeight="1">
      <c r="A431" s="25"/>
      <c r="B431" s="142"/>
      <c r="C431" s="143"/>
      <c r="D431" s="144"/>
      <c r="E431" s="144"/>
      <c r="F431" s="144"/>
      <c r="G431" s="25"/>
      <c r="H431" s="28"/>
      <c r="I431" s="14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2.0" customHeight="1">
      <c r="A432" s="25"/>
      <c r="B432" s="142"/>
      <c r="C432" s="143"/>
      <c r="D432" s="144"/>
      <c r="E432" s="144"/>
      <c r="F432" s="144"/>
      <c r="G432" s="25"/>
      <c r="H432" s="28"/>
      <c r="I432" s="14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2.0" customHeight="1">
      <c r="A433" s="25"/>
      <c r="B433" s="142"/>
      <c r="C433" s="143"/>
      <c r="D433" s="144"/>
      <c r="E433" s="144"/>
      <c r="F433" s="144"/>
      <c r="G433" s="25"/>
      <c r="H433" s="28"/>
      <c r="I433" s="14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2.0" customHeight="1">
      <c r="A434" s="25"/>
      <c r="B434" s="142"/>
      <c r="C434" s="143"/>
      <c r="D434" s="144"/>
      <c r="E434" s="144"/>
      <c r="F434" s="144"/>
      <c r="G434" s="25"/>
      <c r="H434" s="28"/>
      <c r="I434" s="14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2.0" customHeight="1">
      <c r="A435" s="25"/>
      <c r="B435" s="142"/>
      <c r="C435" s="143"/>
      <c r="D435" s="144"/>
      <c r="E435" s="144"/>
      <c r="F435" s="144"/>
      <c r="G435" s="25"/>
      <c r="H435" s="28"/>
      <c r="I435" s="14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2.0" customHeight="1">
      <c r="A436" s="25"/>
      <c r="B436" s="142"/>
      <c r="C436" s="143"/>
      <c r="D436" s="144"/>
      <c r="E436" s="144"/>
      <c r="F436" s="144"/>
      <c r="G436" s="25"/>
      <c r="H436" s="28"/>
      <c r="I436" s="14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2.0" customHeight="1">
      <c r="A437" s="25"/>
      <c r="B437" s="142"/>
      <c r="C437" s="143"/>
      <c r="D437" s="144"/>
      <c r="E437" s="144"/>
      <c r="F437" s="144"/>
      <c r="G437" s="25"/>
      <c r="H437" s="28"/>
      <c r="I437" s="14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2.0" customHeight="1">
      <c r="A438" s="25"/>
      <c r="B438" s="142"/>
      <c r="C438" s="143"/>
      <c r="D438" s="144"/>
      <c r="E438" s="144"/>
      <c r="F438" s="144"/>
      <c r="G438" s="25"/>
      <c r="H438" s="28"/>
      <c r="I438" s="14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2.0" customHeight="1">
      <c r="A439" s="25"/>
      <c r="B439" s="142"/>
      <c r="C439" s="143"/>
      <c r="D439" s="144"/>
      <c r="E439" s="144"/>
      <c r="F439" s="144"/>
      <c r="G439" s="25"/>
      <c r="H439" s="28"/>
      <c r="I439" s="14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2.0" customHeight="1">
      <c r="A440" s="25"/>
      <c r="B440" s="142"/>
      <c r="C440" s="143"/>
      <c r="D440" s="144"/>
      <c r="E440" s="144"/>
      <c r="F440" s="144"/>
      <c r="G440" s="25"/>
      <c r="H440" s="28"/>
      <c r="I440" s="14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2.0" customHeight="1">
      <c r="A441" s="25"/>
      <c r="B441" s="142"/>
      <c r="C441" s="143"/>
      <c r="D441" s="144"/>
      <c r="E441" s="144"/>
      <c r="F441" s="144"/>
      <c r="G441" s="25"/>
      <c r="H441" s="28"/>
      <c r="I441" s="14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2.0" customHeight="1">
      <c r="A442" s="25"/>
      <c r="B442" s="142"/>
      <c r="C442" s="143"/>
      <c r="D442" s="144"/>
      <c r="E442" s="144"/>
      <c r="F442" s="144"/>
      <c r="G442" s="25"/>
      <c r="H442" s="28"/>
      <c r="I442" s="14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2.0" customHeight="1">
      <c r="A443" s="25"/>
      <c r="B443" s="142"/>
      <c r="C443" s="143"/>
      <c r="D443" s="144"/>
      <c r="E443" s="144"/>
      <c r="F443" s="144"/>
      <c r="G443" s="25"/>
      <c r="H443" s="28"/>
      <c r="I443" s="14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2.0" customHeight="1">
      <c r="A444" s="25"/>
      <c r="B444" s="142"/>
      <c r="C444" s="143"/>
      <c r="D444" s="144"/>
      <c r="E444" s="144"/>
      <c r="F444" s="144"/>
      <c r="G444" s="25"/>
      <c r="H444" s="28"/>
      <c r="I444" s="14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2.0" customHeight="1">
      <c r="A445" s="25"/>
      <c r="B445" s="142"/>
      <c r="C445" s="143"/>
      <c r="D445" s="144"/>
      <c r="E445" s="144"/>
      <c r="F445" s="144"/>
      <c r="G445" s="25"/>
      <c r="H445" s="28"/>
      <c r="I445" s="14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2.0" customHeight="1">
      <c r="A446" s="25"/>
      <c r="B446" s="142"/>
      <c r="C446" s="143"/>
      <c r="D446" s="144"/>
      <c r="E446" s="144"/>
      <c r="F446" s="144"/>
      <c r="G446" s="25"/>
      <c r="H446" s="28"/>
      <c r="I446" s="14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2.0" customHeight="1">
      <c r="A447" s="25"/>
      <c r="B447" s="142"/>
      <c r="C447" s="143"/>
      <c r="D447" s="144"/>
      <c r="E447" s="144"/>
      <c r="F447" s="144"/>
      <c r="G447" s="25"/>
      <c r="H447" s="28"/>
      <c r="I447" s="14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2.0" customHeight="1">
      <c r="A448" s="25"/>
      <c r="B448" s="142"/>
      <c r="C448" s="143"/>
      <c r="D448" s="144"/>
      <c r="E448" s="144"/>
      <c r="F448" s="144"/>
      <c r="G448" s="25"/>
      <c r="H448" s="28"/>
      <c r="I448" s="14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2.0" customHeight="1">
      <c r="A449" s="25"/>
      <c r="B449" s="142"/>
      <c r="C449" s="143"/>
      <c r="D449" s="144"/>
      <c r="E449" s="144"/>
      <c r="F449" s="144"/>
      <c r="G449" s="25"/>
      <c r="H449" s="28"/>
      <c r="I449" s="14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2.0" customHeight="1">
      <c r="A450" s="25"/>
      <c r="B450" s="142"/>
      <c r="C450" s="143"/>
      <c r="D450" s="144"/>
      <c r="E450" s="144"/>
      <c r="F450" s="144"/>
      <c r="G450" s="25"/>
      <c r="H450" s="28"/>
      <c r="I450" s="14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2.0" customHeight="1">
      <c r="A451" s="25"/>
      <c r="B451" s="142"/>
      <c r="C451" s="143"/>
      <c r="D451" s="144"/>
      <c r="E451" s="144"/>
      <c r="F451" s="144"/>
      <c r="G451" s="25"/>
      <c r="H451" s="28"/>
      <c r="I451" s="14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2.0" customHeight="1">
      <c r="A452" s="25"/>
      <c r="B452" s="142"/>
      <c r="C452" s="143"/>
      <c r="D452" s="144"/>
      <c r="E452" s="144"/>
      <c r="F452" s="144"/>
      <c r="G452" s="25"/>
      <c r="H452" s="28"/>
      <c r="I452" s="14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2.0" customHeight="1">
      <c r="A453" s="25"/>
      <c r="B453" s="142"/>
      <c r="C453" s="143"/>
      <c r="D453" s="144"/>
      <c r="E453" s="144"/>
      <c r="F453" s="144"/>
      <c r="G453" s="25"/>
      <c r="H453" s="28"/>
      <c r="I453" s="14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2.0" customHeight="1">
      <c r="A454" s="25"/>
      <c r="B454" s="142"/>
      <c r="C454" s="143"/>
      <c r="D454" s="144"/>
      <c r="E454" s="144"/>
      <c r="F454" s="144"/>
      <c r="G454" s="25"/>
      <c r="H454" s="28"/>
      <c r="I454" s="14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2.0" customHeight="1">
      <c r="A455" s="25"/>
      <c r="B455" s="142"/>
      <c r="C455" s="143"/>
      <c r="D455" s="144"/>
      <c r="E455" s="144"/>
      <c r="F455" s="144"/>
      <c r="G455" s="25"/>
      <c r="H455" s="28"/>
      <c r="I455" s="14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2.0" customHeight="1">
      <c r="A456" s="25"/>
      <c r="B456" s="142"/>
      <c r="C456" s="143"/>
      <c r="D456" s="144"/>
      <c r="E456" s="144"/>
      <c r="F456" s="144"/>
      <c r="G456" s="25"/>
      <c r="H456" s="28"/>
      <c r="I456" s="14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2.0" customHeight="1">
      <c r="A457" s="25"/>
      <c r="B457" s="142"/>
      <c r="C457" s="143"/>
      <c r="D457" s="144"/>
      <c r="E457" s="144"/>
      <c r="F457" s="144"/>
      <c r="G457" s="25"/>
      <c r="H457" s="28"/>
      <c r="I457" s="14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2.0" customHeight="1">
      <c r="A458" s="25"/>
      <c r="B458" s="142"/>
      <c r="C458" s="143"/>
      <c r="D458" s="144"/>
      <c r="E458" s="144"/>
      <c r="F458" s="144"/>
      <c r="G458" s="25"/>
      <c r="H458" s="28"/>
      <c r="I458" s="14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2.0" customHeight="1">
      <c r="A459" s="25"/>
      <c r="B459" s="142"/>
      <c r="C459" s="143"/>
      <c r="D459" s="144"/>
      <c r="E459" s="144"/>
      <c r="F459" s="144"/>
      <c r="G459" s="25"/>
      <c r="H459" s="28"/>
      <c r="I459" s="14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2.0" customHeight="1">
      <c r="A460" s="25"/>
      <c r="B460" s="142"/>
      <c r="C460" s="143"/>
      <c r="D460" s="144"/>
      <c r="E460" s="144"/>
      <c r="F460" s="144"/>
      <c r="G460" s="25"/>
      <c r="H460" s="28"/>
      <c r="I460" s="14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2.0" customHeight="1">
      <c r="A461" s="25"/>
      <c r="B461" s="142"/>
      <c r="C461" s="143"/>
      <c r="D461" s="144"/>
      <c r="E461" s="144"/>
      <c r="F461" s="144"/>
      <c r="G461" s="25"/>
      <c r="H461" s="28"/>
      <c r="I461" s="14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2.0" customHeight="1">
      <c r="A462" s="25"/>
      <c r="B462" s="142"/>
      <c r="C462" s="143"/>
      <c r="D462" s="144"/>
      <c r="E462" s="144"/>
      <c r="F462" s="144"/>
      <c r="G462" s="25"/>
      <c r="H462" s="28"/>
      <c r="I462" s="14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2.0" customHeight="1">
      <c r="A463" s="25"/>
      <c r="B463" s="142"/>
      <c r="C463" s="143"/>
      <c r="D463" s="144"/>
      <c r="E463" s="144"/>
      <c r="F463" s="144"/>
      <c r="G463" s="25"/>
      <c r="H463" s="28"/>
      <c r="I463" s="14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2.0" customHeight="1">
      <c r="A464" s="25"/>
      <c r="B464" s="142"/>
      <c r="C464" s="143"/>
      <c r="D464" s="144"/>
      <c r="E464" s="144"/>
      <c r="F464" s="144"/>
      <c r="G464" s="25"/>
      <c r="H464" s="28"/>
      <c r="I464" s="14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2.0" customHeight="1">
      <c r="A465" s="25"/>
      <c r="B465" s="142"/>
      <c r="C465" s="143"/>
      <c r="D465" s="144"/>
      <c r="E465" s="144"/>
      <c r="F465" s="144"/>
      <c r="G465" s="25"/>
      <c r="H465" s="28"/>
      <c r="I465" s="14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2.0" customHeight="1">
      <c r="A466" s="25"/>
      <c r="B466" s="142"/>
      <c r="C466" s="143"/>
      <c r="D466" s="144"/>
      <c r="E466" s="144"/>
      <c r="F466" s="144"/>
      <c r="G466" s="25"/>
      <c r="H466" s="28"/>
      <c r="I466" s="14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2.0" customHeight="1">
      <c r="A467" s="25"/>
      <c r="B467" s="142"/>
      <c r="C467" s="143"/>
      <c r="D467" s="144"/>
      <c r="E467" s="144"/>
      <c r="F467" s="144"/>
      <c r="G467" s="25"/>
      <c r="H467" s="28"/>
      <c r="I467" s="14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2.0" customHeight="1">
      <c r="A468" s="25"/>
      <c r="B468" s="142"/>
      <c r="C468" s="143"/>
      <c r="D468" s="144"/>
      <c r="E468" s="144"/>
      <c r="F468" s="144"/>
      <c r="G468" s="25"/>
      <c r="H468" s="28"/>
      <c r="I468" s="14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2.0" customHeight="1">
      <c r="A469" s="25"/>
      <c r="B469" s="142"/>
      <c r="C469" s="143"/>
      <c r="D469" s="144"/>
      <c r="E469" s="144"/>
      <c r="F469" s="144"/>
      <c r="G469" s="25"/>
      <c r="H469" s="28"/>
      <c r="I469" s="14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2.0" customHeight="1">
      <c r="A470" s="25"/>
      <c r="B470" s="142"/>
      <c r="C470" s="143"/>
      <c r="D470" s="144"/>
      <c r="E470" s="144"/>
      <c r="F470" s="144"/>
      <c r="G470" s="25"/>
      <c r="H470" s="28"/>
      <c r="I470" s="14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2.0" customHeight="1">
      <c r="A471" s="25"/>
      <c r="B471" s="142"/>
      <c r="C471" s="143"/>
      <c r="D471" s="144"/>
      <c r="E471" s="144"/>
      <c r="F471" s="144"/>
      <c r="G471" s="25"/>
      <c r="H471" s="28"/>
      <c r="I471" s="14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2.0" customHeight="1">
      <c r="A472" s="25"/>
      <c r="B472" s="142"/>
      <c r="C472" s="143"/>
      <c r="D472" s="144"/>
      <c r="E472" s="144"/>
      <c r="F472" s="144"/>
      <c r="G472" s="25"/>
      <c r="H472" s="28"/>
      <c r="I472" s="14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2.0" customHeight="1">
      <c r="A473" s="25"/>
      <c r="B473" s="142"/>
      <c r="C473" s="143"/>
      <c r="D473" s="144"/>
      <c r="E473" s="144"/>
      <c r="F473" s="144"/>
      <c r="G473" s="25"/>
      <c r="H473" s="28"/>
      <c r="I473" s="14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2.0" customHeight="1">
      <c r="A474" s="25"/>
      <c r="B474" s="142"/>
      <c r="C474" s="143"/>
      <c r="D474" s="144"/>
      <c r="E474" s="144"/>
      <c r="F474" s="144"/>
      <c r="G474" s="25"/>
      <c r="H474" s="28"/>
      <c r="I474" s="14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2.0" customHeight="1">
      <c r="A475" s="25"/>
      <c r="B475" s="142"/>
      <c r="C475" s="143"/>
      <c r="D475" s="144"/>
      <c r="E475" s="144"/>
      <c r="F475" s="144"/>
      <c r="G475" s="25"/>
      <c r="H475" s="28"/>
      <c r="I475" s="14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2.0" customHeight="1">
      <c r="A476" s="25"/>
      <c r="B476" s="142"/>
      <c r="C476" s="143"/>
      <c r="D476" s="144"/>
      <c r="E476" s="144"/>
      <c r="F476" s="144"/>
      <c r="G476" s="25"/>
      <c r="H476" s="28"/>
      <c r="I476" s="14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2.0" customHeight="1">
      <c r="A477" s="25"/>
      <c r="B477" s="142"/>
      <c r="C477" s="143"/>
      <c r="D477" s="144"/>
      <c r="E477" s="144"/>
      <c r="F477" s="144"/>
      <c r="G477" s="25"/>
      <c r="H477" s="28"/>
      <c r="I477" s="14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2.0" customHeight="1">
      <c r="A478" s="25"/>
      <c r="B478" s="142"/>
      <c r="C478" s="143"/>
      <c r="D478" s="144"/>
      <c r="E478" s="144"/>
      <c r="F478" s="144"/>
      <c r="G478" s="25"/>
      <c r="H478" s="28"/>
      <c r="I478" s="14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2.0" customHeight="1">
      <c r="A479" s="25"/>
      <c r="B479" s="142"/>
      <c r="C479" s="143"/>
      <c r="D479" s="144"/>
      <c r="E479" s="144"/>
      <c r="F479" s="144"/>
      <c r="G479" s="25"/>
      <c r="H479" s="28"/>
      <c r="I479" s="14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2.0" customHeight="1">
      <c r="A480" s="25"/>
      <c r="B480" s="142"/>
      <c r="C480" s="143"/>
      <c r="D480" s="144"/>
      <c r="E480" s="144"/>
      <c r="F480" s="144"/>
      <c r="G480" s="25"/>
      <c r="H480" s="28"/>
      <c r="I480" s="14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2.0" customHeight="1">
      <c r="A481" s="25"/>
      <c r="B481" s="142"/>
      <c r="C481" s="143"/>
      <c r="D481" s="144"/>
      <c r="E481" s="144"/>
      <c r="F481" s="144"/>
      <c r="G481" s="25"/>
      <c r="H481" s="28"/>
      <c r="I481" s="14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2.0" customHeight="1">
      <c r="A482" s="25"/>
      <c r="B482" s="142"/>
      <c r="C482" s="143"/>
      <c r="D482" s="144"/>
      <c r="E482" s="144"/>
      <c r="F482" s="144"/>
      <c r="G482" s="25"/>
      <c r="H482" s="28"/>
      <c r="I482" s="14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2.0" customHeight="1">
      <c r="A483" s="25"/>
      <c r="B483" s="142"/>
      <c r="C483" s="143"/>
      <c r="D483" s="144"/>
      <c r="E483" s="144"/>
      <c r="F483" s="144"/>
      <c r="G483" s="25"/>
      <c r="H483" s="28"/>
      <c r="I483" s="14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2.0" customHeight="1">
      <c r="A484" s="25"/>
      <c r="B484" s="142"/>
      <c r="C484" s="143"/>
      <c r="D484" s="144"/>
      <c r="E484" s="144"/>
      <c r="F484" s="144"/>
      <c r="G484" s="25"/>
      <c r="H484" s="28"/>
      <c r="I484" s="14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2.0" customHeight="1">
      <c r="A485" s="25"/>
      <c r="B485" s="142"/>
      <c r="C485" s="143"/>
      <c r="D485" s="144"/>
      <c r="E485" s="144"/>
      <c r="F485" s="144"/>
      <c r="G485" s="25"/>
      <c r="H485" s="28"/>
      <c r="I485" s="14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2.0" customHeight="1">
      <c r="A486" s="25"/>
      <c r="B486" s="142"/>
      <c r="C486" s="143"/>
      <c r="D486" s="144"/>
      <c r="E486" s="144"/>
      <c r="F486" s="144"/>
      <c r="G486" s="25"/>
      <c r="H486" s="28"/>
      <c r="I486" s="14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2.0" customHeight="1">
      <c r="A487" s="25"/>
      <c r="B487" s="142"/>
      <c r="C487" s="143"/>
      <c r="D487" s="144"/>
      <c r="E487" s="144"/>
      <c r="F487" s="144"/>
      <c r="G487" s="25"/>
      <c r="H487" s="28"/>
      <c r="I487" s="14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2.0" customHeight="1">
      <c r="A488" s="25"/>
      <c r="B488" s="142"/>
      <c r="C488" s="143"/>
      <c r="D488" s="144"/>
      <c r="E488" s="144"/>
      <c r="F488" s="144"/>
      <c r="G488" s="25"/>
      <c r="H488" s="28"/>
      <c r="I488" s="14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2.0" customHeight="1">
      <c r="A489" s="25"/>
      <c r="B489" s="142"/>
      <c r="C489" s="143"/>
      <c r="D489" s="144"/>
      <c r="E489" s="144"/>
      <c r="F489" s="144"/>
      <c r="G489" s="25"/>
      <c r="H489" s="28"/>
      <c r="I489" s="14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2.0" customHeight="1">
      <c r="A490" s="25"/>
      <c r="B490" s="142"/>
      <c r="C490" s="143"/>
      <c r="D490" s="144"/>
      <c r="E490" s="144"/>
      <c r="F490" s="144"/>
      <c r="G490" s="25"/>
      <c r="H490" s="28"/>
      <c r="I490" s="14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2.0" customHeight="1">
      <c r="A491" s="25"/>
      <c r="B491" s="142"/>
      <c r="C491" s="143"/>
      <c r="D491" s="144"/>
      <c r="E491" s="144"/>
      <c r="F491" s="144"/>
      <c r="G491" s="25"/>
      <c r="H491" s="28"/>
      <c r="I491" s="14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2.0" customHeight="1">
      <c r="A492" s="25"/>
      <c r="B492" s="142"/>
      <c r="C492" s="143"/>
      <c r="D492" s="144"/>
      <c r="E492" s="144"/>
      <c r="F492" s="144"/>
      <c r="G492" s="25"/>
      <c r="H492" s="28"/>
      <c r="I492" s="14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2.0" customHeight="1">
      <c r="A493" s="25"/>
      <c r="B493" s="142"/>
      <c r="C493" s="143"/>
      <c r="D493" s="144"/>
      <c r="E493" s="144"/>
      <c r="F493" s="144"/>
      <c r="G493" s="25"/>
      <c r="H493" s="28"/>
      <c r="I493" s="14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2.0" customHeight="1">
      <c r="A494" s="25"/>
      <c r="B494" s="142"/>
      <c r="C494" s="143"/>
      <c r="D494" s="144"/>
      <c r="E494" s="144"/>
      <c r="F494" s="144"/>
      <c r="G494" s="25"/>
      <c r="H494" s="28"/>
      <c r="I494" s="14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2.0" customHeight="1">
      <c r="A495" s="25"/>
      <c r="B495" s="142"/>
      <c r="C495" s="143"/>
      <c r="D495" s="144"/>
      <c r="E495" s="144"/>
      <c r="F495" s="144"/>
      <c r="G495" s="25"/>
      <c r="H495" s="28"/>
      <c r="I495" s="14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2.0" customHeight="1">
      <c r="A496" s="25"/>
      <c r="B496" s="142"/>
      <c r="C496" s="143"/>
      <c r="D496" s="144"/>
      <c r="E496" s="144"/>
      <c r="F496" s="144"/>
      <c r="G496" s="25"/>
      <c r="H496" s="28"/>
      <c r="I496" s="14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2.0" customHeight="1">
      <c r="A497" s="25"/>
      <c r="B497" s="142"/>
      <c r="C497" s="143"/>
      <c r="D497" s="144"/>
      <c r="E497" s="144"/>
      <c r="F497" s="144"/>
      <c r="G497" s="25"/>
      <c r="H497" s="28"/>
      <c r="I497" s="14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2.0" customHeight="1">
      <c r="A498" s="25"/>
      <c r="B498" s="142"/>
      <c r="C498" s="143"/>
      <c r="D498" s="144"/>
      <c r="E498" s="144"/>
      <c r="F498" s="144"/>
      <c r="G498" s="25"/>
      <c r="H498" s="28"/>
      <c r="I498" s="14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2.0" customHeight="1">
      <c r="A499" s="25"/>
      <c r="B499" s="142"/>
      <c r="C499" s="143"/>
      <c r="D499" s="144"/>
      <c r="E499" s="144"/>
      <c r="F499" s="144"/>
      <c r="G499" s="25"/>
      <c r="H499" s="28"/>
      <c r="I499" s="14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2.0" customHeight="1">
      <c r="A500" s="25"/>
      <c r="B500" s="142"/>
      <c r="C500" s="143"/>
      <c r="D500" s="144"/>
      <c r="E500" s="144"/>
      <c r="F500" s="144"/>
      <c r="G500" s="25"/>
      <c r="H500" s="28"/>
      <c r="I500" s="14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2.0" customHeight="1">
      <c r="A501" s="25"/>
      <c r="B501" s="142"/>
      <c r="C501" s="143"/>
      <c r="D501" s="144"/>
      <c r="E501" s="144"/>
      <c r="F501" s="144"/>
      <c r="G501" s="25"/>
      <c r="H501" s="28"/>
      <c r="I501" s="14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2.0" customHeight="1">
      <c r="A502" s="25"/>
      <c r="B502" s="142"/>
      <c r="C502" s="143"/>
      <c r="D502" s="144"/>
      <c r="E502" s="144"/>
      <c r="F502" s="144"/>
      <c r="G502" s="25"/>
      <c r="H502" s="28"/>
      <c r="I502" s="14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2.0" customHeight="1">
      <c r="A503" s="25"/>
      <c r="B503" s="142"/>
      <c r="C503" s="143"/>
      <c r="D503" s="144"/>
      <c r="E503" s="144"/>
      <c r="F503" s="144"/>
      <c r="G503" s="25"/>
      <c r="H503" s="28"/>
      <c r="I503" s="14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2.0" customHeight="1">
      <c r="A504" s="25"/>
      <c r="B504" s="142"/>
      <c r="C504" s="143"/>
      <c r="D504" s="144"/>
      <c r="E504" s="144"/>
      <c r="F504" s="144"/>
      <c r="G504" s="25"/>
      <c r="H504" s="28"/>
      <c r="I504" s="14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2.0" customHeight="1">
      <c r="A505" s="25"/>
      <c r="B505" s="142"/>
      <c r="C505" s="143"/>
      <c r="D505" s="144"/>
      <c r="E505" s="144"/>
      <c r="F505" s="144"/>
      <c r="G505" s="25"/>
      <c r="H505" s="28"/>
      <c r="I505" s="14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2.0" customHeight="1">
      <c r="A506" s="25"/>
      <c r="B506" s="142"/>
      <c r="C506" s="143"/>
      <c r="D506" s="144"/>
      <c r="E506" s="144"/>
      <c r="F506" s="144"/>
      <c r="G506" s="25"/>
      <c r="H506" s="28"/>
      <c r="I506" s="14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2.0" customHeight="1">
      <c r="A507" s="25"/>
      <c r="B507" s="142"/>
      <c r="C507" s="143"/>
      <c r="D507" s="144"/>
      <c r="E507" s="144"/>
      <c r="F507" s="144"/>
      <c r="G507" s="25"/>
      <c r="H507" s="28"/>
      <c r="I507" s="14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2.0" customHeight="1">
      <c r="A508" s="25"/>
      <c r="B508" s="142"/>
      <c r="C508" s="143"/>
      <c r="D508" s="144"/>
      <c r="E508" s="144"/>
      <c r="F508" s="144"/>
      <c r="G508" s="25"/>
      <c r="H508" s="28"/>
      <c r="I508" s="14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2.0" customHeight="1">
      <c r="A509" s="25"/>
      <c r="B509" s="142"/>
      <c r="C509" s="143"/>
      <c r="D509" s="144"/>
      <c r="E509" s="144"/>
      <c r="F509" s="144"/>
      <c r="G509" s="25"/>
      <c r="H509" s="28"/>
      <c r="I509" s="14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2.0" customHeight="1">
      <c r="A510" s="25"/>
      <c r="B510" s="142"/>
      <c r="C510" s="143"/>
      <c r="D510" s="144"/>
      <c r="E510" s="144"/>
      <c r="F510" s="144"/>
      <c r="G510" s="25"/>
      <c r="H510" s="28"/>
      <c r="I510" s="14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2.0" customHeight="1">
      <c r="A511" s="25"/>
      <c r="B511" s="142"/>
      <c r="C511" s="143"/>
      <c r="D511" s="144"/>
      <c r="E511" s="144"/>
      <c r="F511" s="144"/>
      <c r="G511" s="25"/>
      <c r="H511" s="28"/>
      <c r="I511" s="14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2.0" customHeight="1">
      <c r="A512" s="25"/>
      <c r="B512" s="142"/>
      <c r="C512" s="143"/>
      <c r="D512" s="144"/>
      <c r="E512" s="144"/>
      <c r="F512" s="144"/>
      <c r="G512" s="25"/>
      <c r="H512" s="28"/>
      <c r="I512" s="14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2.0" customHeight="1">
      <c r="A513" s="25"/>
      <c r="B513" s="142"/>
      <c r="C513" s="143"/>
      <c r="D513" s="144"/>
      <c r="E513" s="144"/>
      <c r="F513" s="144"/>
      <c r="G513" s="25"/>
      <c r="H513" s="28"/>
      <c r="I513" s="14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2.0" customHeight="1">
      <c r="A514" s="25"/>
      <c r="B514" s="142"/>
      <c r="C514" s="143"/>
      <c r="D514" s="144"/>
      <c r="E514" s="144"/>
      <c r="F514" s="144"/>
      <c r="G514" s="25"/>
      <c r="H514" s="28"/>
      <c r="I514" s="14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2.0" customHeight="1">
      <c r="A515" s="25"/>
      <c r="B515" s="142"/>
      <c r="C515" s="143"/>
      <c r="D515" s="144"/>
      <c r="E515" s="144"/>
      <c r="F515" s="144"/>
      <c r="G515" s="25"/>
      <c r="H515" s="28"/>
      <c r="I515" s="14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2.0" customHeight="1">
      <c r="A516" s="25"/>
      <c r="B516" s="142"/>
      <c r="C516" s="143"/>
      <c r="D516" s="144"/>
      <c r="E516" s="144"/>
      <c r="F516" s="144"/>
      <c r="G516" s="25"/>
      <c r="H516" s="28"/>
      <c r="I516" s="14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2.0" customHeight="1">
      <c r="A517" s="25"/>
      <c r="B517" s="142"/>
      <c r="C517" s="143"/>
      <c r="D517" s="144"/>
      <c r="E517" s="144"/>
      <c r="F517" s="144"/>
      <c r="G517" s="25"/>
      <c r="H517" s="28"/>
      <c r="I517" s="14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2.0" customHeight="1">
      <c r="A518" s="25"/>
      <c r="B518" s="142"/>
      <c r="C518" s="143"/>
      <c r="D518" s="144"/>
      <c r="E518" s="144"/>
      <c r="F518" s="144"/>
      <c r="G518" s="25"/>
      <c r="H518" s="28"/>
      <c r="I518" s="14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2.0" customHeight="1">
      <c r="A519" s="25"/>
      <c r="B519" s="142"/>
      <c r="C519" s="143"/>
      <c r="D519" s="144"/>
      <c r="E519" s="144"/>
      <c r="F519" s="144"/>
      <c r="G519" s="25"/>
      <c r="H519" s="28"/>
      <c r="I519" s="14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2.0" customHeight="1">
      <c r="A520" s="25"/>
      <c r="B520" s="142"/>
      <c r="C520" s="143"/>
      <c r="D520" s="144"/>
      <c r="E520" s="144"/>
      <c r="F520" s="144"/>
      <c r="G520" s="25"/>
      <c r="H520" s="28"/>
      <c r="I520" s="14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2.0" customHeight="1">
      <c r="A521" s="25"/>
      <c r="B521" s="142"/>
      <c r="C521" s="143"/>
      <c r="D521" s="144"/>
      <c r="E521" s="144"/>
      <c r="F521" s="144"/>
      <c r="G521" s="25"/>
      <c r="H521" s="28"/>
      <c r="I521" s="14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2.0" customHeight="1">
      <c r="A522" s="25"/>
      <c r="B522" s="142"/>
      <c r="C522" s="143"/>
      <c r="D522" s="144"/>
      <c r="E522" s="144"/>
      <c r="F522" s="144"/>
      <c r="G522" s="25"/>
      <c r="H522" s="28"/>
      <c r="I522" s="14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2.0" customHeight="1">
      <c r="A523" s="25"/>
      <c r="B523" s="142"/>
      <c r="C523" s="143"/>
      <c r="D523" s="144"/>
      <c r="E523" s="144"/>
      <c r="F523" s="144"/>
      <c r="G523" s="25"/>
      <c r="H523" s="28"/>
      <c r="I523" s="14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2.0" customHeight="1">
      <c r="A524" s="25"/>
      <c r="B524" s="142"/>
      <c r="C524" s="143"/>
      <c r="D524" s="144"/>
      <c r="E524" s="144"/>
      <c r="F524" s="144"/>
      <c r="G524" s="25"/>
      <c r="H524" s="28"/>
      <c r="I524" s="14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2.0" customHeight="1">
      <c r="A525" s="25"/>
      <c r="B525" s="142"/>
      <c r="C525" s="143"/>
      <c r="D525" s="144"/>
      <c r="E525" s="144"/>
      <c r="F525" s="144"/>
      <c r="G525" s="25"/>
      <c r="H525" s="28"/>
      <c r="I525" s="14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2.0" customHeight="1">
      <c r="A526" s="25"/>
      <c r="B526" s="142"/>
      <c r="C526" s="143"/>
      <c r="D526" s="144"/>
      <c r="E526" s="144"/>
      <c r="F526" s="144"/>
      <c r="G526" s="25"/>
      <c r="H526" s="28"/>
      <c r="I526" s="14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2.0" customHeight="1">
      <c r="A527" s="25"/>
      <c r="B527" s="142"/>
      <c r="C527" s="143"/>
      <c r="D527" s="144"/>
      <c r="E527" s="144"/>
      <c r="F527" s="144"/>
      <c r="G527" s="25"/>
      <c r="H527" s="28"/>
      <c r="I527" s="14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2.0" customHeight="1">
      <c r="A528" s="25"/>
      <c r="B528" s="142"/>
      <c r="C528" s="143"/>
      <c r="D528" s="144"/>
      <c r="E528" s="144"/>
      <c r="F528" s="144"/>
      <c r="G528" s="25"/>
      <c r="H528" s="28"/>
      <c r="I528" s="14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2.0" customHeight="1">
      <c r="A529" s="25"/>
      <c r="B529" s="142"/>
      <c r="C529" s="143"/>
      <c r="D529" s="144"/>
      <c r="E529" s="144"/>
      <c r="F529" s="144"/>
      <c r="G529" s="25"/>
      <c r="H529" s="28"/>
      <c r="I529" s="14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2.0" customHeight="1">
      <c r="A530" s="25"/>
      <c r="B530" s="142"/>
      <c r="C530" s="143"/>
      <c r="D530" s="144"/>
      <c r="E530" s="144"/>
      <c r="F530" s="144"/>
      <c r="G530" s="25"/>
      <c r="H530" s="28"/>
      <c r="I530" s="14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2.0" customHeight="1">
      <c r="A531" s="25"/>
      <c r="B531" s="142"/>
      <c r="C531" s="143"/>
      <c r="D531" s="144"/>
      <c r="E531" s="144"/>
      <c r="F531" s="144"/>
      <c r="G531" s="25"/>
      <c r="H531" s="28"/>
      <c r="I531" s="14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2.0" customHeight="1">
      <c r="A532" s="25"/>
      <c r="B532" s="142"/>
      <c r="C532" s="143"/>
      <c r="D532" s="144"/>
      <c r="E532" s="144"/>
      <c r="F532" s="144"/>
      <c r="G532" s="25"/>
      <c r="H532" s="28"/>
      <c r="I532" s="14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2.0" customHeight="1">
      <c r="A533" s="25"/>
      <c r="B533" s="142"/>
      <c r="C533" s="143"/>
      <c r="D533" s="144"/>
      <c r="E533" s="144"/>
      <c r="F533" s="144"/>
      <c r="G533" s="25"/>
      <c r="H533" s="28"/>
      <c r="I533" s="14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2.0" customHeight="1">
      <c r="A534" s="25"/>
      <c r="B534" s="142"/>
      <c r="C534" s="143"/>
      <c r="D534" s="144"/>
      <c r="E534" s="144"/>
      <c r="F534" s="144"/>
      <c r="G534" s="25"/>
      <c r="H534" s="28"/>
      <c r="I534" s="14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2.0" customHeight="1">
      <c r="A535" s="25"/>
      <c r="B535" s="142"/>
      <c r="C535" s="143"/>
      <c r="D535" s="144"/>
      <c r="E535" s="144"/>
      <c r="F535" s="144"/>
      <c r="G535" s="25"/>
      <c r="H535" s="28"/>
      <c r="I535" s="14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2.0" customHeight="1">
      <c r="A536" s="25"/>
      <c r="B536" s="142"/>
      <c r="C536" s="143"/>
      <c r="D536" s="144"/>
      <c r="E536" s="144"/>
      <c r="F536" s="144"/>
      <c r="G536" s="25"/>
      <c r="H536" s="28"/>
      <c r="I536" s="14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2.0" customHeight="1">
      <c r="A537" s="25"/>
      <c r="B537" s="142"/>
      <c r="C537" s="143"/>
      <c r="D537" s="144"/>
      <c r="E537" s="144"/>
      <c r="F537" s="144"/>
      <c r="G537" s="25"/>
      <c r="H537" s="28"/>
      <c r="I537" s="14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2.0" customHeight="1">
      <c r="A538" s="25"/>
      <c r="B538" s="142"/>
      <c r="C538" s="143"/>
      <c r="D538" s="144"/>
      <c r="E538" s="144"/>
      <c r="F538" s="144"/>
      <c r="G538" s="25"/>
      <c r="H538" s="28"/>
      <c r="I538" s="14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2.0" customHeight="1">
      <c r="A539" s="25"/>
      <c r="B539" s="142"/>
      <c r="C539" s="143"/>
      <c r="D539" s="144"/>
      <c r="E539" s="144"/>
      <c r="F539" s="144"/>
      <c r="G539" s="25"/>
      <c r="H539" s="28"/>
      <c r="I539" s="14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2.0" customHeight="1">
      <c r="A540" s="25"/>
      <c r="B540" s="142"/>
      <c r="C540" s="143"/>
      <c r="D540" s="144"/>
      <c r="E540" s="144"/>
      <c r="F540" s="144"/>
      <c r="G540" s="25"/>
      <c r="H540" s="28"/>
      <c r="I540" s="14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2.0" customHeight="1">
      <c r="A541" s="25"/>
      <c r="B541" s="142"/>
      <c r="C541" s="143"/>
      <c r="D541" s="144"/>
      <c r="E541" s="144"/>
      <c r="F541" s="144"/>
      <c r="G541" s="25"/>
      <c r="H541" s="28"/>
      <c r="I541" s="14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2.0" customHeight="1">
      <c r="A542" s="25"/>
      <c r="B542" s="142"/>
      <c r="C542" s="143"/>
      <c r="D542" s="144"/>
      <c r="E542" s="144"/>
      <c r="F542" s="144"/>
      <c r="G542" s="25"/>
      <c r="H542" s="28"/>
      <c r="I542" s="14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2.0" customHeight="1">
      <c r="A543" s="25"/>
      <c r="B543" s="142"/>
      <c r="C543" s="143"/>
      <c r="D543" s="144"/>
      <c r="E543" s="144"/>
      <c r="F543" s="144"/>
      <c r="G543" s="25"/>
      <c r="H543" s="28"/>
      <c r="I543" s="14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2.0" customHeight="1">
      <c r="A544" s="25"/>
      <c r="B544" s="142"/>
      <c r="C544" s="143"/>
      <c r="D544" s="144"/>
      <c r="E544" s="144"/>
      <c r="F544" s="144"/>
      <c r="G544" s="25"/>
      <c r="H544" s="28"/>
      <c r="I544" s="14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2.0" customHeight="1">
      <c r="A545" s="25"/>
      <c r="B545" s="142"/>
      <c r="C545" s="143"/>
      <c r="D545" s="144"/>
      <c r="E545" s="144"/>
      <c r="F545" s="144"/>
      <c r="G545" s="25"/>
      <c r="H545" s="28"/>
      <c r="I545" s="14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2.0" customHeight="1">
      <c r="A546" s="25"/>
      <c r="B546" s="142"/>
      <c r="C546" s="143"/>
      <c r="D546" s="144"/>
      <c r="E546" s="144"/>
      <c r="F546" s="144"/>
      <c r="G546" s="25"/>
      <c r="H546" s="28"/>
      <c r="I546" s="14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2.0" customHeight="1">
      <c r="A547" s="25"/>
      <c r="B547" s="142"/>
      <c r="C547" s="143"/>
      <c r="D547" s="144"/>
      <c r="E547" s="144"/>
      <c r="F547" s="144"/>
      <c r="G547" s="25"/>
      <c r="H547" s="28"/>
      <c r="I547" s="14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2.0" customHeight="1">
      <c r="A548" s="25"/>
      <c r="B548" s="142"/>
      <c r="C548" s="143"/>
      <c r="D548" s="144"/>
      <c r="E548" s="144"/>
      <c r="F548" s="144"/>
      <c r="G548" s="25"/>
      <c r="H548" s="28"/>
      <c r="I548" s="14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2.0" customHeight="1">
      <c r="A549" s="25"/>
      <c r="B549" s="142"/>
      <c r="C549" s="143"/>
      <c r="D549" s="144"/>
      <c r="E549" s="144"/>
      <c r="F549" s="144"/>
      <c r="G549" s="25"/>
      <c r="H549" s="28"/>
      <c r="I549" s="14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2.0" customHeight="1">
      <c r="A550" s="25"/>
      <c r="B550" s="142"/>
      <c r="C550" s="143"/>
      <c r="D550" s="144"/>
      <c r="E550" s="144"/>
      <c r="F550" s="144"/>
      <c r="G550" s="25"/>
      <c r="H550" s="28"/>
      <c r="I550" s="14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2.0" customHeight="1">
      <c r="A551" s="25"/>
      <c r="B551" s="142"/>
      <c r="C551" s="143"/>
      <c r="D551" s="144"/>
      <c r="E551" s="144"/>
      <c r="F551" s="144"/>
      <c r="G551" s="25"/>
      <c r="H551" s="28"/>
      <c r="I551" s="14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2.0" customHeight="1">
      <c r="A552" s="25"/>
      <c r="B552" s="142"/>
      <c r="C552" s="143"/>
      <c r="D552" s="144"/>
      <c r="E552" s="144"/>
      <c r="F552" s="144"/>
      <c r="G552" s="25"/>
      <c r="H552" s="28"/>
      <c r="I552" s="14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2.0" customHeight="1">
      <c r="A553" s="25"/>
      <c r="B553" s="142"/>
      <c r="C553" s="143"/>
      <c r="D553" s="144"/>
      <c r="E553" s="144"/>
      <c r="F553" s="144"/>
      <c r="G553" s="25"/>
      <c r="H553" s="28"/>
      <c r="I553" s="14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2.0" customHeight="1">
      <c r="A554" s="25"/>
      <c r="B554" s="142"/>
      <c r="C554" s="143"/>
      <c r="D554" s="144"/>
      <c r="E554" s="144"/>
      <c r="F554" s="144"/>
      <c r="G554" s="25"/>
      <c r="H554" s="28"/>
      <c r="I554" s="14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2.0" customHeight="1">
      <c r="A555" s="25"/>
      <c r="B555" s="142"/>
      <c r="C555" s="143"/>
      <c r="D555" s="144"/>
      <c r="E555" s="144"/>
      <c r="F555" s="144"/>
      <c r="G555" s="25"/>
      <c r="H555" s="28"/>
      <c r="I555" s="14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2.0" customHeight="1">
      <c r="A556" s="25"/>
      <c r="B556" s="142"/>
      <c r="C556" s="143"/>
      <c r="D556" s="144"/>
      <c r="E556" s="144"/>
      <c r="F556" s="144"/>
      <c r="G556" s="25"/>
      <c r="H556" s="28"/>
      <c r="I556" s="14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2.0" customHeight="1">
      <c r="A557" s="25"/>
      <c r="B557" s="142"/>
      <c r="C557" s="143"/>
      <c r="D557" s="144"/>
      <c r="E557" s="144"/>
      <c r="F557" s="144"/>
      <c r="G557" s="25"/>
      <c r="H557" s="28"/>
      <c r="I557" s="14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2.0" customHeight="1">
      <c r="A558" s="25"/>
      <c r="B558" s="142"/>
      <c r="C558" s="143"/>
      <c r="D558" s="144"/>
      <c r="E558" s="144"/>
      <c r="F558" s="144"/>
      <c r="G558" s="25"/>
      <c r="H558" s="28"/>
      <c r="I558" s="14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2.0" customHeight="1">
      <c r="A559" s="25"/>
      <c r="B559" s="142"/>
      <c r="C559" s="143"/>
      <c r="D559" s="144"/>
      <c r="E559" s="144"/>
      <c r="F559" s="144"/>
      <c r="G559" s="25"/>
      <c r="H559" s="28"/>
      <c r="I559" s="14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2.0" customHeight="1">
      <c r="A560" s="25"/>
      <c r="B560" s="142"/>
      <c r="C560" s="143"/>
      <c r="D560" s="144"/>
      <c r="E560" s="144"/>
      <c r="F560" s="144"/>
      <c r="G560" s="25"/>
      <c r="H560" s="28"/>
      <c r="I560" s="14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2.0" customHeight="1">
      <c r="A561" s="25"/>
      <c r="B561" s="142"/>
      <c r="C561" s="143"/>
      <c r="D561" s="144"/>
      <c r="E561" s="144"/>
      <c r="F561" s="144"/>
      <c r="G561" s="25"/>
      <c r="H561" s="28"/>
      <c r="I561" s="14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2.0" customHeight="1">
      <c r="A562" s="25"/>
      <c r="B562" s="142"/>
      <c r="C562" s="143"/>
      <c r="D562" s="144"/>
      <c r="E562" s="144"/>
      <c r="F562" s="144"/>
      <c r="G562" s="25"/>
      <c r="H562" s="28"/>
      <c r="I562" s="14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2.0" customHeight="1">
      <c r="A563" s="25"/>
      <c r="B563" s="142"/>
      <c r="C563" s="143"/>
      <c r="D563" s="144"/>
      <c r="E563" s="144"/>
      <c r="F563" s="144"/>
      <c r="G563" s="25"/>
      <c r="H563" s="28"/>
      <c r="I563" s="14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2.0" customHeight="1">
      <c r="A564" s="25"/>
      <c r="B564" s="142"/>
      <c r="C564" s="143"/>
      <c r="D564" s="144"/>
      <c r="E564" s="144"/>
      <c r="F564" s="144"/>
      <c r="G564" s="25"/>
      <c r="H564" s="28"/>
      <c r="I564" s="14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2.0" customHeight="1">
      <c r="A565" s="25"/>
      <c r="B565" s="142"/>
      <c r="C565" s="143"/>
      <c r="D565" s="144"/>
      <c r="E565" s="144"/>
      <c r="F565" s="144"/>
      <c r="G565" s="25"/>
      <c r="H565" s="28"/>
      <c r="I565" s="14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2.0" customHeight="1">
      <c r="A566" s="25"/>
      <c r="B566" s="142"/>
      <c r="C566" s="143"/>
      <c r="D566" s="144"/>
      <c r="E566" s="144"/>
      <c r="F566" s="144"/>
      <c r="G566" s="25"/>
      <c r="H566" s="28"/>
      <c r="I566" s="14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2.0" customHeight="1">
      <c r="A567" s="25"/>
      <c r="B567" s="142"/>
      <c r="C567" s="143"/>
      <c r="D567" s="144"/>
      <c r="E567" s="144"/>
      <c r="F567" s="144"/>
      <c r="G567" s="25"/>
      <c r="H567" s="28"/>
      <c r="I567" s="14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2.0" customHeight="1">
      <c r="A568" s="25"/>
      <c r="B568" s="142"/>
      <c r="C568" s="143"/>
      <c r="D568" s="144"/>
      <c r="E568" s="144"/>
      <c r="F568" s="144"/>
      <c r="G568" s="25"/>
      <c r="H568" s="28"/>
      <c r="I568" s="14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2.0" customHeight="1">
      <c r="A569" s="25"/>
      <c r="B569" s="142"/>
      <c r="C569" s="143"/>
      <c r="D569" s="144"/>
      <c r="E569" s="144"/>
      <c r="F569" s="144"/>
      <c r="G569" s="25"/>
      <c r="H569" s="28"/>
      <c r="I569" s="14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2.0" customHeight="1">
      <c r="A570" s="25"/>
      <c r="B570" s="142"/>
      <c r="C570" s="143"/>
      <c r="D570" s="144"/>
      <c r="E570" s="144"/>
      <c r="F570" s="144"/>
      <c r="G570" s="25"/>
      <c r="H570" s="28"/>
      <c r="I570" s="14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2.0" customHeight="1">
      <c r="A571" s="25"/>
      <c r="B571" s="142"/>
      <c r="C571" s="143"/>
      <c r="D571" s="144"/>
      <c r="E571" s="144"/>
      <c r="F571" s="144"/>
      <c r="G571" s="25"/>
      <c r="H571" s="28"/>
      <c r="I571" s="14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2.0" customHeight="1">
      <c r="A572" s="25"/>
      <c r="B572" s="142"/>
      <c r="C572" s="143"/>
      <c r="D572" s="144"/>
      <c r="E572" s="144"/>
      <c r="F572" s="144"/>
      <c r="G572" s="25"/>
      <c r="H572" s="28"/>
      <c r="I572" s="14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2.0" customHeight="1">
      <c r="A573" s="25"/>
      <c r="B573" s="142"/>
      <c r="C573" s="143"/>
      <c r="D573" s="144"/>
      <c r="E573" s="144"/>
      <c r="F573" s="144"/>
      <c r="G573" s="25"/>
      <c r="H573" s="28"/>
      <c r="I573" s="14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2.0" customHeight="1">
      <c r="A574" s="25"/>
      <c r="B574" s="142"/>
      <c r="C574" s="143"/>
      <c r="D574" s="144"/>
      <c r="E574" s="144"/>
      <c r="F574" s="144"/>
      <c r="G574" s="25"/>
      <c r="H574" s="28"/>
      <c r="I574" s="14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2.0" customHeight="1">
      <c r="A575" s="25"/>
      <c r="B575" s="142"/>
      <c r="C575" s="143"/>
      <c r="D575" s="144"/>
      <c r="E575" s="144"/>
      <c r="F575" s="144"/>
      <c r="G575" s="25"/>
      <c r="H575" s="28"/>
      <c r="I575" s="14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2.0" customHeight="1">
      <c r="A576" s="25"/>
      <c r="B576" s="142"/>
      <c r="C576" s="143"/>
      <c r="D576" s="144"/>
      <c r="E576" s="144"/>
      <c r="F576" s="144"/>
      <c r="G576" s="25"/>
      <c r="H576" s="28"/>
      <c r="I576" s="14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2.0" customHeight="1">
      <c r="A577" s="25"/>
      <c r="B577" s="142"/>
      <c r="C577" s="143"/>
      <c r="D577" s="144"/>
      <c r="E577" s="144"/>
      <c r="F577" s="144"/>
      <c r="G577" s="25"/>
      <c r="H577" s="28"/>
      <c r="I577" s="14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2.0" customHeight="1">
      <c r="A578" s="25"/>
      <c r="B578" s="142"/>
      <c r="C578" s="143"/>
      <c r="D578" s="144"/>
      <c r="E578" s="144"/>
      <c r="F578" s="144"/>
      <c r="G578" s="25"/>
      <c r="H578" s="28"/>
      <c r="I578" s="14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2.0" customHeight="1">
      <c r="A579" s="25"/>
      <c r="B579" s="142"/>
      <c r="C579" s="143"/>
      <c r="D579" s="144"/>
      <c r="E579" s="144"/>
      <c r="F579" s="144"/>
      <c r="G579" s="25"/>
      <c r="H579" s="28"/>
      <c r="I579" s="14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2.0" customHeight="1">
      <c r="A580" s="25"/>
      <c r="B580" s="142"/>
      <c r="C580" s="143"/>
      <c r="D580" s="144"/>
      <c r="E580" s="144"/>
      <c r="F580" s="144"/>
      <c r="G580" s="25"/>
      <c r="H580" s="28"/>
      <c r="I580" s="14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2.0" customHeight="1">
      <c r="A581" s="25"/>
      <c r="B581" s="142"/>
      <c r="C581" s="143"/>
      <c r="D581" s="144"/>
      <c r="E581" s="144"/>
      <c r="F581" s="144"/>
      <c r="G581" s="25"/>
      <c r="H581" s="28"/>
      <c r="I581" s="14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2.0" customHeight="1">
      <c r="A582" s="25"/>
      <c r="B582" s="142"/>
      <c r="C582" s="143"/>
      <c r="D582" s="144"/>
      <c r="E582" s="144"/>
      <c r="F582" s="144"/>
      <c r="G582" s="25"/>
      <c r="H582" s="28"/>
      <c r="I582" s="14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2.0" customHeight="1">
      <c r="A583" s="25"/>
      <c r="B583" s="142"/>
      <c r="C583" s="143"/>
      <c r="D583" s="144"/>
      <c r="E583" s="144"/>
      <c r="F583" s="144"/>
      <c r="G583" s="25"/>
      <c r="H583" s="28"/>
      <c r="I583" s="14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2.0" customHeight="1">
      <c r="A584" s="25"/>
      <c r="B584" s="142"/>
      <c r="C584" s="143"/>
      <c r="D584" s="144"/>
      <c r="E584" s="144"/>
      <c r="F584" s="144"/>
      <c r="G584" s="25"/>
      <c r="H584" s="28"/>
      <c r="I584" s="14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2.0" customHeight="1">
      <c r="A585" s="25"/>
      <c r="B585" s="142"/>
      <c r="C585" s="143"/>
      <c r="D585" s="144"/>
      <c r="E585" s="144"/>
      <c r="F585" s="144"/>
      <c r="G585" s="25"/>
      <c r="H585" s="28"/>
      <c r="I585" s="14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2.0" customHeight="1">
      <c r="A586" s="25"/>
      <c r="B586" s="142"/>
      <c r="C586" s="143"/>
      <c r="D586" s="144"/>
      <c r="E586" s="144"/>
      <c r="F586" s="144"/>
      <c r="G586" s="25"/>
      <c r="H586" s="28"/>
      <c r="I586" s="14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2.0" customHeight="1">
      <c r="A587" s="25"/>
      <c r="B587" s="142"/>
      <c r="C587" s="143"/>
      <c r="D587" s="144"/>
      <c r="E587" s="144"/>
      <c r="F587" s="144"/>
      <c r="G587" s="25"/>
      <c r="H587" s="28"/>
      <c r="I587" s="14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2.0" customHeight="1">
      <c r="A588" s="25"/>
      <c r="B588" s="142"/>
      <c r="C588" s="143"/>
      <c r="D588" s="144"/>
      <c r="E588" s="144"/>
      <c r="F588" s="144"/>
      <c r="G588" s="25"/>
      <c r="H588" s="28"/>
      <c r="I588" s="14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2.0" customHeight="1">
      <c r="A589" s="25"/>
      <c r="B589" s="142"/>
      <c r="C589" s="143"/>
      <c r="D589" s="144"/>
      <c r="E589" s="144"/>
      <c r="F589" s="144"/>
      <c r="G589" s="25"/>
      <c r="H589" s="28"/>
      <c r="I589" s="14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2.0" customHeight="1">
      <c r="A590" s="25"/>
      <c r="B590" s="142"/>
      <c r="C590" s="143"/>
      <c r="D590" s="144"/>
      <c r="E590" s="144"/>
      <c r="F590" s="144"/>
      <c r="G590" s="25"/>
      <c r="H590" s="28"/>
      <c r="I590" s="14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2.0" customHeight="1">
      <c r="A591" s="25"/>
      <c r="B591" s="142"/>
      <c r="C591" s="143"/>
      <c r="D591" s="144"/>
      <c r="E591" s="144"/>
      <c r="F591" s="144"/>
      <c r="G591" s="25"/>
      <c r="H591" s="28"/>
      <c r="I591" s="14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2.0" customHeight="1">
      <c r="A592" s="25"/>
      <c r="B592" s="142"/>
      <c r="C592" s="143"/>
      <c r="D592" s="144"/>
      <c r="E592" s="144"/>
      <c r="F592" s="144"/>
      <c r="G592" s="25"/>
      <c r="H592" s="28"/>
      <c r="I592" s="14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2.0" customHeight="1">
      <c r="A593" s="25"/>
      <c r="B593" s="142"/>
      <c r="C593" s="143"/>
      <c r="D593" s="144"/>
      <c r="E593" s="144"/>
      <c r="F593" s="144"/>
      <c r="G593" s="25"/>
      <c r="H593" s="28"/>
      <c r="I593" s="14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2.0" customHeight="1">
      <c r="A594" s="25"/>
      <c r="B594" s="142"/>
      <c r="C594" s="143"/>
      <c r="D594" s="144"/>
      <c r="E594" s="144"/>
      <c r="F594" s="144"/>
      <c r="G594" s="25"/>
      <c r="H594" s="28"/>
      <c r="I594" s="14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2.0" customHeight="1">
      <c r="A595" s="25"/>
      <c r="B595" s="142"/>
      <c r="C595" s="143"/>
      <c r="D595" s="144"/>
      <c r="E595" s="144"/>
      <c r="F595" s="144"/>
      <c r="G595" s="25"/>
      <c r="H595" s="28"/>
      <c r="I595" s="14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2.0" customHeight="1">
      <c r="A596" s="25"/>
      <c r="B596" s="142"/>
      <c r="C596" s="143"/>
      <c r="D596" s="144"/>
      <c r="E596" s="144"/>
      <c r="F596" s="144"/>
      <c r="G596" s="25"/>
      <c r="H596" s="28"/>
      <c r="I596" s="14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2.0" customHeight="1">
      <c r="A597" s="25"/>
      <c r="B597" s="142"/>
      <c r="C597" s="143"/>
      <c r="D597" s="144"/>
      <c r="E597" s="144"/>
      <c r="F597" s="144"/>
      <c r="G597" s="25"/>
      <c r="H597" s="28"/>
      <c r="I597" s="14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2.0" customHeight="1">
      <c r="A598" s="25"/>
      <c r="B598" s="142"/>
      <c r="C598" s="143"/>
      <c r="D598" s="144"/>
      <c r="E598" s="144"/>
      <c r="F598" s="144"/>
      <c r="G598" s="25"/>
      <c r="H598" s="28"/>
      <c r="I598" s="14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2.0" customHeight="1">
      <c r="A599" s="25"/>
      <c r="B599" s="142"/>
      <c r="C599" s="143"/>
      <c r="D599" s="144"/>
      <c r="E599" s="144"/>
      <c r="F599" s="144"/>
      <c r="G599" s="25"/>
      <c r="H599" s="28"/>
      <c r="I599" s="14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2.0" customHeight="1">
      <c r="A600" s="25"/>
      <c r="B600" s="142"/>
      <c r="C600" s="143"/>
      <c r="D600" s="144"/>
      <c r="E600" s="144"/>
      <c r="F600" s="144"/>
      <c r="G600" s="25"/>
      <c r="H600" s="28"/>
      <c r="I600" s="14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2.0" customHeight="1">
      <c r="A601" s="25"/>
      <c r="B601" s="142"/>
      <c r="C601" s="143"/>
      <c r="D601" s="144"/>
      <c r="E601" s="144"/>
      <c r="F601" s="144"/>
      <c r="G601" s="25"/>
      <c r="H601" s="28"/>
      <c r="I601" s="14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2.0" customHeight="1">
      <c r="A602" s="25"/>
      <c r="B602" s="142"/>
      <c r="C602" s="143"/>
      <c r="D602" s="144"/>
      <c r="E602" s="144"/>
      <c r="F602" s="144"/>
      <c r="G602" s="25"/>
      <c r="H602" s="28"/>
      <c r="I602" s="14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2.0" customHeight="1">
      <c r="A603" s="25"/>
      <c r="B603" s="142"/>
      <c r="C603" s="143"/>
      <c r="D603" s="144"/>
      <c r="E603" s="144"/>
      <c r="F603" s="144"/>
      <c r="G603" s="25"/>
      <c r="H603" s="28"/>
      <c r="I603" s="14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2.0" customHeight="1">
      <c r="A604" s="25"/>
      <c r="B604" s="142"/>
      <c r="C604" s="143"/>
      <c r="D604" s="144"/>
      <c r="E604" s="144"/>
      <c r="F604" s="144"/>
      <c r="G604" s="25"/>
      <c r="H604" s="28"/>
      <c r="I604" s="14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2.0" customHeight="1">
      <c r="A605" s="25"/>
      <c r="B605" s="142"/>
      <c r="C605" s="143"/>
      <c r="D605" s="144"/>
      <c r="E605" s="144"/>
      <c r="F605" s="144"/>
      <c r="G605" s="25"/>
      <c r="H605" s="28"/>
      <c r="I605" s="14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2.0" customHeight="1">
      <c r="A606" s="25"/>
      <c r="B606" s="142"/>
      <c r="C606" s="143"/>
      <c r="D606" s="144"/>
      <c r="E606" s="144"/>
      <c r="F606" s="144"/>
      <c r="G606" s="25"/>
      <c r="H606" s="28"/>
      <c r="I606" s="14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2.0" customHeight="1">
      <c r="A607" s="25"/>
      <c r="B607" s="142"/>
      <c r="C607" s="143"/>
      <c r="D607" s="144"/>
      <c r="E607" s="144"/>
      <c r="F607" s="144"/>
      <c r="G607" s="25"/>
      <c r="H607" s="28"/>
      <c r="I607" s="14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2.0" customHeight="1">
      <c r="A608" s="25"/>
      <c r="B608" s="142"/>
      <c r="C608" s="143"/>
      <c r="D608" s="144"/>
      <c r="E608" s="144"/>
      <c r="F608" s="144"/>
      <c r="G608" s="25"/>
      <c r="H608" s="28"/>
      <c r="I608" s="14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2.0" customHeight="1">
      <c r="A609" s="25"/>
      <c r="B609" s="142"/>
      <c r="C609" s="143"/>
      <c r="D609" s="144"/>
      <c r="E609" s="144"/>
      <c r="F609" s="144"/>
      <c r="G609" s="25"/>
      <c r="H609" s="28"/>
      <c r="I609" s="14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2.0" customHeight="1">
      <c r="A610" s="25"/>
      <c r="B610" s="142"/>
      <c r="C610" s="143"/>
      <c r="D610" s="144"/>
      <c r="E610" s="144"/>
      <c r="F610" s="144"/>
      <c r="G610" s="25"/>
      <c r="H610" s="28"/>
      <c r="I610" s="14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2.0" customHeight="1">
      <c r="A611" s="25"/>
      <c r="B611" s="142"/>
      <c r="C611" s="143"/>
      <c r="D611" s="144"/>
      <c r="E611" s="144"/>
      <c r="F611" s="144"/>
      <c r="G611" s="25"/>
      <c r="H611" s="28"/>
      <c r="I611" s="14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2.0" customHeight="1">
      <c r="A612" s="25"/>
      <c r="B612" s="142"/>
      <c r="C612" s="143"/>
      <c r="D612" s="144"/>
      <c r="E612" s="144"/>
      <c r="F612" s="144"/>
      <c r="G612" s="25"/>
      <c r="H612" s="28"/>
      <c r="I612" s="14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2.0" customHeight="1">
      <c r="A613" s="25"/>
      <c r="B613" s="142"/>
      <c r="C613" s="143"/>
      <c r="D613" s="144"/>
      <c r="E613" s="144"/>
      <c r="F613" s="144"/>
      <c r="G613" s="25"/>
      <c r="H613" s="28"/>
      <c r="I613" s="14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2.0" customHeight="1">
      <c r="A614" s="25"/>
      <c r="B614" s="142"/>
      <c r="C614" s="143"/>
      <c r="D614" s="144"/>
      <c r="E614" s="144"/>
      <c r="F614" s="144"/>
      <c r="G614" s="25"/>
      <c r="H614" s="28"/>
      <c r="I614" s="14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2.0" customHeight="1">
      <c r="A615" s="25"/>
      <c r="B615" s="142"/>
      <c r="C615" s="143"/>
      <c r="D615" s="144"/>
      <c r="E615" s="144"/>
      <c r="F615" s="144"/>
      <c r="G615" s="25"/>
      <c r="H615" s="28"/>
      <c r="I615" s="14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2.0" customHeight="1">
      <c r="A616" s="25"/>
      <c r="B616" s="142"/>
      <c r="C616" s="143"/>
      <c r="D616" s="144"/>
      <c r="E616" s="144"/>
      <c r="F616" s="144"/>
      <c r="G616" s="25"/>
      <c r="H616" s="28"/>
      <c r="I616" s="14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2.0" customHeight="1">
      <c r="A617" s="25"/>
      <c r="B617" s="142"/>
      <c r="C617" s="143"/>
      <c r="D617" s="144"/>
      <c r="E617" s="144"/>
      <c r="F617" s="144"/>
      <c r="G617" s="25"/>
      <c r="H617" s="28"/>
      <c r="I617" s="14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2.0" customHeight="1">
      <c r="A618" s="25"/>
      <c r="B618" s="142"/>
      <c r="C618" s="143"/>
      <c r="D618" s="144"/>
      <c r="E618" s="144"/>
      <c r="F618" s="144"/>
      <c r="G618" s="25"/>
      <c r="H618" s="28"/>
      <c r="I618" s="14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2.0" customHeight="1">
      <c r="A619" s="25"/>
      <c r="B619" s="142"/>
      <c r="C619" s="143"/>
      <c r="D619" s="144"/>
      <c r="E619" s="144"/>
      <c r="F619" s="144"/>
      <c r="G619" s="25"/>
      <c r="H619" s="28"/>
      <c r="I619" s="14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2.0" customHeight="1">
      <c r="A620" s="25"/>
      <c r="B620" s="142"/>
      <c r="C620" s="143"/>
      <c r="D620" s="144"/>
      <c r="E620" s="144"/>
      <c r="F620" s="144"/>
      <c r="G620" s="25"/>
      <c r="H620" s="28"/>
      <c r="I620" s="14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2.0" customHeight="1">
      <c r="A621" s="25"/>
      <c r="B621" s="142"/>
      <c r="C621" s="143"/>
      <c r="D621" s="144"/>
      <c r="E621" s="144"/>
      <c r="F621" s="144"/>
      <c r="G621" s="25"/>
      <c r="H621" s="28"/>
      <c r="I621" s="14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2.0" customHeight="1">
      <c r="A622" s="25"/>
      <c r="B622" s="142"/>
      <c r="C622" s="143"/>
      <c r="D622" s="144"/>
      <c r="E622" s="144"/>
      <c r="F622" s="144"/>
      <c r="G622" s="25"/>
      <c r="H622" s="28"/>
      <c r="I622" s="14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2.0" customHeight="1">
      <c r="A623" s="25"/>
      <c r="B623" s="142"/>
      <c r="C623" s="143"/>
      <c r="D623" s="144"/>
      <c r="E623" s="144"/>
      <c r="F623" s="144"/>
      <c r="G623" s="25"/>
      <c r="H623" s="28"/>
      <c r="I623" s="14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2.0" customHeight="1">
      <c r="A624" s="25"/>
      <c r="B624" s="142"/>
      <c r="C624" s="143"/>
      <c r="D624" s="144"/>
      <c r="E624" s="144"/>
      <c r="F624" s="144"/>
      <c r="G624" s="25"/>
      <c r="H624" s="28"/>
      <c r="I624" s="14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2.0" customHeight="1">
      <c r="A625" s="25"/>
      <c r="B625" s="142"/>
      <c r="C625" s="143"/>
      <c r="D625" s="144"/>
      <c r="E625" s="144"/>
      <c r="F625" s="144"/>
      <c r="G625" s="25"/>
      <c r="H625" s="28"/>
      <c r="I625" s="14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2.0" customHeight="1">
      <c r="A626" s="25"/>
      <c r="B626" s="142"/>
      <c r="C626" s="143"/>
      <c r="D626" s="144"/>
      <c r="E626" s="144"/>
      <c r="F626" s="144"/>
      <c r="G626" s="25"/>
      <c r="H626" s="28"/>
      <c r="I626" s="14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2.0" customHeight="1">
      <c r="A627" s="25"/>
      <c r="B627" s="142"/>
      <c r="C627" s="143"/>
      <c r="D627" s="144"/>
      <c r="E627" s="144"/>
      <c r="F627" s="144"/>
      <c r="G627" s="25"/>
      <c r="H627" s="28"/>
      <c r="I627" s="14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2.0" customHeight="1">
      <c r="A628" s="25"/>
      <c r="B628" s="142"/>
      <c r="C628" s="143"/>
      <c r="D628" s="144"/>
      <c r="E628" s="144"/>
      <c r="F628" s="144"/>
      <c r="G628" s="25"/>
      <c r="H628" s="28"/>
      <c r="I628" s="14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2.0" customHeight="1">
      <c r="A629" s="25"/>
      <c r="B629" s="142"/>
      <c r="C629" s="143"/>
      <c r="D629" s="144"/>
      <c r="E629" s="144"/>
      <c r="F629" s="144"/>
      <c r="G629" s="25"/>
      <c r="H629" s="28"/>
      <c r="I629" s="14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2.0" customHeight="1">
      <c r="A630" s="25"/>
      <c r="B630" s="142"/>
      <c r="C630" s="143"/>
      <c r="D630" s="144"/>
      <c r="E630" s="144"/>
      <c r="F630" s="144"/>
      <c r="G630" s="25"/>
      <c r="H630" s="28"/>
      <c r="I630" s="14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2.0" customHeight="1">
      <c r="A631" s="25"/>
      <c r="B631" s="142"/>
      <c r="C631" s="143"/>
      <c r="D631" s="144"/>
      <c r="E631" s="144"/>
      <c r="F631" s="144"/>
      <c r="G631" s="25"/>
      <c r="H631" s="28"/>
      <c r="I631" s="14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2.0" customHeight="1">
      <c r="A632" s="25"/>
      <c r="B632" s="142"/>
      <c r="C632" s="143"/>
      <c r="D632" s="144"/>
      <c r="E632" s="144"/>
      <c r="F632" s="144"/>
      <c r="G632" s="25"/>
      <c r="H632" s="28"/>
      <c r="I632" s="14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2.0" customHeight="1">
      <c r="A633" s="25"/>
      <c r="B633" s="142"/>
      <c r="C633" s="143"/>
      <c r="D633" s="144"/>
      <c r="E633" s="144"/>
      <c r="F633" s="144"/>
      <c r="G633" s="25"/>
      <c r="H633" s="28"/>
      <c r="I633" s="14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2.0" customHeight="1">
      <c r="A634" s="25"/>
      <c r="B634" s="142"/>
      <c r="C634" s="143"/>
      <c r="D634" s="144"/>
      <c r="E634" s="144"/>
      <c r="F634" s="144"/>
      <c r="G634" s="25"/>
      <c r="H634" s="28"/>
      <c r="I634" s="14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2.0" customHeight="1">
      <c r="A635" s="25"/>
      <c r="B635" s="142"/>
      <c r="C635" s="143"/>
      <c r="D635" s="144"/>
      <c r="E635" s="144"/>
      <c r="F635" s="144"/>
      <c r="G635" s="25"/>
      <c r="H635" s="28"/>
      <c r="I635" s="14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2.0" customHeight="1">
      <c r="A636" s="25"/>
      <c r="B636" s="142"/>
      <c r="C636" s="143"/>
      <c r="D636" s="144"/>
      <c r="E636" s="144"/>
      <c r="F636" s="144"/>
      <c r="G636" s="25"/>
      <c r="H636" s="28"/>
      <c r="I636" s="14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2.0" customHeight="1">
      <c r="A637" s="25"/>
      <c r="B637" s="142"/>
      <c r="C637" s="143"/>
      <c r="D637" s="144"/>
      <c r="E637" s="144"/>
      <c r="F637" s="144"/>
      <c r="G637" s="25"/>
      <c r="H637" s="28"/>
      <c r="I637" s="14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2.0" customHeight="1">
      <c r="A638" s="25"/>
      <c r="B638" s="142"/>
      <c r="C638" s="143"/>
      <c r="D638" s="144"/>
      <c r="E638" s="144"/>
      <c r="F638" s="144"/>
      <c r="G638" s="25"/>
      <c r="H638" s="28"/>
      <c r="I638" s="14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2.0" customHeight="1">
      <c r="A639" s="25"/>
      <c r="B639" s="142"/>
      <c r="C639" s="143"/>
      <c r="D639" s="144"/>
      <c r="E639" s="144"/>
      <c r="F639" s="144"/>
      <c r="G639" s="25"/>
      <c r="H639" s="28"/>
      <c r="I639" s="14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2.0" customHeight="1">
      <c r="A640" s="25"/>
      <c r="B640" s="142"/>
      <c r="C640" s="143"/>
      <c r="D640" s="144"/>
      <c r="E640" s="144"/>
      <c r="F640" s="144"/>
      <c r="G640" s="25"/>
      <c r="H640" s="28"/>
      <c r="I640" s="14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2.0" customHeight="1">
      <c r="A641" s="25"/>
      <c r="B641" s="142"/>
      <c r="C641" s="143"/>
      <c r="D641" s="144"/>
      <c r="E641" s="144"/>
      <c r="F641" s="144"/>
      <c r="G641" s="25"/>
      <c r="H641" s="28"/>
      <c r="I641" s="14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2.0" customHeight="1">
      <c r="A642" s="25"/>
      <c r="B642" s="142"/>
      <c r="C642" s="143"/>
      <c r="D642" s="144"/>
      <c r="E642" s="144"/>
      <c r="F642" s="144"/>
      <c r="G642" s="25"/>
      <c r="H642" s="28"/>
      <c r="I642" s="14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2.0" customHeight="1">
      <c r="A643" s="25"/>
      <c r="B643" s="142"/>
      <c r="C643" s="143"/>
      <c r="D643" s="144"/>
      <c r="E643" s="144"/>
      <c r="F643" s="144"/>
      <c r="G643" s="25"/>
      <c r="H643" s="28"/>
      <c r="I643" s="14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2.0" customHeight="1">
      <c r="A644" s="25"/>
      <c r="B644" s="142"/>
      <c r="C644" s="143"/>
      <c r="D644" s="144"/>
      <c r="E644" s="144"/>
      <c r="F644" s="144"/>
      <c r="G644" s="25"/>
      <c r="H644" s="28"/>
      <c r="I644" s="14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2.0" customHeight="1">
      <c r="A645" s="25"/>
      <c r="B645" s="142"/>
      <c r="C645" s="143"/>
      <c r="D645" s="144"/>
      <c r="E645" s="144"/>
      <c r="F645" s="144"/>
      <c r="G645" s="25"/>
      <c r="H645" s="28"/>
      <c r="I645" s="14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2.0" customHeight="1">
      <c r="A646" s="25"/>
      <c r="B646" s="142"/>
      <c r="C646" s="143"/>
      <c r="D646" s="144"/>
      <c r="E646" s="144"/>
      <c r="F646" s="144"/>
      <c r="G646" s="25"/>
      <c r="H646" s="28"/>
      <c r="I646" s="14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2.0" customHeight="1">
      <c r="A647" s="25"/>
      <c r="B647" s="142"/>
      <c r="C647" s="143"/>
      <c r="D647" s="144"/>
      <c r="E647" s="144"/>
      <c r="F647" s="144"/>
      <c r="G647" s="25"/>
      <c r="H647" s="28"/>
      <c r="I647" s="14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2.0" customHeight="1">
      <c r="A648" s="25"/>
      <c r="B648" s="142"/>
      <c r="C648" s="143"/>
      <c r="D648" s="144"/>
      <c r="E648" s="144"/>
      <c r="F648" s="144"/>
      <c r="G648" s="25"/>
      <c r="H648" s="28"/>
      <c r="I648" s="14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2.0" customHeight="1">
      <c r="A649" s="25"/>
      <c r="B649" s="142"/>
      <c r="C649" s="143"/>
      <c r="D649" s="144"/>
      <c r="E649" s="144"/>
      <c r="F649" s="144"/>
      <c r="G649" s="25"/>
      <c r="H649" s="28"/>
      <c r="I649" s="14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2.0" customHeight="1">
      <c r="A650" s="25"/>
      <c r="B650" s="142"/>
      <c r="C650" s="143"/>
      <c r="D650" s="144"/>
      <c r="E650" s="144"/>
      <c r="F650" s="144"/>
      <c r="G650" s="25"/>
      <c r="H650" s="28"/>
      <c r="I650" s="14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2.0" customHeight="1">
      <c r="A651" s="25"/>
      <c r="B651" s="142"/>
      <c r="C651" s="143"/>
      <c r="D651" s="144"/>
      <c r="E651" s="144"/>
      <c r="F651" s="144"/>
      <c r="G651" s="25"/>
      <c r="H651" s="28"/>
      <c r="I651" s="14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2.0" customHeight="1">
      <c r="A652" s="25"/>
      <c r="B652" s="142"/>
      <c r="C652" s="143"/>
      <c r="D652" s="144"/>
      <c r="E652" s="144"/>
      <c r="F652" s="144"/>
      <c r="G652" s="25"/>
      <c r="H652" s="28"/>
      <c r="I652" s="14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2.0" customHeight="1">
      <c r="A653" s="25"/>
      <c r="B653" s="142"/>
      <c r="C653" s="143"/>
      <c r="D653" s="144"/>
      <c r="E653" s="144"/>
      <c r="F653" s="144"/>
      <c r="G653" s="25"/>
      <c r="H653" s="28"/>
      <c r="I653" s="14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2.0" customHeight="1">
      <c r="A654" s="25"/>
      <c r="B654" s="142"/>
      <c r="C654" s="143"/>
      <c r="D654" s="144"/>
      <c r="E654" s="144"/>
      <c r="F654" s="144"/>
      <c r="G654" s="25"/>
      <c r="H654" s="28"/>
      <c r="I654" s="14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2.0" customHeight="1">
      <c r="A655" s="25"/>
      <c r="B655" s="142"/>
      <c r="C655" s="143"/>
      <c r="D655" s="144"/>
      <c r="E655" s="144"/>
      <c r="F655" s="144"/>
      <c r="G655" s="25"/>
      <c r="H655" s="28"/>
      <c r="I655" s="14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2.0" customHeight="1">
      <c r="A656" s="25"/>
      <c r="B656" s="142"/>
      <c r="C656" s="143"/>
      <c r="D656" s="144"/>
      <c r="E656" s="144"/>
      <c r="F656" s="144"/>
      <c r="G656" s="25"/>
      <c r="H656" s="28"/>
      <c r="I656" s="14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2.0" customHeight="1">
      <c r="A657" s="25"/>
      <c r="B657" s="142"/>
      <c r="C657" s="143"/>
      <c r="D657" s="144"/>
      <c r="E657" s="144"/>
      <c r="F657" s="144"/>
      <c r="G657" s="25"/>
      <c r="H657" s="28"/>
      <c r="I657" s="14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2.0" customHeight="1">
      <c r="A658" s="25"/>
      <c r="B658" s="142"/>
      <c r="C658" s="143"/>
      <c r="D658" s="144"/>
      <c r="E658" s="144"/>
      <c r="F658" s="144"/>
      <c r="G658" s="25"/>
      <c r="H658" s="28"/>
      <c r="I658" s="14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2.0" customHeight="1">
      <c r="A659" s="25"/>
      <c r="B659" s="142"/>
      <c r="C659" s="143"/>
      <c r="D659" s="144"/>
      <c r="E659" s="144"/>
      <c r="F659" s="144"/>
      <c r="G659" s="25"/>
      <c r="H659" s="28"/>
      <c r="I659" s="14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2.0" customHeight="1">
      <c r="A660" s="25"/>
      <c r="B660" s="142"/>
      <c r="C660" s="143"/>
      <c r="D660" s="144"/>
      <c r="E660" s="144"/>
      <c r="F660" s="144"/>
      <c r="G660" s="25"/>
      <c r="H660" s="28"/>
      <c r="I660" s="14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2.0" customHeight="1">
      <c r="A661" s="25"/>
      <c r="B661" s="142"/>
      <c r="C661" s="143"/>
      <c r="D661" s="144"/>
      <c r="E661" s="144"/>
      <c r="F661" s="144"/>
      <c r="G661" s="25"/>
      <c r="H661" s="28"/>
      <c r="I661" s="14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2.0" customHeight="1">
      <c r="A662" s="25"/>
      <c r="B662" s="142"/>
      <c r="C662" s="143"/>
      <c r="D662" s="144"/>
      <c r="E662" s="144"/>
      <c r="F662" s="144"/>
      <c r="G662" s="25"/>
      <c r="H662" s="28"/>
      <c r="I662" s="14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2.0" customHeight="1">
      <c r="A663" s="25"/>
      <c r="B663" s="142"/>
      <c r="C663" s="143"/>
      <c r="D663" s="144"/>
      <c r="E663" s="144"/>
      <c r="F663" s="144"/>
      <c r="G663" s="25"/>
      <c r="H663" s="28"/>
      <c r="I663" s="14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2.0" customHeight="1">
      <c r="A664" s="25"/>
      <c r="B664" s="142"/>
      <c r="C664" s="143"/>
      <c r="D664" s="144"/>
      <c r="E664" s="144"/>
      <c r="F664" s="144"/>
      <c r="G664" s="25"/>
      <c r="H664" s="28"/>
      <c r="I664" s="14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2.0" customHeight="1">
      <c r="A665" s="25"/>
      <c r="B665" s="142"/>
      <c r="C665" s="143"/>
      <c r="D665" s="144"/>
      <c r="E665" s="144"/>
      <c r="F665" s="144"/>
      <c r="G665" s="25"/>
      <c r="H665" s="28"/>
      <c r="I665" s="14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2.0" customHeight="1">
      <c r="A666" s="25"/>
      <c r="B666" s="142"/>
      <c r="C666" s="143"/>
      <c r="D666" s="144"/>
      <c r="E666" s="144"/>
      <c r="F666" s="144"/>
      <c r="G666" s="25"/>
      <c r="H666" s="28"/>
      <c r="I666" s="14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2.0" customHeight="1">
      <c r="A667" s="25"/>
      <c r="B667" s="142"/>
      <c r="C667" s="143"/>
      <c r="D667" s="144"/>
      <c r="E667" s="144"/>
      <c r="F667" s="144"/>
      <c r="G667" s="25"/>
      <c r="H667" s="28"/>
      <c r="I667" s="14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2.0" customHeight="1">
      <c r="A668" s="25"/>
      <c r="B668" s="142"/>
      <c r="C668" s="143"/>
      <c r="D668" s="144"/>
      <c r="E668" s="144"/>
      <c r="F668" s="144"/>
      <c r="G668" s="25"/>
      <c r="H668" s="28"/>
      <c r="I668" s="14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2.0" customHeight="1">
      <c r="A669" s="25"/>
      <c r="B669" s="142"/>
      <c r="C669" s="143"/>
      <c r="D669" s="144"/>
      <c r="E669" s="144"/>
      <c r="F669" s="144"/>
      <c r="G669" s="25"/>
      <c r="H669" s="28"/>
      <c r="I669" s="14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2.0" customHeight="1">
      <c r="A670" s="25"/>
      <c r="B670" s="142"/>
      <c r="C670" s="143"/>
      <c r="D670" s="144"/>
      <c r="E670" s="144"/>
      <c r="F670" s="144"/>
      <c r="G670" s="25"/>
      <c r="H670" s="28"/>
      <c r="I670" s="14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2.0" customHeight="1">
      <c r="A671" s="25"/>
      <c r="B671" s="142"/>
      <c r="C671" s="143"/>
      <c r="D671" s="144"/>
      <c r="E671" s="144"/>
      <c r="F671" s="144"/>
      <c r="G671" s="25"/>
      <c r="H671" s="28"/>
      <c r="I671" s="14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2.0" customHeight="1">
      <c r="A672" s="25"/>
      <c r="B672" s="142"/>
      <c r="C672" s="143"/>
      <c r="D672" s="144"/>
      <c r="E672" s="144"/>
      <c r="F672" s="144"/>
      <c r="G672" s="25"/>
      <c r="H672" s="28"/>
      <c r="I672" s="14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2.0" customHeight="1">
      <c r="A673" s="25"/>
      <c r="B673" s="142"/>
      <c r="C673" s="143"/>
      <c r="D673" s="144"/>
      <c r="E673" s="144"/>
      <c r="F673" s="144"/>
      <c r="G673" s="25"/>
      <c r="H673" s="28"/>
      <c r="I673" s="14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2.0" customHeight="1">
      <c r="A674" s="25"/>
      <c r="B674" s="142"/>
      <c r="C674" s="143"/>
      <c r="D674" s="144"/>
      <c r="E674" s="144"/>
      <c r="F674" s="144"/>
      <c r="G674" s="25"/>
      <c r="H674" s="28"/>
      <c r="I674" s="14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2.0" customHeight="1">
      <c r="A675" s="25"/>
      <c r="B675" s="142"/>
      <c r="C675" s="143"/>
      <c r="D675" s="144"/>
      <c r="E675" s="144"/>
      <c r="F675" s="144"/>
      <c r="G675" s="25"/>
      <c r="H675" s="28"/>
      <c r="I675" s="14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2.0" customHeight="1">
      <c r="A676" s="25"/>
      <c r="B676" s="142"/>
      <c r="C676" s="143"/>
      <c r="D676" s="144"/>
      <c r="E676" s="144"/>
      <c r="F676" s="144"/>
      <c r="G676" s="25"/>
      <c r="H676" s="28"/>
      <c r="I676" s="14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2.0" customHeight="1">
      <c r="A677" s="25"/>
      <c r="B677" s="142"/>
      <c r="C677" s="143"/>
      <c r="D677" s="144"/>
      <c r="E677" s="144"/>
      <c r="F677" s="144"/>
      <c r="G677" s="25"/>
      <c r="H677" s="28"/>
      <c r="I677" s="14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2.0" customHeight="1">
      <c r="A678" s="25"/>
      <c r="B678" s="142"/>
      <c r="C678" s="143"/>
      <c r="D678" s="144"/>
      <c r="E678" s="144"/>
      <c r="F678" s="144"/>
      <c r="G678" s="25"/>
      <c r="H678" s="28"/>
      <c r="I678" s="14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2.0" customHeight="1">
      <c r="A679" s="25"/>
      <c r="B679" s="142"/>
      <c r="C679" s="143"/>
      <c r="D679" s="144"/>
      <c r="E679" s="144"/>
      <c r="F679" s="144"/>
      <c r="G679" s="25"/>
      <c r="H679" s="28"/>
      <c r="I679" s="14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2.0" customHeight="1">
      <c r="A680" s="25"/>
      <c r="B680" s="142"/>
      <c r="C680" s="143"/>
      <c r="D680" s="144"/>
      <c r="E680" s="144"/>
      <c r="F680" s="144"/>
      <c r="G680" s="25"/>
      <c r="H680" s="28"/>
      <c r="I680" s="14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2.0" customHeight="1">
      <c r="A681" s="25"/>
      <c r="B681" s="142"/>
      <c r="C681" s="143"/>
      <c r="D681" s="144"/>
      <c r="E681" s="144"/>
      <c r="F681" s="144"/>
      <c r="G681" s="25"/>
      <c r="H681" s="28"/>
      <c r="I681" s="14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2.0" customHeight="1">
      <c r="A682" s="25"/>
      <c r="B682" s="142"/>
      <c r="C682" s="143"/>
      <c r="D682" s="144"/>
      <c r="E682" s="144"/>
      <c r="F682" s="144"/>
      <c r="G682" s="25"/>
      <c r="H682" s="28"/>
      <c r="I682" s="14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2.0" customHeight="1">
      <c r="A683" s="25"/>
      <c r="B683" s="142"/>
      <c r="C683" s="143"/>
      <c r="D683" s="144"/>
      <c r="E683" s="144"/>
      <c r="F683" s="144"/>
      <c r="G683" s="25"/>
      <c r="H683" s="28"/>
      <c r="I683" s="14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2.0" customHeight="1">
      <c r="A684" s="25"/>
      <c r="B684" s="142"/>
      <c r="C684" s="143"/>
      <c r="D684" s="144"/>
      <c r="E684" s="144"/>
      <c r="F684" s="144"/>
      <c r="G684" s="25"/>
      <c r="H684" s="28"/>
      <c r="I684" s="14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2.0" customHeight="1">
      <c r="A685" s="25"/>
      <c r="B685" s="142"/>
      <c r="C685" s="143"/>
      <c r="D685" s="144"/>
      <c r="E685" s="144"/>
      <c r="F685" s="144"/>
      <c r="G685" s="25"/>
      <c r="H685" s="28"/>
      <c r="I685" s="14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2.0" customHeight="1">
      <c r="A686" s="25"/>
      <c r="B686" s="142"/>
      <c r="C686" s="143"/>
      <c r="D686" s="144"/>
      <c r="E686" s="144"/>
      <c r="F686" s="144"/>
      <c r="G686" s="25"/>
      <c r="H686" s="28"/>
      <c r="I686" s="14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2.0" customHeight="1">
      <c r="A687" s="25"/>
      <c r="B687" s="142"/>
      <c r="C687" s="143"/>
      <c r="D687" s="144"/>
      <c r="E687" s="144"/>
      <c r="F687" s="144"/>
      <c r="G687" s="25"/>
      <c r="H687" s="28"/>
      <c r="I687" s="14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2.0" customHeight="1">
      <c r="A688" s="25"/>
      <c r="B688" s="142"/>
      <c r="C688" s="143"/>
      <c r="D688" s="144"/>
      <c r="E688" s="144"/>
      <c r="F688" s="144"/>
      <c r="G688" s="25"/>
      <c r="H688" s="28"/>
      <c r="I688" s="14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2.0" customHeight="1">
      <c r="A689" s="25"/>
      <c r="B689" s="142"/>
      <c r="C689" s="143"/>
      <c r="D689" s="144"/>
      <c r="E689" s="144"/>
      <c r="F689" s="144"/>
      <c r="G689" s="25"/>
      <c r="H689" s="28"/>
      <c r="I689" s="14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2.0" customHeight="1">
      <c r="A690" s="25"/>
      <c r="B690" s="142"/>
      <c r="C690" s="143"/>
      <c r="D690" s="144"/>
      <c r="E690" s="144"/>
      <c r="F690" s="144"/>
      <c r="G690" s="25"/>
      <c r="H690" s="28"/>
      <c r="I690" s="14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2.0" customHeight="1">
      <c r="A691" s="25"/>
      <c r="B691" s="142"/>
      <c r="C691" s="143"/>
      <c r="D691" s="144"/>
      <c r="E691" s="144"/>
      <c r="F691" s="144"/>
      <c r="G691" s="25"/>
      <c r="H691" s="28"/>
      <c r="I691" s="14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2.0" customHeight="1">
      <c r="A692" s="25"/>
      <c r="B692" s="142"/>
      <c r="C692" s="143"/>
      <c r="D692" s="144"/>
      <c r="E692" s="144"/>
      <c r="F692" s="144"/>
      <c r="G692" s="25"/>
      <c r="H692" s="28"/>
      <c r="I692" s="14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2.0" customHeight="1">
      <c r="A693" s="25"/>
      <c r="B693" s="142"/>
      <c r="C693" s="143"/>
      <c r="D693" s="144"/>
      <c r="E693" s="144"/>
      <c r="F693" s="144"/>
      <c r="G693" s="25"/>
      <c r="H693" s="28"/>
      <c r="I693" s="14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2.0" customHeight="1">
      <c r="A694" s="25"/>
      <c r="B694" s="142"/>
      <c r="C694" s="143"/>
      <c r="D694" s="144"/>
      <c r="E694" s="144"/>
      <c r="F694" s="144"/>
      <c r="G694" s="25"/>
      <c r="H694" s="28"/>
      <c r="I694" s="14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2.0" customHeight="1">
      <c r="A695" s="25"/>
      <c r="B695" s="142"/>
      <c r="C695" s="143"/>
      <c r="D695" s="144"/>
      <c r="E695" s="144"/>
      <c r="F695" s="144"/>
      <c r="G695" s="25"/>
      <c r="H695" s="28"/>
      <c r="I695" s="14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2.0" customHeight="1">
      <c r="A696" s="25"/>
      <c r="B696" s="142"/>
      <c r="C696" s="143"/>
      <c r="D696" s="144"/>
      <c r="E696" s="144"/>
      <c r="F696" s="144"/>
      <c r="G696" s="25"/>
      <c r="H696" s="28"/>
      <c r="I696" s="14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2.0" customHeight="1">
      <c r="A697" s="25"/>
      <c r="B697" s="142"/>
      <c r="C697" s="143"/>
      <c r="D697" s="144"/>
      <c r="E697" s="144"/>
      <c r="F697" s="144"/>
      <c r="G697" s="25"/>
      <c r="H697" s="28"/>
      <c r="I697" s="14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2.0" customHeight="1">
      <c r="A698" s="25"/>
      <c r="B698" s="142"/>
      <c r="C698" s="143"/>
      <c r="D698" s="144"/>
      <c r="E698" s="144"/>
      <c r="F698" s="144"/>
      <c r="G698" s="25"/>
      <c r="H698" s="28"/>
      <c r="I698" s="14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2.0" customHeight="1">
      <c r="A699" s="25"/>
      <c r="B699" s="142"/>
      <c r="C699" s="143"/>
      <c r="D699" s="144"/>
      <c r="E699" s="144"/>
      <c r="F699" s="144"/>
      <c r="G699" s="25"/>
      <c r="H699" s="28"/>
      <c r="I699" s="14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2.0" customHeight="1">
      <c r="A700" s="25"/>
      <c r="B700" s="142"/>
      <c r="C700" s="143"/>
      <c r="D700" s="144"/>
      <c r="E700" s="144"/>
      <c r="F700" s="144"/>
      <c r="G700" s="25"/>
      <c r="H700" s="28"/>
      <c r="I700" s="14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2.0" customHeight="1">
      <c r="A701" s="25"/>
      <c r="B701" s="142"/>
      <c r="C701" s="143"/>
      <c r="D701" s="144"/>
      <c r="E701" s="144"/>
      <c r="F701" s="144"/>
      <c r="G701" s="25"/>
      <c r="H701" s="28"/>
      <c r="I701" s="14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2.0" customHeight="1">
      <c r="A702" s="25"/>
      <c r="B702" s="142"/>
      <c r="C702" s="143"/>
      <c r="D702" s="144"/>
      <c r="E702" s="144"/>
      <c r="F702" s="144"/>
      <c r="G702" s="25"/>
      <c r="H702" s="28"/>
      <c r="I702" s="14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2.0" customHeight="1">
      <c r="A703" s="25"/>
      <c r="B703" s="142"/>
      <c r="C703" s="143"/>
      <c r="D703" s="144"/>
      <c r="E703" s="144"/>
      <c r="F703" s="144"/>
      <c r="G703" s="25"/>
      <c r="H703" s="28"/>
      <c r="I703" s="14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2.0" customHeight="1">
      <c r="A704" s="25"/>
      <c r="B704" s="142"/>
      <c r="C704" s="143"/>
      <c r="D704" s="144"/>
      <c r="E704" s="144"/>
      <c r="F704" s="144"/>
      <c r="G704" s="25"/>
      <c r="H704" s="28"/>
      <c r="I704" s="14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2.0" customHeight="1">
      <c r="A705" s="25"/>
      <c r="B705" s="142"/>
      <c r="C705" s="143"/>
      <c r="D705" s="144"/>
      <c r="E705" s="144"/>
      <c r="F705" s="144"/>
      <c r="G705" s="25"/>
      <c r="H705" s="28"/>
      <c r="I705" s="14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2.0" customHeight="1">
      <c r="A706" s="25"/>
      <c r="B706" s="142"/>
      <c r="C706" s="143"/>
      <c r="D706" s="144"/>
      <c r="E706" s="144"/>
      <c r="F706" s="144"/>
      <c r="G706" s="25"/>
      <c r="H706" s="28"/>
      <c r="I706" s="14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2.0" customHeight="1">
      <c r="A707" s="25"/>
      <c r="B707" s="142"/>
      <c r="C707" s="143"/>
      <c r="D707" s="144"/>
      <c r="E707" s="144"/>
      <c r="F707" s="144"/>
      <c r="G707" s="25"/>
      <c r="H707" s="28"/>
      <c r="I707" s="14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2.0" customHeight="1">
      <c r="A708" s="25"/>
      <c r="B708" s="142"/>
      <c r="C708" s="143"/>
      <c r="D708" s="144"/>
      <c r="E708" s="144"/>
      <c r="F708" s="144"/>
      <c r="G708" s="25"/>
      <c r="H708" s="28"/>
      <c r="I708" s="14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2.0" customHeight="1">
      <c r="A709" s="25"/>
      <c r="B709" s="142"/>
      <c r="C709" s="143"/>
      <c r="D709" s="144"/>
      <c r="E709" s="144"/>
      <c r="F709" s="144"/>
      <c r="G709" s="25"/>
      <c r="H709" s="28"/>
      <c r="I709" s="14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2.0" customHeight="1">
      <c r="A710" s="25"/>
      <c r="B710" s="142"/>
      <c r="C710" s="143"/>
      <c r="D710" s="144"/>
      <c r="E710" s="144"/>
      <c r="F710" s="144"/>
      <c r="G710" s="25"/>
      <c r="H710" s="28"/>
      <c r="I710" s="14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2.0" customHeight="1">
      <c r="A711" s="25"/>
      <c r="B711" s="142"/>
      <c r="C711" s="143"/>
      <c r="D711" s="144"/>
      <c r="E711" s="144"/>
      <c r="F711" s="144"/>
      <c r="G711" s="25"/>
      <c r="H711" s="28"/>
      <c r="I711" s="14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2.0" customHeight="1">
      <c r="A712" s="25"/>
      <c r="B712" s="142"/>
      <c r="C712" s="143"/>
      <c r="D712" s="144"/>
      <c r="E712" s="144"/>
      <c r="F712" s="144"/>
      <c r="G712" s="25"/>
      <c r="H712" s="28"/>
      <c r="I712" s="14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2.0" customHeight="1">
      <c r="A713" s="25"/>
      <c r="B713" s="142"/>
      <c r="C713" s="143"/>
      <c r="D713" s="144"/>
      <c r="E713" s="144"/>
      <c r="F713" s="144"/>
      <c r="G713" s="25"/>
      <c r="H713" s="28"/>
      <c r="I713" s="14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2.0" customHeight="1">
      <c r="A714" s="25"/>
      <c r="B714" s="142"/>
      <c r="C714" s="143"/>
      <c r="D714" s="144"/>
      <c r="E714" s="144"/>
      <c r="F714" s="144"/>
      <c r="G714" s="25"/>
      <c r="H714" s="28"/>
      <c r="I714" s="14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2.0" customHeight="1">
      <c r="A715" s="25"/>
      <c r="B715" s="142"/>
      <c r="C715" s="143"/>
      <c r="D715" s="144"/>
      <c r="E715" s="144"/>
      <c r="F715" s="144"/>
      <c r="G715" s="25"/>
      <c r="H715" s="28"/>
      <c r="I715" s="14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2.0" customHeight="1">
      <c r="A716" s="25"/>
      <c r="B716" s="142"/>
      <c r="C716" s="143"/>
      <c r="D716" s="144"/>
      <c r="E716" s="144"/>
      <c r="F716" s="144"/>
      <c r="G716" s="25"/>
      <c r="H716" s="28"/>
      <c r="I716" s="14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2.0" customHeight="1">
      <c r="A717" s="25"/>
      <c r="B717" s="142"/>
      <c r="C717" s="143"/>
      <c r="D717" s="144"/>
      <c r="E717" s="144"/>
      <c r="F717" s="144"/>
      <c r="G717" s="25"/>
      <c r="H717" s="28"/>
      <c r="I717" s="14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2.0" customHeight="1">
      <c r="A718" s="25"/>
      <c r="B718" s="142"/>
      <c r="C718" s="143"/>
      <c r="D718" s="144"/>
      <c r="E718" s="144"/>
      <c r="F718" s="144"/>
      <c r="G718" s="25"/>
      <c r="H718" s="28"/>
      <c r="I718" s="14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2.0" customHeight="1">
      <c r="A719" s="25"/>
      <c r="B719" s="142"/>
      <c r="C719" s="143"/>
      <c r="D719" s="144"/>
      <c r="E719" s="144"/>
      <c r="F719" s="144"/>
      <c r="G719" s="25"/>
      <c r="H719" s="28"/>
      <c r="I719" s="14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2.0" customHeight="1">
      <c r="A720" s="25"/>
      <c r="B720" s="142"/>
      <c r="C720" s="143"/>
      <c r="D720" s="144"/>
      <c r="E720" s="144"/>
      <c r="F720" s="144"/>
      <c r="G720" s="25"/>
      <c r="H720" s="28"/>
      <c r="I720" s="14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2.0" customHeight="1">
      <c r="A721" s="25"/>
      <c r="B721" s="142"/>
      <c r="C721" s="143"/>
      <c r="D721" s="144"/>
      <c r="E721" s="144"/>
      <c r="F721" s="144"/>
      <c r="G721" s="25"/>
      <c r="H721" s="28"/>
      <c r="I721" s="14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2.0" customHeight="1">
      <c r="A722" s="25"/>
      <c r="B722" s="142"/>
      <c r="C722" s="143"/>
      <c r="D722" s="144"/>
      <c r="E722" s="144"/>
      <c r="F722" s="144"/>
      <c r="G722" s="25"/>
      <c r="H722" s="28"/>
      <c r="I722" s="14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2.0" customHeight="1">
      <c r="A723" s="25"/>
      <c r="B723" s="142"/>
      <c r="C723" s="143"/>
      <c r="D723" s="144"/>
      <c r="E723" s="144"/>
      <c r="F723" s="144"/>
      <c r="G723" s="25"/>
      <c r="H723" s="28"/>
      <c r="I723" s="14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2.0" customHeight="1">
      <c r="A724" s="25"/>
      <c r="B724" s="142"/>
      <c r="C724" s="143"/>
      <c r="D724" s="144"/>
      <c r="E724" s="144"/>
      <c r="F724" s="144"/>
      <c r="G724" s="25"/>
      <c r="H724" s="28"/>
      <c r="I724" s="14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2.0" customHeight="1">
      <c r="A725" s="25"/>
      <c r="B725" s="142"/>
      <c r="C725" s="143"/>
      <c r="D725" s="144"/>
      <c r="E725" s="144"/>
      <c r="F725" s="144"/>
      <c r="G725" s="25"/>
      <c r="H725" s="28"/>
      <c r="I725" s="14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2.0" customHeight="1">
      <c r="A726" s="25"/>
      <c r="B726" s="142"/>
      <c r="C726" s="143"/>
      <c r="D726" s="144"/>
      <c r="E726" s="144"/>
      <c r="F726" s="144"/>
      <c r="G726" s="25"/>
      <c r="H726" s="28"/>
      <c r="I726" s="14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2.0" customHeight="1">
      <c r="A727" s="25"/>
      <c r="B727" s="142"/>
      <c r="C727" s="143"/>
      <c r="D727" s="144"/>
      <c r="E727" s="144"/>
      <c r="F727" s="144"/>
      <c r="G727" s="25"/>
      <c r="H727" s="28"/>
      <c r="I727" s="14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2.0" customHeight="1">
      <c r="A728" s="25"/>
      <c r="B728" s="142"/>
      <c r="C728" s="143"/>
      <c r="D728" s="144"/>
      <c r="E728" s="144"/>
      <c r="F728" s="144"/>
      <c r="G728" s="25"/>
      <c r="H728" s="28"/>
      <c r="I728" s="14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2.0" customHeight="1">
      <c r="A729" s="25"/>
      <c r="B729" s="142"/>
      <c r="C729" s="143"/>
      <c r="D729" s="144"/>
      <c r="E729" s="144"/>
      <c r="F729" s="144"/>
      <c r="G729" s="25"/>
      <c r="H729" s="28"/>
      <c r="I729" s="14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2.0" customHeight="1">
      <c r="A730" s="25"/>
      <c r="B730" s="142"/>
      <c r="C730" s="143"/>
      <c r="D730" s="144"/>
      <c r="E730" s="144"/>
      <c r="F730" s="144"/>
      <c r="G730" s="25"/>
      <c r="H730" s="28"/>
      <c r="I730" s="14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2.0" customHeight="1">
      <c r="A731" s="25"/>
      <c r="B731" s="142"/>
      <c r="C731" s="143"/>
      <c r="D731" s="144"/>
      <c r="E731" s="144"/>
      <c r="F731" s="144"/>
      <c r="G731" s="25"/>
      <c r="H731" s="28"/>
      <c r="I731" s="14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2.0" customHeight="1">
      <c r="A732" s="25"/>
      <c r="B732" s="142"/>
      <c r="C732" s="143"/>
      <c r="D732" s="144"/>
      <c r="E732" s="144"/>
      <c r="F732" s="144"/>
      <c r="G732" s="25"/>
      <c r="H732" s="28"/>
      <c r="I732" s="14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2.0" customHeight="1">
      <c r="A733" s="25"/>
      <c r="B733" s="142"/>
      <c r="C733" s="143"/>
      <c r="D733" s="144"/>
      <c r="E733" s="144"/>
      <c r="F733" s="144"/>
      <c r="G733" s="25"/>
      <c r="H733" s="28"/>
      <c r="I733" s="14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2.0" customHeight="1">
      <c r="A734" s="25"/>
      <c r="B734" s="142"/>
      <c r="C734" s="143"/>
      <c r="D734" s="144"/>
      <c r="E734" s="144"/>
      <c r="F734" s="144"/>
      <c r="G734" s="25"/>
      <c r="H734" s="28"/>
      <c r="I734" s="14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2.0" customHeight="1">
      <c r="A735" s="25"/>
      <c r="B735" s="142"/>
      <c r="C735" s="143"/>
      <c r="D735" s="144"/>
      <c r="E735" s="144"/>
      <c r="F735" s="144"/>
      <c r="G735" s="25"/>
      <c r="H735" s="28"/>
      <c r="I735" s="14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2.0" customHeight="1">
      <c r="A736" s="25"/>
      <c r="B736" s="142"/>
      <c r="C736" s="143"/>
      <c r="D736" s="144"/>
      <c r="E736" s="144"/>
      <c r="F736" s="144"/>
      <c r="G736" s="25"/>
      <c r="H736" s="28"/>
      <c r="I736" s="14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2.0" customHeight="1">
      <c r="A737" s="25"/>
      <c r="B737" s="142"/>
      <c r="C737" s="143"/>
      <c r="D737" s="144"/>
      <c r="E737" s="144"/>
      <c r="F737" s="144"/>
      <c r="G737" s="25"/>
      <c r="H737" s="28"/>
      <c r="I737" s="14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2.0" customHeight="1">
      <c r="A738" s="25"/>
      <c r="B738" s="142"/>
      <c r="C738" s="143"/>
      <c r="D738" s="144"/>
      <c r="E738" s="144"/>
      <c r="F738" s="144"/>
      <c r="G738" s="25"/>
      <c r="H738" s="28"/>
      <c r="I738" s="14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2.0" customHeight="1">
      <c r="A739" s="25"/>
      <c r="B739" s="142"/>
      <c r="C739" s="143"/>
      <c r="D739" s="144"/>
      <c r="E739" s="144"/>
      <c r="F739" s="144"/>
      <c r="G739" s="25"/>
      <c r="H739" s="28"/>
      <c r="I739" s="14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2.0" customHeight="1">
      <c r="A740" s="25"/>
      <c r="B740" s="142"/>
      <c r="C740" s="143"/>
      <c r="D740" s="144"/>
      <c r="E740" s="144"/>
      <c r="F740" s="144"/>
      <c r="G740" s="25"/>
      <c r="H740" s="28"/>
      <c r="I740" s="14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2.0" customHeight="1">
      <c r="A741" s="25"/>
      <c r="B741" s="142"/>
      <c r="C741" s="143"/>
      <c r="D741" s="144"/>
      <c r="E741" s="144"/>
      <c r="F741" s="144"/>
      <c r="G741" s="25"/>
      <c r="H741" s="28"/>
      <c r="I741" s="14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2.0" customHeight="1">
      <c r="A742" s="25"/>
      <c r="B742" s="142"/>
      <c r="C742" s="143"/>
      <c r="D742" s="144"/>
      <c r="E742" s="144"/>
      <c r="F742" s="144"/>
      <c r="G742" s="25"/>
      <c r="H742" s="28"/>
      <c r="I742" s="14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2.0" customHeight="1">
      <c r="A743" s="25"/>
      <c r="B743" s="142"/>
      <c r="C743" s="143"/>
      <c r="D743" s="144"/>
      <c r="E743" s="144"/>
      <c r="F743" s="144"/>
      <c r="G743" s="25"/>
      <c r="H743" s="28"/>
      <c r="I743" s="14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2.0" customHeight="1">
      <c r="A744" s="25"/>
      <c r="B744" s="142"/>
      <c r="C744" s="143"/>
      <c r="D744" s="144"/>
      <c r="E744" s="144"/>
      <c r="F744" s="144"/>
      <c r="G744" s="25"/>
      <c r="H744" s="28"/>
      <c r="I744" s="14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2.0" customHeight="1">
      <c r="A745" s="25"/>
      <c r="B745" s="142"/>
      <c r="C745" s="143"/>
      <c r="D745" s="144"/>
      <c r="E745" s="144"/>
      <c r="F745" s="144"/>
      <c r="G745" s="25"/>
      <c r="H745" s="28"/>
      <c r="I745" s="14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2.0" customHeight="1">
      <c r="A746" s="25"/>
      <c r="B746" s="142"/>
      <c r="C746" s="143"/>
      <c r="D746" s="144"/>
      <c r="E746" s="144"/>
      <c r="F746" s="144"/>
      <c r="G746" s="25"/>
      <c r="H746" s="28"/>
      <c r="I746" s="14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2.0" customHeight="1">
      <c r="A747" s="25"/>
      <c r="B747" s="142"/>
      <c r="C747" s="143"/>
      <c r="D747" s="144"/>
      <c r="E747" s="144"/>
      <c r="F747" s="144"/>
      <c r="G747" s="25"/>
      <c r="H747" s="28"/>
      <c r="I747" s="14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2.0" customHeight="1">
      <c r="A748" s="25"/>
      <c r="B748" s="142"/>
      <c r="C748" s="143"/>
      <c r="D748" s="144"/>
      <c r="E748" s="144"/>
      <c r="F748" s="144"/>
      <c r="G748" s="25"/>
      <c r="H748" s="28"/>
      <c r="I748" s="14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2.0" customHeight="1">
      <c r="A749" s="25"/>
      <c r="B749" s="142"/>
      <c r="C749" s="143"/>
      <c r="D749" s="144"/>
      <c r="E749" s="144"/>
      <c r="F749" s="144"/>
      <c r="G749" s="25"/>
      <c r="H749" s="28"/>
      <c r="I749" s="14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2.0" customHeight="1">
      <c r="A750" s="25"/>
      <c r="B750" s="142"/>
      <c r="C750" s="143"/>
      <c r="D750" s="144"/>
      <c r="E750" s="144"/>
      <c r="F750" s="144"/>
      <c r="G750" s="25"/>
      <c r="H750" s="28"/>
      <c r="I750" s="14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2.0" customHeight="1">
      <c r="A751" s="25"/>
      <c r="B751" s="142"/>
      <c r="C751" s="143"/>
      <c r="D751" s="144"/>
      <c r="E751" s="144"/>
      <c r="F751" s="144"/>
      <c r="G751" s="25"/>
      <c r="H751" s="28"/>
      <c r="I751" s="14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2.0" customHeight="1">
      <c r="A752" s="25"/>
      <c r="B752" s="142"/>
      <c r="C752" s="143"/>
      <c r="D752" s="144"/>
      <c r="E752" s="144"/>
      <c r="F752" s="144"/>
      <c r="G752" s="25"/>
      <c r="H752" s="28"/>
      <c r="I752" s="14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2.0" customHeight="1">
      <c r="A753" s="25"/>
      <c r="B753" s="142"/>
      <c r="C753" s="143"/>
      <c r="D753" s="144"/>
      <c r="E753" s="144"/>
      <c r="F753" s="144"/>
      <c r="G753" s="25"/>
      <c r="H753" s="28"/>
      <c r="I753" s="14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2.0" customHeight="1">
      <c r="A754" s="25"/>
      <c r="B754" s="142"/>
      <c r="C754" s="143"/>
      <c r="D754" s="144"/>
      <c r="E754" s="144"/>
      <c r="F754" s="144"/>
      <c r="G754" s="25"/>
      <c r="H754" s="28"/>
      <c r="I754" s="14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2.0" customHeight="1">
      <c r="A755" s="25"/>
      <c r="B755" s="142"/>
      <c r="C755" s="143"/>
      <c r="D755" s="144"/>
      <c r="E755" s="144"/>
      <c r="F755" s="144"/>
      <c r="G755" s="25"/>
      <c r="H755" s="28"/>
      <c r="I755" s="14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2.0" customHeight="1">
      <c r="A756" s="25"/>
      <c r="B756" s="142"/>
      <c r="C756" s="143"/>
      <c r="D756" s="144"/>
      <c r="E756" s="144"/>
      <c r="F756" s="144"/>
      <c r="G756" s="25"/>
      <c r="H756" s="28"/>
      <c r="I756" s="14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2.0" customHeight="1">
      <c r="A757" s="25"/>
      <c r="B757" s="142"/>
      <c r="C757" s="143"/>
      <c r="D757" s="144"/>
      <c r="E757" s="144"/>
      <c r="F757" s="144"/>
      <c r="G757" s="25"/>
      <c r="H757" s="28"/>
      <c r="I757" s="14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2.0" customHeight="1">
      <c r="A758" s="25"/>
      <c r="B758" s="142"/>
      <c r="C758" s="143"/>
      <c r="D758" s="144"/>
      <c r="E758" s="144"/>
      <c r="F758" s="144"/>
      <c r="G758" s="25"/>
      <c r="H758" s="28"/>
      <c r="I758" s="14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2.0" customHeight="1">
      <c r="A759" s="25"/>
      <c r="B759" s="142"/>
      <c r="C759" s="143"/>
      <c r="D759" s="144"/>
      <c r="E759" s="144"/>
      <c r="F759" s="144"/>
      <c r="G759" s="25"/>
      <c r="H759" s="28"/>
      <c r="I759" s="14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2.0" customHeight="1">
      <c r="A760" s="25"/>
      <c r="B760" s="142"/>
      <c r="C760" s="143"/>
      <c r="D760" s="144"/>
      <c r="E760" s="144"/>
      <c r="F760" s="144"/>
      <c r="G760" s="25"/>
      <c r="H760" s="28"/>
      <c r="I760" s="14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2.0" customHeight="1">
      <c r="A761" s="25"/>
      <c r="B761" s="142"/>
      <c r="C761" s="143"/>
      <c r="D761" s="144"/>
      <c r="E761" s="144"/>
      <c r="F761" s="144"/>
      <c r="G761" s="25"/>
      <c r="H761" s="28"/>
      <c r="I761" s="14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2.0" customHeight="1">
      <c r="A762" s="25"/>
      <c r="B762" s="142"/>
      <c r="C762" s="143"/>
      <c r="D762" s="144"/>
      <c r="E762" s="144"/>
      <c r="F762" s="144"/>
      <c r="G762" s="25"/>
      <c r="H762" s="28"/>
      <c r="I762" s="14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2.0" customHeight="1">
      <c r="A763" s="25"/>
      <c r="B763" s="142"/>
      <c r="C763" s="143"/>
      <c r="D763" s="144"/>
      <c r="E763" s="144"/>
      <c r="F763" s="144"/>
      <c r="G763" s="25"/>
      <c r="H763" s="28"/>
      <c r="I763" s="14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2.0" customHeight="1">
      <c r="A764" s="25"/>
      <c r="B764" s="142"/>
      <c r="C764" s="143"/>
      <c r="D764" s="144"/>
      <c r="E764" s="144"/>
      <c r="F764" s="144"/>
      <c r="G764" s="25"/>
      <c r="H764" s="28"/>
      <c r="I764" s="14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2.0" customHeight="1">
      <c r="A765" s="25"/>
      <c r="B765" s="142"/>
      <c r="C765" s="143"/>
      <c r="D765" s="144"/>
      <c r="E765" s="144"/>
      <c r="F765" s="144"/>
      <c r="G765" s="25"/>
      <c r="H765" s="28"/>
      <c r="I765" s="14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2.0" customHeight="1">
      <c r="A766" s="25"/>
      <c r="B766" s="142"/>
      <c r="C766" s="143"/>
      <c r="D766" s="144"/>
      <c r="E766" s="144"/>
      <c r="F766" s="144"/>
      <c r="G766" s="25"/>
      <c r="H766" s="28"/>
      <c r="I766" s="14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2.0" customHeight="1">
      <c r="A767" s="25"/>
      <c r="B767" s="142"/>
      <c r="C767" s="143"/>
      <c r="D767" s="144"/>
      <c r="E767" s="144"/>
      <c r="F767" s="144"/>
      <c r="G767" s="25"/>
      <c r="H767" s="28"/>
      <c r="I767" s="14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2.0" customHeight="1">
      <c r="A768" s="25"/>
      <c r="B768" s="142"/>
      <c r="C768" s="143"/>
      <c r="D768" s="144"/>
      <c r="E768" s="144"/>
      <c r="F768" s="144"/>
      <c r="G768" s="25"/>
      <c r="H768" s="28"/>
      <c r="I768" s="14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2.0" customHeight="1">
      <c r="A769" s="25"/>
      <c r="B769" s="142"/>
      <c r="C769" s="143"/>
      <c r="D769" s="144"/>
      <c r="E769" s="144"/>
      <c r="F769" s="144"/>
      <c r="G769" s="25"/>
      <c r="H769" s="28"/>
      <c r="I769" s="14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2.0" customHeight="1">
      <c r="A770" s="25"/>
      <c r="B770" s="142"/>
      <c r="C770" s="143"/>
      <c r="D770" s="144"/>
      <c r="E770" s="144"/>
      <c r="F770" s="144"/>
      <c r="G770" s="25"/>
      <c r="H770" s="28"/>
      <c r="I770" s="14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2.0" customHeight="1">
      <c r="A771" s="25"/>
      <c r="B771" s="142"/>
      <c r="C771" s="143"/>
      <c r="D771" s="144"/>
      <c r="E771" s="144"/>
      <c r="F771" s="144"/>
      <c r="G771" s="25"/>
      <c r="H771" s="28"/>
      <c r="I771" s="14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2.0" customHeight="1">
      <c r="A772" s="25"/>
      <c r="B772" s="142"/>
      <c r="C772" s="143"/>
      <c r="D772" s="144"/>
      <c r="E772" s="144"/>
      <c r="F772" s="144"/>
      <c r="G772" s="25"/>
      <c r="H772" s="28"/>
      <c r="I772" s="14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2.0" customHeight="1">
      <c r="A773" s="25"/>
      <c r="B773" s="142"/>
      <c r="C773" s="143"/>
      <c r="D773" s="144"/>
      <c r="E773" s="144"/>
      <c r="F773" s="144"/>
      <c r="G773" s="25"/>
      <c r="H773" s="28"/>
      <c r="I773" s="14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2.0" customHeight="1">
      <c r="A774" s="25"/>
      <c r="B774" s="142"/>
      <c r="C774" s="143"/>
      <c r="D774" s="144"/>
      <c r="E774" s="144"/>
      <c r="F774" s="144"/>
      <c r="G774" s="25"/>
      <c r="H774" s="28"/>
      <c r="I774" s="14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2.0" customHeight="1">
      <c r="A775" s="25"/>
      <c r="B775" s="142"/>
      <c r="C775" s="143"/>
      <c r="D775" s="144"/>
      <c r="E775" s="144"/>
      <c r="F775" s="144"/>
      <c r="G775" s="25"/>
      <c r="H775" s="28"/>
      <c r="I775" s="14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2.0" customHeight="1">
      <c r="A776" s="25"/>
      <c r="B776" s="142"/>
      <c r="C776" s="143"/>
      <c r="D776" s="144"/>
      <c r="E776" s="144"/>
      <c r="F776" s="144"/>
      <c r="G776" s="25"/>
      <c r="H776" s="28"/>
      <c r="I776" s="14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2.0" customHeight="1">
      <c r="A777" s="25"/>
      <c r="B777" s="142"/>
      <c r="C777" s="143"/>
      <c r="D777" s="144"/>
      <c r="E777" s="144"/>
      <c r="F777" s="144"/>
      <c r="G777" s="25"/>
      <c r="H777" s="28"/>
      <c r="I777" s="14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2.0" customHeight="1">
      <c r="A778" s="25"/>
      <c r="B778" s="142"/>
      <c r="C778" s="143"/>
      <c r="D778" s="144"/>
      <c r="E778" s="144"/>
      <c r="F778" s="144"/>
      <c r="G778" s="25"/>
      <c r="H778" s="28"/>
      <c r="I778" s="14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2.0" customHeight="1">
      <c r="A779" s="25"/>
      <c r="B779" s="142"/>
      <c r="C779" s="143"/>
      <c r="D779" s="144"/>
      <c r="E779" s="144"/>
      <c r="F779" s="144"/>
      <c r="G779" s="25"/>
      <c r="H779" s="28"/>
      <c r="I779" s="14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2.0" customHeight="1">
      <c r="A780" s="25"/>
      <c r="B780" s="142"/>
      <c r="C780" s="143"/>
      <c r="D780" s="144"/>
      <c r="E780" s="144"/>
      <c r="F780" s="144"/>
      <c r="G780" s="25"/>
      <c r="H780" s="28"/>
      <c r="I780" s="14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2.0" customHeight="1">
      <c r="A781" s="25"/>
      <c r="B781" s="142"/>
      <c r="C781" s="143"/>
      <c r="D781" s="144"/>
      <c r="E781" s="144"/>
      <c r="F781" s="144"/>
      <c r="G781" s="25"/>
      <c r="H781" s="28"/>
      <c r="I781" s="14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2.0" customHeight="1">
      <c r="A782" s="25"/>
      <c r="B782" s="142"/>
      <c r="C782" s="143"/>
      <c r="D782" s="144"/>
      <c r="E782" s="144"/>
      <c r="F782" s="144"/>
      <c r="G782" s="25"/>
      <c r="H782" s="28"/>
      <c r="I782" s="14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2.0" customHeight="1">
      <c r="A783" s="25"/>
      <c r="B783" s="142"/>
      <c r="C783" s="143"/>
      <c r="D783" s="144"/>
      <c r="E783" s="144"/>
      <c r="F783" s="144"/>
      <c r="G783" s="25"/>
      <c r="H783" s="28"/>
      <c r="I783" s="14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2.0" customHeight="1">
      <c r="A784" s="25"/>
      <c r="B784" s="142"/>
      <c r="C784" s="143"/>
      <c r="D784" s="144"/>
      <c r="E784" s="144"/>
      <c r="F784" s="144"/>
      <c r="G784" s="25"/>
      <c r="H784" s="28"/>
      <c r="I784" s="14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2.0" customHeight="1">
      <c r="A785" s="25"/>
      <c r="B785" s="142"/>
      <c r="C785" s="143"/>
      <c r="D785" s="144"/>
      <c r="E785" s="144"/>
      <c r="F785" s="144"/>
      <c r="G785" s="25"/>
      <c r="H785" s="28"/>
      <c r="I785" s="14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2.0" customHeight="1">
      <c r="A786" s="25"/>
      <c r="B786" s="142"/>
      <c r="C786" s="143"/>
      <c r="D786" s="144"/>
      <c r="E786" s="144"/>
      <c r="F786" s="144"/>
      <c r="G786" s="25"/>
      <c r="H786" s="28"/>
      <c r="I786" s="14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2.0" customHeight="1">
      <c r="A787" s="25"/>
      <c r="B787" s="142"/>
      <c r="C787" s="143"/>
      <c r="D787" s="144"/>
      <c r="E787" s="144"/>
      <c r="F787" s="144"/>
      <c r="G787" s="25"/>
      <c r="H787" s="28"/>
      <c r="I787" s="14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2.0" customHeight="1">
      <c r="A788" s="25"/>
      <c r="B788" s="142"/>
      <c r="C788" s="143"/>
      <c r="D788" s="144"/>
      <c r="E788" s="144"/>
      <c r="F788" s="144"/>
      <c r="G788" s="25"/>
      <c r="H788" s="28"/>
      <c r="I788" s="14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2.0" customHeight="1">
      <c r="A789" s="25"/>
      <c r="B789" s="142"/>
      <c r="C789" s="143"/>
      <c r="D789" s="144"/>
      <c r="E789" s="144"/>
      <c r="F789" s="144"/>
      <c r="G789" s="25"/>
      <c r="H789" s="28"/>
      <c r="I789" s="14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2.0" customHeight="1">
      <c r="A790" s="25"/>
      <c r="B790" s="142"/>
      <c r="C790" s="143"/>
      <c r="D790" s="144"/>
      <c r="E790" s="144"/>
      <c r="F790" s="144"/>
      <c r="G790" s="25"/>
      <c r="H790" s="28"/>
      <c r="I790" s="14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2.0" customHeight="1">
      <c r="A791" s="25"/>
      <c r="B791" s="142"/>
      <c r="C791" s="143"/>
      <c r="D791" s="144"/>
      <c r="E791" s="144"/>
      <c r="F791" s="144"/>
      <c r="G791" s="25"/>
      <c r="H791" s="28"/>
      <c r="I791" s="14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2.0" customHeight="1">
      <c r="A792" s="25"/>
      <c r="B792" s="142"/>
      <c r="C792" s="143"/>
      <c r="D792" s="144"/>
      <c r="E792" s="144"/>
      <c r="F792" s="144"/>
      <c r="G792" s="25"/>
      <c r="H792" s="28"/>
      <c r="I792" s="14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2.0" customHeight="1">
      <c r="A793" s="25"/>
      <c r="B793" s="142"/>
      <c r="C793" s="143"/>
      <c r="D793" s="144"/>
      <c r="E793" s="144"/>
      <c r="F793" s="144"/>
      <c r="G793" s="25"/>
      <c r="H793" s="28"/>
      <c r="I793" s="14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2.0" customHeight="1">
      <c r="A794" s="25"/>
      <c r="B794" s="142"/>
      <c r="C794" s="143"/>
      <c r="D794" s="144"/>
      <c r="E794" s="144"/>
      <c r="F794" s="144"/>
      <c r="G794" s="25"/>
      <c r="H794" s="28"/>
      <c r="I794" s="14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2.0" customHeight="1">
      <c r="A795" s="25"/>
      <c r="B795" s="142"/>
      <c r="C795" s="143"/>
      <c r="D795" s="144"/>
      <c r="E795" s="144"/>
      <c r="F795" s="144"/>
      <c r="G795" s="25"/>
      <c r="H795" s="28"/>
      <c r="I795" s="14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2.0" customHeight="1">
      <c r="A796" s="25"/>
      <c r="B796" s="142"/>
      <c r="C796" s="143"/>
      <c r="D796" s="144"/>
      <c r="E796" s="144"/>
      <c r="F796" s="144"/>
      <c r="G796" s="25"/>
      <c r="H796" s="28"/>
      <c r="I796" s="14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2.0" customHeight="1">
      <c r="A797" s="25"/>
      <c r="B797" s="142"/>
      <c r="C797" s="143"/>
      <c r="D797" s="144"/>
      <c r="E797" s="144"/>
      <c r="F797" s="144"/>
      <c r="G797" s="25"/>
      <c r="H797" s="28"/>
      <c r="I797" s="14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2.0" customHeight="1">
      <c r="A798" s="25"/>
      <c r="B798" s="142"/>
      <c r="C798" s="143"/>
      <c r="D798" s="144"/>
      <c r="E798" s="144"/>
      <c r="F798" s="144"/>
      <c r="G798" s="25"/>
      <c r="H798" s="28"/>
      <c r="I798" s="14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2.0" customHeight="1">
      <c r="A799" s="25"/>
      <c r="B799" s="142"/>
      <c r="C799" s="143"/>
      <c r="D799" s="144"/>
      <c r="E799" s="144"/>
      <c r="F799" s="144"/>
      <c r="G799" s="25"/>
      <c r="H799" s="28"/>
      <c r="I799" s="14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2.0" customHeight="1">
      <c r="A800" s="25"/>
      <c r="B800" s="142"/>
      <c r="C800" s="143"/>
      <c r="D800" s="144"/>
      <c r="E800" s="144"/>
      <c r="F800" s="144"/>
      <c r="G800" s="25"/>
      <c r="H800" s="28"/>
      <c r="I800" s="14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2.0" customHeight="1">
      <c r="A801" s="25"/>
      <c r="B801" s="142"/>
      <c r="C801" s="143"/>
      <c r="D801" s="144"/>
      <c r="E801" s="144"/>
      <c r="F801" s="144"/>
      <c r="G801" s="25"/>
      <c r="H801" s="28"/>
      <c r="I801" s="14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2.0" customHeight="1">
      <c r="A802" s="25"/>
      <c r="B802" s="142"/>
      <c r="C802" s="143"/>
      <c r="D802" s="144"/>
      <c r="E802" s="144"/>
      <c r="F802" s="144"/>
      <c r="G802" s="25"/>
      <c r="H802" s="28"/>
      <c r="I802" s="14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2.0" customHeight="1">
      <c r="A803" s="25"/>
      <c r="B803" s="142"/>
      <c r="C803" s="143"/>
      <c r="D803" s="144"/>
      <c r="E803" s="144"/>
      <c r="F803" s="144"/>
      <c r="G803" s="25"/>
      <c r="H803" s="28"/>
      <c r="I803" s="14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2.0" customHeight="1">
      <c r="A804" s="25"/>
      <c r="B804" s="142"/>
      <c r="C804" s="143"/>
      <c r="D804" s="144"/>
      <c r="E804" s="144"/>
      <c r="F804" s="144"/>
      <c r="G804" s="25"/>
      <c r="H804" s="28"/>
      <c r="I804" s="14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2.0" customHeight="1">
      <c r="A805" s="25"/>
      <c r="B805" s="142"/>
      <c r="C805" s="143"/>
      <c r="D805" s="144"/>
      <c r="E805" s="144"/>
      <c r="F805" s="144"/>
      <c r="G805" s="25"/>
      <c r="H805" s="28"/>
      <c r="I805" s="14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2.0" customHeight="1">
      <c r="A806" s="25"/>
      <c r="B806" s="142"/>
      <c r="C806" s="143"/>
      <c r="D806" s="144"/>
      <c r="E806" s="144"/>
      <c r="F806" s="144"/>
      <c r="G806" s="25"/>
      <c r="H806" s="28"/>
      <c r="I806" s="14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2.0" customHeight="1">
      <c r="A807" s="25"/>
      <c r="B807" s="142"/>
      <c r="C807" s="143"/>
      <c r="D807" s="144"/>
      <c r="E807" s="144"/>
      <c r="F807" s="144"/>
      <c r="G807" s="25"/>
      <c r="H807" s="28"/>
      <c r="I807" s="14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2.0" customHeight="1">
      <c r="A808" s="25"/>
      <c r="B808" s="142"/>
      <c r="C808" s="143"/>
      <c r="D808" s="144"/>
      <c r="E808" s="144"/>
      <c r="F808" s="144"/>
      <c r="G808" s="25"/>
      <c r="H808" s="28"/>
      <c r="I808" s="14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2.0" customHeight="1">
      <c r="A809" s="25"/>
      <c r="B809" s="142"/>
      <c r="C809" s="143"/>
      <c r="D809" s="144"/>
      <c r="E809" s="144"/>
      <c r="F809" s="144"/>
      <c r="G809" s="25"/>
      <c r="H809" s="28"/>
      <c r="I809" s="14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2.0" customHeight="1">
      <c r="A810" s="25"/>
      <c r="B810" s="142"/>
      <c r="C810" s="143"/>
      <c r="D810" s="144"/>
      <c r="E810" s="144"/>
      <c r="F810" s="144"/>
      <c r="G810" s="25"/>
      <c r="H810" s="28"/>
      <c r="I810" s="14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2.0" customHeight="1">
      <c r="A811" s="25"/>
      <c r="B811" s="142"/>
      <c r="C811" s="143"/>
      <c r="D811" s="144"/>
      <c r="E811" s="144"/>
      <c r="F811" s="144"/>
      <c r="G811" s="25"/>
      <c r="H811" s="28"/>
      <c r="I811" s="14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2.0" customHeight="1">
      <c r="A812" s="25"/>
      <c r="B812" s="142"/>
      <c r="C812" s="143"/>
      <c r="D812" s="144"/>
      <c r="E812" s="144"/>
      <c r="F812" s="144"/>
      <c r="G812" s="25"/>
      <c r="H812" s="28"/>
      <c r="I812" s="14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2.0" customHeight="1">
      <c r="A813" s="25"/>
      <c r="B813" s="142"/>
      <c r="C813" s="143"/>
      <c r="D813" s="144"/>
      <c r="E813" s="144"/>
      <c r="F813" s="144"/>
      <c r="G813" s="25"/>
      <c r="H813" s="28"/>
      <c r="I813" s="14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2.0" customHeight="1">
      <c r="A814" s="25"/>
      <c r="B814" s="142"/>
      <c r="C814" s="143"/>
      <c r="D814" s="144"/>
      <c r="E814" s="144"/>
      <c r="F814" s="144"/>
      <c r="G814" s="25"/>
      <c r="H814" s="28"/>
      <c r="I814" s="14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2.0" customHeight="1">
      <c r="A815" s="25"/>
      <c r="B815" s="142"/>
      <c r="C815" s="143"/>
      <c r="D815" s="144"/>
      <c r="E815" s="144"/>
      <c r="F815" s="144"/>
      <c r="G815" s="25"/>
      <c r="H815" s="28"/>
      <c r="I815" s="14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2.0" customHeight="1">
      <c r="A816" s="25"/>
      <c r="B816" s="142"/>
      <c r="C816" s="143"/>
      <c r="D816" s="144"/>
      <c r="E816" s="144"/>
      <c r="F816" s="144"/>
      <c r="G816" s="25"/>
      <c r="H816" s="28"/>
      <c r="I816" s="14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2.0" customHeight="1">
      <c r="A817" s="25"/>
      <c r="B817" s="142"/>
      <c r="C817" s="143"/>
      <c r="D817" s="144"/>
      <c r="E817" s="144"/>
      <c r="F817" s="144"/>
      <c r="G817" s="25"/>
      <c r="H817" s="28"/>
      <c r="I817" s="14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2.0" customHeight="1">
      <c r="A818" s="25"/>
      <c r="B818" s="142"/>
      <c r="C818" s="143"/>
      <c r="D818" s="144"/>
      <c r="E818" s="144"/>
      <c r="F818" s="144"/>
      <c r="G818" s="25"/>
      <c r="H818" s="28"/>
      <c r="I818" s="14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2.0" customHeight="1">
      <c r="A819" s="25"/>
      <c r="B819" s="142"/>
      <c r="C819" s="143"/>
      <c r="D819" s="144"/>
      <c r="E819" s="144"/>
      <c r="F819" s="144"/>
      <c r="G819" s="25"/>
      <c r="H819" s="28"/>
      <c r="I819" s="14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2.0" customHeight="1">
      <c r="A820" s="25"/>
      <c r="B820" s="142"/>
      <c r="C820" s="143"/>
      <c r="D820" s="144"/>
      <c r="E820" s="144"/>
      <c r="F820" s="144"/>
      <c r="G820" s="25"/>
      <c r="H820" s="28"/>
      <c r="I820" s="14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2.0" customHeight="1">
      <c r="A821" s="25"/>
      <c r="B821" s="142"/>
      <c r="C821" s="143"/>
      <c r="D821" s="144"/>
      <c r="E821" s="144"/>
      <c r="F821" s="144"/>
      <c r="G821" s="25"/>
      <c r="H821" s="28"/>
      <c r="I821" s="14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2.0" customHeight="1">
      <c r="A822" s="25"/>
      <c r="B822" s="142"/>
      <c r="C822" s="143"/>
      <c r="D822" s="144"/>
      <c r="E822" s="144"/>
      <c r="F822" s="144"/>
      <c r="G822" s="25"/>
      <c r="H822" s="28"/>
      <c r="I822" s="14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2.0" customHeight="1">
      <c r="A823" s="25"/>
      <c r="B823" s="142"/>
      <c r="C823" s="143"/>
      <c r="D823" s="144"/>
      <c r="E823" s="144"/>
      <c r="F823" s="144"/>
      <c r="G823" s="25"/>
      <c r="H823" s="28"/>
      <c r="I823" s="14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2.0" customHeight="1">
      <c r="A824" s="25"/>
      <c r="B824" s="142"/>
      <c r="C824" s="143"/>
      <c r="D824" s="144"/>
      <c r="E824" s="144"/>
      <c r="F824" s="144"/>
      <c r="G824" s="25"/>
      <c r="H824" s="28"/>
      <c r="I824" s="14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2.0" customHeight="1">
      <c r="A825" s="25"/>
      <c r="B825" s="142"/>
      <c r="C825" s="143"/>
      <c r="D825" s="144"/>
      <c r="E825" s="144"/>
      <c r="F825" s="144"/>
      <c r="G825" s="25"/>
      <c r="H825" s="28"/>
      <c r="I825" s="14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2.0" customHeight="1">
      <c r="A826" s="25"/>
      <c r="B826" s="142"/>
      <c r="C826" s="143"/>
      <c r="D826" s="144"/>
      <c r="E826" s="144"/>
      <c r="F826" s="144"/>
      <c r="G826" s="25"/>
      <c r="H826" s="28"/>
      <c r="I826" s="14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2.0" customHeight="1">
      <c r="A827" s="25"/>
      <c r="B827" s="142"/>
      <c r="C827" s="143"/>
      <c r="D827" s="144"/>
      <c r="E827" s="144"/>
      <c r="F827" s="144"/>
      <c r="G827" s="25"/>
      <c r="H827" s="28"/>
      <c r="I827" s="14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2.0" customHeight="1">
      <c r="A828" s="25"/>
      <c r="B828" s="142"/>
      <c r="C828" s="143"/>
      <c r="D828" s="144"/>
      <c r="E828" s="144"/>
      <c r="F828" s="144"/>
      <c r="G828" s="25"/>
      <c r="H828" s="28"/>
      <c r="I828" s="14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2.0" customHeight="1">
      <c r="A829" s="25"/>
      <c r="B829" s="142"/>
      <c r="C829" s="143"/>
      <c r="D829" s="144"/>
      <c r="E829" s="144"/>
      <c r="F829" s="144"/>
      <c r="G829" s="25"/>
      <c r="H829" s="28"/>
      <c r="I829" s="14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2.0" customHeight="1">
      <c r="A830" s="25"/>
      <c r="B830" s="142"/>
      <c r="C830" s="143"/>
      <c r="D830" s="144"/>
      <c r="E830" s="144"/>
      <c r="F830" s="144"/>
      <c r="G830" s="25"/>
      <c r="H830" s="28"/>
      <c r="I830" s="14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2.0" customHeight="1">
      <c r="A831" s="25"/>
      <c r="B831" s="142"/>
      <c r="C831" s="143"/>
      <c r="D831" s="144"/>
      <c r="E831" s="144"/>
      <c r="F831" s="144"/>
      <c r="G831" s="25"/>
      <c r="H831" s="28"/>
      <c r="I831" s="14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2.0" customHeight="1">
      <c r="A832" s="25"/>
      <c r="B832" s="142"/>
      <c r="C832" s="143"/>
      <c r="D832" s="144"/>
      <c r="E832" s="144"/>
      <c r="F832" s="144"/>
      <c r="G832" s="25"/>
      <c r="H832" s="28"/>
      <c r="I832" s="14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2.0" customHeight="1">
      <c r="A833" s="25"/>
      <c r="B833" s="142"/>
      <c r="C833" s="143"/>
      <c r="D833" s="144"/>
      <c r="E833" s="144"/>
      <c r="F833" s="144"/>
      <c r="G833" s="25"/>
      <c r="H833" s="28"/>
      <c r="I833" s="14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2.0" customHeight="1">
      <c r="A834" s="25"/>
      <c r="B834" s="142"/>
      <c r="C834" s="143"/>
      <c r="D834" s="144"/>
      <c r="E834" s="144"/>
      <c r="F834" s="144"/>
      <c r="G834" s="25"/>
      <c r="H834" s="28"/>
      <c r="I834" s="14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2.0" customHeight="1">
      <c r="A835" s="25"/>
      <c r="B835" s="142"/>
      <c r="C835" s="143"/>
      <c r="D835" s="144"/>
      <c r="E835" s="144"/>
      <c r="F835" s="144"/>
      <c r="G835" s="25"/>
      <c r="H835" s="28"/>
      <c r="I835" s="14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2.0" customHeight="1">
      <c r="A836" s="25"/>
      <c r="B836" s="142"/>
      <c r="C836" s="143"/>
      <c r="D836" s="144"/>
      <c r="E836" s="144"/>
      <c r="F836" s="144"/>
      <c r="G836" s="25"/>
      <c r="H836" s="28"/>
      <c r="I836" s="14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2.0" customHeight="1">
      <c r="A837" s="25"/>
      <c r="B837" s="142"/>
      <c r="C837" s="143"/>
      <c r="D837" s="144"/>
      <c r="E837" s="144"/>
      <c r="F837" s="144"/>
      <c r="G837" s="25"/>
      <c r="H837" s="28"/>
      <c r="I837" s="14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2.0" customHeight="1">
      <c r="A838" s="25"/>
      <c r="B838" s="142"/>
      <c r="C838" s="143"/>
      <c r="D838" s="144"/>
      <c r="E838" s="144"/>
      <c r="F838" s="144"/>
      <c r="G838" s="25"/>
      <c r="H838" s="28"/>
      <c r="I838" s="14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2.0" customHeight="1">
      <c r="A839" s="25"/>
      <c r="B839" s="142"/>
      <c r="C839" s="143"/>
      <c r="D839" s="144"/>
      <c r="E839" s="144"/>
      <c r="F839" s="144"/>
      <c r="G839" s="25"/>
      <c r="H839" s="28"/>
      <c r="I839" s="14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2.0" customHeight="1">
      <c r="A840" s="25"/>
      <c r="B840" s="142"/>
      <c r="C840" s="143"/>
      <c r="D840" s="144"/>
      <c r="E840" s="144"/>
      <c r="F840" s="144"/>
      <c r="G840" s="25"/>
      <c r="H840" s="28"/>
      <c r="I840" s="14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2.0" customHeight="1">
      <c r="A841" s="25"/>
      <c r="B841" s="142"/>
      <c r="C841" s="143"/>
      <c r="D841" s="144"/>
      <c r="E841" s="144"/>
      <c r="F841" s="144"/>
      <c r="G841" s="25"/>
      <c r="H841" s="28"/>
      <c r="I841" s="14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2.0" customHeight="1">
      <c r="A842" s="25"/>
      <c r="B842" s="142"/>
      <c r="C842" s="143"/>
      <c r="D842" s="144"/>
      <c r="E842" s="144"/>
      <c r="F842" s="144"/>
      <c r="G842" s="25"/>
      <c r="H842" s="28"/>
      <c r="I842" s="14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2.0" customHeight="1">
      <c r="A843" s="25"/>
      <c r="B843" s="142"/>
      <c r="C843" s="143"/>
      <c r="D843" s="144"/>
      <c r="E843" s="144"/>
      <c r="F843" s="144"/>
      <c r="G843" s="25"/>
      <c r="H843" s="28"/>
      <c r="I843" s="14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2.0" customHeight="1">
      <c r="A844" s="25"/>
      <c r="B844" s="142"/>
      <c r="C844" s="143"/>
      <c r="D844" s="144"/>
      <c r="E844" s="144"/>
      <c r="F844" s="144"/>
      <c r="G844" s="25"/>
      <c r="H844" s="28"/>
      <c r="I844" s="14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2.0" customHeight="1">
      <c r="A845" s="25"/>
      <c r="B845" s="142"/>
      <c r="C845" s="143"/>
      <c r="D845" s="144"/>
      <c r="E845" s="144"/>
      <c r="F845" s="144"/>
      <c r="G845" s="25"/>
      <c r="H845" s="28"/>
      <c r="I845" s="14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2.0" customHeight="1">
      <c r="A846" s="25"/>
      <c r="B846" s="142"/>
      <c r="C846" s="143"/>
      <c r="D846" s="144"/>
      <c r="E846" s="144"/>
      <c r="F846" s="144"/>
      <c r="G846" s="25"/>
      <c r="H846" s="28"/>
      <c r="I846" s="14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2.0" customHeight="1">
      <c r="A847" s="25"/>
      <c r="B847" s="142"/>
      <c r="C847" s="143"/>
      <c r="D847" s="144"/>
      <c r="E847" s="144"/>
      <c r="F847" s="144"/>
      <c r="G847" s="25"/>
      <c r="H847" s="28"/>
      <c r="I847" s="14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2.0" customHeight="1">
      <c r="A848" s="25"/>
      <c r="B848" s="142"/>
      <c r="C848" s="143"/>
      <c r="D848" s="144"/>
      <c r="E848" s="144"/>
      <c r="F848" s="144"/>
      <c r="G848" s="25"/>
      <c r="H848" s="28"/>
      <c r="I848" s="14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2.0" customHeight="1">
      <c r="A849" s="25"/>
      <c r="B849" s="142"/>
      <c r="C849" s="143"/>
      <c r="D849" s="144"/>
      <c r="E849" s="144"/>
      <c r="F849" s="144"/>
      <c r="G849" s="25"/>
      <c r="H849" s="28"/>
      <c r="I849" s="14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2.0" customHeight="1">
      <c r="A850" s="25"/>
      <c r="B850" s="142"/>
      <c r="C850" s="143"/>
      <c r="D850" s="144"/>
      <c r="E850" s="144"/>
      <c r="F850" s="144"/>
      <c r="G850" s="25"/>
      <c r="H850" s="28"/>
      <c r="I850" s="14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2.0" customHeight="1">
      <c r="A851" s="25"/>
      <c r="B851" s="142"/>
      <c r="C851" s="143"/>
      <c r="D851" s="144"/>
      <c r="E851" s="144"/>
      <c r="F851" s="144"/>
      <c r="G851" s="25"/>
      <c r="H851" s="28"/>
      <c r="I851" s="14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2.0" customHeight="1">
      <c r="A852" s="25"/>
      <c r="B852" s="142"/>
      <c r="C852" s="143"/>
      <c r="D852" s="144"/>
      <c r="E852" s="144"/>
      <c r="F852" s="144"/>
      <c r="G852" s="25"/>
      <c r="H852" s="28"/>
      <c r="I852" s="14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2.0" customHeight="1">
      <c r="A853" s="25"/>
      <c r="B853" s="142"/>
      <c r="C853" s="143"/>
      <c r="D853" s="144"/>
      <c r="E853" s="144"/>
      <c r="F853" s="144"/>
      <c r="G853" s="25"/>
      <c r="H853" s="28"/>
      <c r="I853" s="14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2.0" customHeight="1">
      <c r="A854" s="25"/>
      <c r="B854" s="142"/>
      <c r="C854" s="143"/>
      <c r="D854" s="144"/>
      <c r="E854" s="144"/>
      <c r="F854" s="144"/>
      <c r="G854" s="25"/>
      <c r="H854" s="28"/>
      <c r="I854" s="14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2.0" customHeight="1">
      <c r="A855" s="25"/>
      <c r="B855" s="142"/>
      <c r="C855" s="143"/>
      <c r="D855" s="144"/>
      <c r="E855" s="144"/>
      <c r="F855" s="144"/>
      <c r="G855" s="25"/>
      <c r="H855" s="28"/>
      <c r="I855" s="14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2.0" customHeight="1">
      <c r="A856" s="25"/>
      <c r="B856" s="142"/>
      <c r="C856" s="143"/>
      <c r="D856" s="144"/>
      <c r="E856" s="144"/>
      <c r="F856" s="144"/>
      <c r="G856" s="25"/>
      <c r="H856" s="28"/>
      <c r="I856" s="14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2.0" customHeight="1">
      <c r="A857" s="25"/>
      <c r="B857" s="142"/>
      <c r="C857" s="143"/>
      <c r="D857" s="144"/>
      <c r="E857" s="144"/>
      <c r="F857" s="144"/>
      <c r="G857" s="25"/>
      <c r="H857" s="28"/>
      <c r="I857" s="14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2.0" customHeight="1">
      <c r="A858" s="25"/>
      <c r="B858" s="142"/>
      <c r="C858" s="143"/>
      <c r="D858" s="144"/>
      <c r="E858" s="144"/>
      <c r="F858" s="144"/>
      <c r="G858" s="25"/>
      <c r="H858" s="28"/>
      <c r="I858" s="14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2.0" customHeight="1">
      <c r="A859" s="25"/>
      <c r="B859" s="142"/>
      <c r="C859" s="143"/>
      <c r="D859" s="144"/>
      <c r="E859" s="144"/>
      <c r="F859" s="144"/>
      <c r="G859" s="25"/>
      <c r="H859" s="28"/>
      <c r="I859" s="14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2.0" customHeight="1">
      <c r="A860" s="25"/>
      <c r="B860" s="142"/>
      <c r="C860" s="143"/>
      <c r="D860" s="144"/>
      <c r="E860" s="144"/>
      <c r="F860" s="144"/>
      <c r="G860" s="25"/>
      <c r="H860" s="28"/>
      <c r="I860" s="14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2.0" customHeight="1">
      <c r="A861" s="25"/>
      <c r="B861" s="142"/>
      <c r="C861" s="143"/>
      <c r="D861" s="144"/>
      <c r="E861" s="144"/>
      <c r="F861" s="144"/>
      <c r="G861" s="25"/>
      <c r="H861" s="28"/>
      <c r="I861" s="14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2.0" customHeight="1">
      <c r="A862" s="25"/>
      <c r="B862" s="142"/>
      <c r="C862" s="143"/>
      <c r="D862" s="144"/>
      <c r="E862" s="144"/>
      <c r="F862" s="144"/>
      <c r="G862" s="25"/>
      <c r="H862" s="28"/>
      <c r="I862" s="14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2.0" customHeight="1">
      <c r="A863" s="25"/>
      <c r="B863" s="142"/>
      <c r="C863" s="143"/>
      <c r="D863" s="144"/>
      <c r="E863" s="144"/>
      <c r="F863" s="144"/>
      <c r="G863" s="25"/>
      <c r="H863" s="28"/>
      <c r="I863" s="14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2.0" customHeight="1">
      <c r="A864" s="25"/>
      <c r="B864" s="142"/>
      <c r="C864" s="143"/>
      <c r="D864" s="144"/>
      <c r="E864" s="144"/>
      <c r="F864" s="144"/>
      <c r="G864" s="25"/>
      <c r="H864" s="28"/>
      <c r="I864" s="14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2.0" customHeight="1">
      <c r="A865" s="25"/>
      <c r="B865" s="142"/>
      <c r="C865" s="143"/>
      <c r="D865" s="144"/>
      <c r="E865" s="144"/>
      <c r="F865" s="144"/>
      <c r="G865" s="25"/>
      <c r="H865" s="28"/>
      <c r="I865" s="14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2.0" customHeight="1">
      <c r="A866" s="25"/>
      <c r="B866" s="142"/>
      <c r="C866" s="143"/>
      <c r="D866" s="144"/>
      <c r="E866" s="144"/>
      <c r="F866" s="144"/>
      <c r="G866" s="25"/>
      <c r="H866" s="28"/>
      <c r="I866" s="14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2.0" customHeight="1">
      <c r="A867" s="25"/>
      <c r="B867" s="142"/>
      <c r="C867" s="143"/>
      <c r="D867" s="144"/>
      <c r="E867" s="144"/>
      <c r="F867" s="144"/>
      <c r="G867" s="25"/>
      <c r="H867" s="28"/>
      <c r="I867" s="14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2.0" customHeight="1">
      <c r="A868" s="25"/>
      <c r="B868" s="142"/>
      <c r="C868" s="143"/>
      <c r="D868" s="144"/>
      <c r="E868" s="144"/>
      <c r="F868" s="144"/>
      <c r="G868" s="25"/>
      <c r="H868" s="28"/>
      <c r="I868" s="14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2.0" customHeight="1">
      <c r="A869" s="25"/>
      <c r="B869" s="142"/>
      <c r="C869" s="143"/>
      <c r="D869" s="144"/>
      <c r="E869" s="144"/>
      <c r="F869" s="144"/>
      <c r="G869" s="25"/>
      <c r="H869" s="28"/>
      <c r="I869" s="14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2.0" customHeight="1">
      <c r="A870" s="25"/>
      <c r="B870" s="142"/>
      <c r="C870" s="143"/>
      <c r="D870" s="144"/>
      <c r="E870" s="144"/>
      <c r="F870" s="144"/>
      <c r="G870" s="25"/>
      <c r="H870" s="28"/>
      <c r="I870" s="14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2.0" customHeight="1">
      <c r="A871" s="25"/>
      <c r="B871" s="142"/>
      <c r="C871" s="143"/>
      <c r="D871" s="144"/>
      <c r="E871" s="144"/>
      <c r="F871" s="144"/>
      <c r="G871" s="25"/>
      <c r="H871" s="28"/>
      <c r="I871" s="14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2.0" customHeight="1">
      <c r="A872" s="25"/>
      <c r="B872" s="142"/>
      <c r="C872" s="143"/>
      <c r="D872" s="144"/>
      <c r="E872" s="144"/>
      <c r="F872" s="144"/>
      <c r="G872" s="25"/>
      <c r="H872" s="28"/>
      <c r="I872" s="14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2.0" customHeight="1">
      <c r="A873" s="25"/>
      <c r="B873" s="142"/>
      <c r="C873" s="143"/>
      <c r="D873" s="144"/>
      <c r="E873" s="144"/>
      <c r="F873" s="144"/>
      <c r="G873" s="25"/>
      <c r="H873" s="28"/>
      <c r="I873" s="14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2.0" customHeight="1">
      <c r="A874" s="25"/>
      <c r="B874" s="142"/>
      <c r="C874" s="143"/>
      <c r="D874" s="144"/>
      <c r="E874" s="144"/>
      <c r="F874" s="144"/>
      <c r="G874" s="25"/>
      <c r="H874" s="28"/>
      <c r="I874" s="14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2.0" customHeight="1">
      <c r="A875" s="25"/>
      <c r="B875" s="142"/>
      <c r="C875" s="143"/>
      <c r="D875" s="144"/>
      <c r="E875" s="144"/>
      <c r="F875" s="144"/>
      <c r="G875" s="25"/>
      <c r="H875" s="28"/>
      <c r="I875" s="14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2.0" customHeight="1">
      <c r="A876" s="25"/>
      <c r="B876" s="142"/>
      <c r="C876" s="143"/>
      <c r="D876" s="144"/>
      <c r="E876" s="144"/>
      <c r="F876" s="144"/>
      <c r="G876" s="25"/>
      <c r="H876" s="28"/>
      <c r="I876" s="14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2.0" customHeight="1">
      <c r="A877" s="25"/>
      <c r="B877" s="142"/>
      <c r="C877" s="143"/>
      <c r="D877" s="144"/>
      <c r="E877" s="144"/>
      <c r="F877" s="144"/>
      <c r="G877" s="25"/>
      <c r="H877" s="28"/>
      <c r="I877" s="14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2.0" customHeight="1">
      <c r="A878" s="25"/>
      <c r="B878" s="142"/>
      <c r="C878" s="143"/>
      <c r="D878" s="144"/>
      <c r="E878" s="144"/>
      <c r="F878" s="144"/>
      <c r="G878" s="25"/>
      <c r="H878" s="28"/>
      <c r="I878" s="14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2.0" customHeight="1">
      <c r="A879" s="25"/>
      <c r="B879" s="142"/>
      <c r="C879" s="143"/>
      <c r="D879" s="144"/>
      <c r="E879" s="144"/>
      <c r="F879" s="144"/>
      <c r="G879" s="25"/>
      <c r="H879" s="28"/>
      <c r="I879" s="14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2.0" customHeight="1">
      <c r="A880" s="25"/>
      <c r="B880" s="142"/>
      <c r="C880" s="143"/>
      <c r="D880" s="144"/>
      <c r="E880" s="144"/>
      <c r="F880" s="144"/>
      <c r="G880" s="25"/>
      <c r="H880" s="28"/>
      <c r="I880" s="14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2.0" customHeight="1">
      <c r="A881" s="25"/>
      <c r="B881" s="142"/>
      <c r="C881" s="143"/>
      <c r="D881" s="144"/>
      <c r="E881" s="144"/>
      <c r="F881" s="144"/>
      <c r="G881" s="25"/>
      <c r="H881" s="28"/>
      <c r="I881" s="14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2.0" customHeight="1">
      <c r="A882" s="25"/>
      <c r="B882" s="142"/>
      <c r="C882" s="143"/>
      <c r="D882" s="144"/>
      <c r="E882" s="144"/>
      <c r="F882" s="144"/>
      <c r="G882" s="25"/>
      <c r="H882" s="28"/>
      <c r="I882" s="14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2.0" customHeight="1">
      <c r="A883" s="25"/>
      <c r="B883" s="142"/>
      <c r="C883" s="143"/>
      <c r="D883" s="144"/>
      <c r="E883" s="144"/>
      <c r="F883" s="144"/>
      <c r="G883" s="25"/>
      <c r="H883" s="28"/>
      <c r="I883" s="14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2.0" customHeight="1">
      <c r="A884" s="25"/>
      <c r="B884" s="142"/>
      <c r="C884" s="143"/>
      <c r="D884" s="144"/>
      <c r="E884" s="144"/>
      <c r="F884" s="144"/>
      <c r="G884" s="25"/>
      <c r="H884" s="28"/>
      <c r="I884" s="14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2.0" customHeight="1">
      <c r="A885" s="25"/>
      <c r="B885" s="142"/>
      <c r="C885" s="143"/>
      <c r="D885" s="144"/>
      <c r="E885" s="144"/>
      <c r="F885" s="144"/>
      <c r="G885" s="25"/>
      <c r="H885" s="28"/>
      <c r="I885" s="14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2.0" customHeight="1">
      <c r="A886" s="25"/>
      <c r="B886" s="142"/>
      <c r="C886" s="143"/>
      <c r="D886" s="144"/>
      <c r="E886" s="144"/>
      <c r="F886" s="144"/>
      <c r="G886" s="25"/>
      <c r="H886" s="28"/>
      <c r="I886" s="14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2.0" customHeight="1">
      <c r="A887" s="25"/>
      <c r="B887" s="142"/>
      <c r="C887" s="143"/>
      <c r="D887" s="144"/>
      <c r="E887" s="144"/>
      <c r="F887" s="144"/>
      <c r="G887" s="25"/>
      <c r="H887" s="28"/>
      <c r="I887" s="14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2.0" customHeight="1">
      <c r="A888" s="25"/>
      <c r="B888" s="142"/>
      <c r="C888" s="143"/>
      <c r="D888" s="144"/>
      <c r="E888" s="144"/>
      <c r="F888" s="144"/>
      <c r="G888" s="25"/>
      <c r="H888" s="28"/>
      <c r="I888" s="14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2.0" customHeight="1">
      <c r="A889" s="25"/>
      <c r="B889" s="142"/>
      <c r="C889" s="143"/>
      <c r="D889" s="144"/>
      <c r="E889" s="144"/>
      <c r="F889" s="144"/>
      <c r="G889" s="25"/>
      <c r="H889" s="28"/>
      <c r="I889" s="14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2.0" customHeight="1">
      <c r="A890" s="25"/>
      <c r="B890" s="142"/>
      <c r="C890" s="143"/>
      <c r="D890" s="144"/>
      <c r="E890" s="144"/>
      <c r="F890" s="144"/>
      <c r="G890" s="25"/>
      <c r="H890" s="28"/>
      <c r="I890" s="14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2.0" customHeight="1">
      <c r="A891" s="25"/>
      <c r="B891" s="142"/>
      <c r="C891" s="143"/>
      <c r="D891" s="144"/>
      <c r="E891" s="144"/>
      <c r="F891" s="144"/>
      <c r="G891" s="25"/>
      <c r="H891" s="28"/>
      <c r="I891" s="14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2.0" customHeight="1">
      <c r="A892" s="25"/>
      <c r="B892" s="142"/>
      <c r="C892" s="143"/>
      <c r="D892" s="144"/>
      <c r="E892" s="144"/>
      <c r="F892" s="144"/>
      <c r="G892" s="25"/>
      <c r="H892" s="28"/>
      <c r="I892" s="14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2.0" customHeight="1">
      <c r="A893" s="25"/>
      <c r="B893" s="142"/>
      <c r="C893" s="143"/>
      <c r="D893" s="144"/>
      <c r="E893" s="144"/>
      <c r="F893" s="144"/>
      <c r="G893" s="25"/>
      <c r="H893" s="28"/>
      <c r="I893" s="14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2.0" customHeight="1">
      <c r="A894" s="25"/>
      <c r="B894" s="142"/>
      <c r="C894" s="143"/>
      <c r="D894" s="144"/>
      <c r="E894" s="144"/>
      <c r="F894" s="144"/>
      <c r="G894" s="25"/>
      <c r="H894" s="28"/>
      <c r="I894" s="14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2.0" customHeight="1">
      <c r="A895" s="25"/>
      <c r="B895" s="142"/>
      <c r="C895" s="143"/>
      <c r="D895" s="144"/>
      <c r="E895" s="144"/>
      <c r="F895" s="144"/>
      <c r="G895" s="25"/>
      <c r="H895" s="28"/>
      <c r="I895" s="14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2.0" customHeight="1">
      <c r="A896" s="25"/>
      <c r="B896" s="142"/>
      <c r="C896" s="143"/>
      <c r="D896" s="144"/>
      <c r="E896" s="144"/>
      <c r="F896" s="144"/>
      <c r="G896" s="25"/>
      <c r="H896" s="28"/>
      <c r="I896" s="14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2.0" customHeight="1">
      <c r="A897" s="25"/>
      <c r="B897" s="142"/>
      <c r="C897" s="143"/>
      <c r="D897" s="144"/>
      <c r="E897" s="144"/>
      <c r="F897" s="144"/>
      <c r="G897" s="25"/>
      <c r="H897" s="28"/>
      <c r="I897" s="14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2.0" customHeight="1">
      <c r="A898" s="25"/>
      <c r="B898" s="142"/>
      <c r="C898" s="143"/>
      <c r="D898" s="144"/>
      <c r="E898" s="144"/>
      <c r="F898" s="144"/>
      <c r="G898" s="25"/>
      <c r="H898" s="28"/>
      <c r="I898" s="14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2.0" customHeight="1">
      <c r="A899" s="25"/>
      <c r="B899" s="142"/>
      <c r="C899" s="143"/>
      <c r="D899" s="144"/>
      <c r="E899" s="144"/>
      <c r="F899" s="144"/>
      <c r="G899" s="25"/>
      <c r="H899" s="28"/>
      <c r="I899" s="14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2.0" customHeight="1">
      <c r="A900" s="25"/>
      <c r="B900" s="142"/>
      <c r="C900" s="143"/>
      <c r="D900" s="144"/>
      <c r="E900" s="144"/>
      <c r="F900" s="144"/>
      <c r="G900" s="25"/>
      <c r="H900" s="28"/>
      <c r="I900" s="14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2.0" customHeight="1">
      <c r="A901" s="25"/>
      <c r="B901" s="142"/>
      <c r="C901" s="143"/>
      <c r="D901" s="144"/>
      <c r="E901" s="144"/>
      <c r="F901" s="144"/>
      <c r="G901" s="25"/>
      <c r="H901" s="28"/>
      <c r="I901" s="14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2.0" customHeight="1">
      <c r="A902" s="25"/>
      <c r="B902" s="142"/>
      <c r="C902" s="143"/>
      <c r="D902" s="144"/>
      <c r="E902" s="144"/>
      <c r="F902" s="144"/>
      <c r="G902" s="25"/>
      <c r="H902" s="28"/>
      <c r="I902" s="14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2.0" customHeight="1">
      <c r="A903" s="25"/>
      <c r="B903" s="142"/>
      <c r="C903" s="143"/>
      <c r="D903" s="144"/>
      <c r="E903" s="144"/>
      <c r="F903" s="144"/>
      <c r="G903" s="25"/>
      <c r="H903" s="28"/>
      <c r="I903" s="14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2.0" customHeight="1">
      <c r="A904" s="25"/>
      <c r="B904" s="142"/>
      <c r="C904" s="143"/>
      <c r="D904" s="144"/>
      <c r="E904" s="144"/>
      <c r="F904" s="144"/>
      <c r="G904" s="25"/>
      <c r="H904" s="28"/>
      <c r="I904" s="14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2.0" customHeight="1">
      <c r="A905" s="25"/>
      <c r="B905" s="142"/>
      <c r="C905" s="143"/>
      <c r="D905" s="144"/>
      <c r="E905" s="144"/>
      <c r="F905" s="144"/>
      <c r="G905" s="25"/>
      <c r="H905" s="28"/>
      <c r="I905" s="14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2.0" customHeight="1">
      <c r="A906" s="25"/>
      <c r="B906" s="142"/>
      <c r="C906" s="143"/>
      <c r="D906" s="144"/>
      <c r="E906" s="144"/>
      <c r="F906" s="144"/>
      <c r="G906" s="25"/>
      <c r="H906" s="28"/>
      <c r="I906" s="14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2.0" customHeight="1">
      <c r="A907" s="25"/>
      <c r="B907" s="142"/>
      <c r="C907" s="143"/>
      <c r="D907" s="144"/>
      <c r="E907" s="144"/>
      <c r="F907" s="144"/>
      <c r="G907" s="25"/>
      <c r="H907" s="28"/>
      <c r="I907" s="14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2.0" customHeight="1">
      <c r="A908" s="25"/>
      <c r="B908" s="142"/>
      <c r="C908" s="143"/>
      <c r="D908" s="144"/>
      <c r="E908" s="144"/>
      <c r="F908" s="144"/>
      <c r="G908" s="25"/>
      <c r="H908" s="28"/>
      <c r="I908" s="14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2.0" customHeight="1">
      <c r="A909" s="25"/>
      <c r="B909" s="142"/>
      <c r="C909" s="143"/>
      <c r="D909" s="144"/>
      <c r="E909" s="144"/>
      <c r="F909" s="144"/>
      <c r="G909" s="25"/>
      <c r="H909" s="28"/>
      <c r="I909" s="14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2.0" customHeight="1">
      <c r="A910" s="25"/>
      <c r="B910" s="142"/>
      <c r="C910" s="143"/>
      <c r="D910" s="144"/>
      <c r="E910" s="144"/>
      <c r="F910" s="144"/>
      <c r="G910" s="25"/>
      <c r="H910" s="28"/>
      <c r="I910" s="14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2.0" customHeight="1">
      <c r="A911" s="25"/>
      <c r="B911" s="142"/>
      <c r="C911" s="143"/>
      <c r="D911" s="144"/>
      <c r="E911" s="144"/>
      <c r="F911" s="144"/>
      <c r="G911" s="25"/>
      <c r="H911" s="28"/>
      <c r="I911" s="14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2.0" customHeight="1">
      <c r="A912" s="25"/>
      <c r="B912" s="142"/>
      <c r="C912" s="143"/>
      <c r="D912" s="144"/>
      <c r="E912" s="144"/>
      <c r="F912" s="144"/>
      <c r="G912" s="25"/>
      <c r="H912" s="28"/>
      <c r="I912" s="14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2.0" customHeight="1">
      <c r="A913" s="25"/>
      <c r="B913" s="142"/>
      <c r="C913" s="143"/>
      <c r="D913" s="144"/>
      <c r="E913" s="144"/>
      <c r="F913" s="144"/>
      <c r="G913" s="25"/>
      <c r="H913" s="28"/>
      <c r="I913" s="14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2.0" customHeight="1">
      <c r="A914" s="25"/>
      <c r="B914" s="142"/>
      <c r="C914" s="143"/>
      <c r="D914" s="144"/>
      <c r="E914" s="144"/>
      <c r="F914" s="144"/>
      <c r="G914" s="25"/>
      <c r="H914" s="28"/>
      <c r="I914" s="14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2.0" customHeight="1">
      <c r="A915" s="25"/>
      <c r="B915" s="142"/>
      <c r="C915" s="143"/>
      <c r="D915" s="144"/>
      <c r="E915" s="144"/>
      <c r="F915" s="144"/>
      <c r="G915" s="25"/>
      <c r="H915" s="28"/>
      <c r="I915" s="14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2.0" customHeight="1">
      <c r="A916" s="25"/>
      <c r="B916" s="142"/>
      <c r="C916" s="143"/>
      <c r="D916" s="144"/>
      <c r="E916" s="144"/>
      <c r="F916" s="144"/>
      <c r="G916" s="25"/>
      <c r="H916" s="28"/>
      <c r="I916" s="14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2.0" customHeight="1">
      <c r="A917" s="25"/>
      <c r="B917" s="142"/>
      <c r="C917" s="143"/>
      <c r="D917" s="144"/>
      <c r="E917" s="144"/>
      <c r="F917" s="144"/>
      <c r="G917" s="25"/>
      <c r="H917" s="28"/>
      <c r="I917" s="14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2.0" customHeight="1">
      <c r="A918" s="25"/>
      <c r="B918" s="142"/>
      <c r="C918" s="143"/>
      <c r="D918" s="144"/>
      <c r="E918" s="144"/>
      <c r="F918" s="144"/>
      <c r="G918" s="25"/>
      <c r="H918" s="28"/>
      <c r="I918" s="14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2.0" customHeight="1">
      <c r="A919" s="25"/>
      <c r="B919" s="142"/>
      <c r="C919" s="143"/>
      <c r="D919" s="144"/>
      <c r="E919" s="144"/>
      <c r="F919" s="144"/>
      <c r="G919" s="25"/>
      <c r="H919" s="28"/>
      <c r="I919" s="14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2.0" customHeight="1">
      <c r="A920" s="25"/>
      <c r="B920" s="142"/>
      <c r="C920" s="143"/>
      <c r="D920" s="144"/>
      <c r="E920" s="144"/>
      <c r="F920" s="144"/>
      <c r="G920" s="25"/>
      <c r="H920" s="28"/>
      <c r="I920" s="14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2.0" customHeight="1">
      <c r="A921" s="25"/>
      <c r="B921" s="142"/>
      <c r="C921" s="143"/>
      <c r="D921" s="144"/>
      <c r="E921" s="144"/>
      <c r="F921" s="144"/>
      <c r="G921" s="25"/>
      <c r="H921" s="28"/>
      <c r="I921" s="14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2.0" customHeight="1">
      <c r="A922" s="25"/>
      <c r="B922" s="142"/>
      <c r="C922" s="143"/>
      <c r="D922" s="144"/>
      <c r="E922" s="144"/>
      <c r="F922" s="144"/>
      <c r="G922" s="25"/>
      <c r="H922" s="28"/>
      <c r="I922" s="14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2.0" customHeight="1">
      <c r="A923" s="25"/>
      <c r="B923" s="142"/>
      <c r="C923" s="143"/>
      <c r="D923" s="144"/>
      <c r="E923" s="144"/>
      <c r="F923" s="144"/>
      <c r="G923" s="25"/>
      <c r="H923" s="28"/>
      <c r="I923" s="14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2.0" customHeight="1">
      <c r="A924" s="25"/>
      <c r="B924" s="142"/>
      <c r="C924" s="143"/>
      <c r="D924" s="144"/>
      <c r="E924" s="144"/>
      <c r="F924" s="144"/>
      <c r="G924" s="25"/>
      <c r="H924" s="28"/>
      <c r="I924" s="14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2.0" customHeight="1">
      <c r="A925" s="25"/>
      <c r="B925" s="142"/>
      <c r="C925" s="143"/>
      <c r="D925" s="144"/>
      <c r="E925" s="144"/>
      <c r="F925" s="144"/>
      <c r="G925" s="25"/>
      <c r="H925" s="28"/>
      <c r="I925" s="14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2.0" customHeight="1">
      <c r="A926" s="25"/>
      <c r="B926" s="142"/>
      <c r="C926" s="143"/>
      <c r="D926" s="144"/>
      <c r="E926" s="144"/>
      <c r="F926" s="144"/>
      <c r="G926" s="25"/>
      <c r="H926" s="28"/>
      <c r="I926" s="14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2.0" customHeight="1">
      <c r="A927" s="25"/>
      <c r="B927" s="142"/>
      <c r="C927" s="143"/>
      <c r="D927" s="144"/>
      <c r="E927" s="144"/>
      <c r="F927" s="144"/>
      <c r="G927" s="25"/>
      <c r="H927" s="28"/>
      <c r="I927" s="14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2.0" customHeight="1">
      <c r="A928" s="25"/>
      <c r="B928" s="142"/>
      <c r="C928" s="143"/>
      <c r="D928" s="144"/>
      <c r="E928" s="144"/>
      <c r="F928" s="144"/>
      <c r="G928" s="25"/>
      <c r="H928" s="28"/>
      <c r="I928" s="14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2.0" customHeight="1">
      <c r="A929" s="25"/>
      <c r="B929" s="142"/>
      <c r="C929" s="143"/>
      <c r="D929" s="144"/>
      <c r="E929" s="144"/>
      <c r="F929" s="144"/>
      <c r="G929" s="25"/>
      <c r="H929" s="28"/>
      <c r="I929" s="14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2.0" customHeight="1">
      <c r="A930" s="25"/>
      <c r="B930" s="142"/>
      <c r="C930" s="143"/>
      <c r="D930" s="144"/>
      <c r="E930" s="144"/>
      <c r="F930" s="144"/>
      <c r="G930" s="25"/>
      <c r="H930" s="28"/>
      <c r="I930" s="14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2.0" customHeight="1">
      <c r="A931" s="25"/>
      <c r="B931" s="142"/>
      <c r="C931" s="143"/>
      <c r="D931" s="144"/>
      <c r="E931" s="144"/>
      <c r="F931" s="144"/>
      <c r="G931" s="25"/>
      <c r="H931" s="28"/>
      <c r="I931" s="14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2.0" customHeight="1">
      <c r="A932" s="25"/>
      <c r="B932" s="142"/>
      <c r="C932" s="143"/>
      <c r="D932" s="144"/>
      <c r="E932" s="144"/>
      <c r="F932" s="144"/>
      <c r="G932" s="25"/>
      <c r="H932" s="28"/>
      <c r="I932" s="14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2.0" customHeight="1">
      <c r="A933" s="25"/>
      <c r="B933" s="142"/>
      <c r="C933" s="143"/>
      <c r="D933" s="144"/>
      <c r="E933" s="144"/>
      <c r="F933" s="144"/>
      <c r="G933" s="25"/>
      <c r="H933" s="28"/>
      <c r="I933" s="14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2.0" customHeight="1">
      <c r="A934" s="25"/>
      <c r="B934" s="142"/>
      <c r="C934" s="143"/>
      <c r="D934" s="144"/>
      <c r="E934" s="144"/>
      <c r="F934" s="144"/>
      <c r="G934" s="25"/>
      <c r="H934" s="28"/>
      <c r="I934" s="14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2.0" customHeight="1">
      <c r="A935" s="25"/>
      <c r="B935" s="142"/>
      <c r="C935" s="143"/>
      <c r="D935" s="144"/>
      <c r="E935" s="144"/>
      <c r="F935" s="144"/>
      <c r="G935" s="25"/>
      <c r="H935" s="28"/>
      <c r="I935" s="14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2.0" customHeight="1">
      <c r="A936" s="25"/>
      <c r="B936" s="142"/>
      <c r="C936" s="143"/>
      <c r="D936" s="144"/>
      <c r="E936" s="144"/>
      <c r="F936" s="144"/>
      <c r="G936" s="25"/>
      <c r="H936" s="28"/>
      <c r="I936" s="14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2.0" customHeight="1">
      <c r="A937" s="25"/>
      <c r="B937" s="142"/>
      <c r="C937" s="143"/>
      <c r="D937" s="144"/>
      <c r="E937" s="144"/>
      <c r="F937" s="144"/>
      <c r="G937" s="25"/>
      <c r="H937" s="28"/>
      <c r="I937" s="14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2.0" customHeight="1">
      <c r="A938" s="25"/>
      <c r="B938" s="142"/>
      <c r="C938" s="143"/>
      <c r="D938" s="144"/>
      <c r="E938" s="144"/>
      <c r="F938" s="144"/>
      <c r="G938" s="25"/>
      <c r="H938" s="28"/>
      <c r="I938" s="14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2.0" customHeight="1">
      <c r="A939" s="25"/>
      <c r="B939" s="142"/>
      <c r="C939" s="143"/>
      <c r="D939" s="144"/>
      <c r="E939" s="144"/>
      <c r="F939" s="144"/>
      <c r="G939" s="25"/>
      <c r="H939" s="28"/>
      <c r="I939" s="14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2.0" customHeight="1">
      <c r="A940" s="25"/>
      <c r="B940" s="142"/>
      <c r="C940" s="143"/>
      <c r="D940" s="144"/>
      <c r="E940" s="144"/>
      <c r="F940" s="144"/>
      <c r="G940" s="25"/>
      <c r="H940" s="28"/>
      <c r="I940" s="14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2.0" customHeight="1">
      <c r="A941" s="25"/>
      <c r="B941" s="142"/>
      <c r="C941" s="143"/>
      <c r="D941" s="144"/>
      <c r="E941" s="144"/>
      <c r="F941" s="144"/>
      <c r="G941" s="25"/>
      <c r="H941" s="28"/>
      <c r="I941" s="14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2.0" customHeight="1">
      <c r="A942" s="25"/>
      <c r="B942" s="142"/>
      <c r="C942" s="143"/>
      <c r="D942" s="144"/>
      <c r="E942" s="144"/>
      <c r="F942" s="144"/>
      <c r="G942" s="25"/>
      <c r="H942" s="28"/>
      <c r="I942" s="14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2.0" customHeight="1">
      <c r="A943" s="25"/>
      <c r="B943" s="142"/>
      <c r="C943" s="143"/>
      <c r="D943" s="144"/>
      <c r="E943" s="144"/>
      <c r="F943" s="144"/>
      <c r="G943" s="25"/>
      <c r="H943" s="28"/>
      <c r="I943" s="14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2.0" customHeight="1">
      <c r="A944" s="25"/>
      <c r="B944" s="142"/>
      <c r="C944" s="143"/>
      <c r="D944" s="144"/>
      <c r="E944" s="144"/>
      <c r="F944" s="144"/>
      <c r="G944" s="25"/>
      <c r="H944" s="28"/>
      <c r="I944" s="14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2.0" customHeight="1">
      <c r="A945" s="25"/>
      <c r="B945" s="142"/>
      <c r="C945" s="143"/>
      <c r="D945" s="144"/>
      <c r="E945" s="144"/>
      <c r="F945" s="144"/>
      <c r="G945" s="25"/>
      <c r="H945" s="28"/>
      <c r="I945" s="14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2.0" customHeight="1">
      <c r="A946" s="25"/>
      <c r="B946" s="142"/>
      <c r="C946" s="143"/>
      <c r="D946" s="144"/>
      <c r="E946" s="144"/>
      <c r="F946" s="144"/>
      <c r="G946" s="25"/>
      <c r="H946" s="28"/>
      <c r="I946" s="14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2.0" customHeight="1">
      <c r="A947" s="25"/>
      <c r="B947" s="142"/>
      <c r="C947" s="143"/>
      <c r="D947" s="144"/>
      <c r="E947" s="144"/>
      <c r="F947" s="144"/>
      <c r="G947" s="25"/>
      <c r="H947" s="28"/>
      <c r="I947" s="14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2.0" customHeight="1">
      <c r="A948" s="25"/>
      <c r="B948" s="142"/>
      <c r="C948" s="143"/>
      <c r="D948" s="144"/>
      <c r="E948" s="144"/>
      <c r="F948" s="144"/>
      <c r="G948" s="25"/>
      <c r="H948" s="28"/>
      <c r="I948" s="14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2.0" customHeight="1">
      <c r="A949" s="25"/>
      <c r="B949" s="142"/>
      <c r="C949" s="143"/>
      <c r="D949" s="144"/>
      <c r="E949" s="144"/>
      <c r="F949" s="144"/>
      <c r="G949" s="25"/>
      <c r="H949" s="28"/>
      <c r="I949" s="14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2.0" customHeight="1">
      <c r="A950" s="25"/>
      <c r="B950" s="142"/>
      <c r="C950" s="143"/>
      <c r="D950" s="144"/>
      <c r="E950" s="144"/>
      <c r="F950" s="144"/>
      <c r="G950" s="25"/>
      <c r="H950" s="28"/>
      <c r="I950" s="14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2.0" customHeight="1">
      <c r="A951" s="25"/>
      <c r="B951" s="142"/>
      <c r="C951" s="143"/>
      <c r="D951" s="144"/>
      <c r="E951" s="144"/>
      <c r="F951" s="144"/>
      <c r="G951" s="25"/>
      <c r="H951" s="28"/>
      <c r="I951" s="14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2.0" customHeight="1">
      <c r="A952" s="25"/>
      <c r="B952" s="142"/>
      <c r="C952" s="143"/>
      <c r="D952" s="144"/>
      <c r="E952" s="144"/>
      <c r="F952" s="144"/>
      <c r="G952" s="25"/>
      <c r="H952" s="28"/>
      <c r="I952" s="14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2.0" customHeight="1">
      <c r="A953" s="25"/>
      <c r="B953" s="142"/>
      <c r="C953" s="143"/>
      <c r="D953" s="144"/>
      <c r="E953" s="144"/>
      <c r="F953" s="144"/>
      <c r="G953" s="25"/>
      <c r="H953" s="28"/>
      <c r="I953" s="14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2.0" customHeight="1">
      <c r="A954" s="25"/>
      <c r="B954" s="142"/>
      <c r="C954" s="143"/>
      <c r="D954" s="144"/>
      <c r="E954" s="144"/>
      <c r="F954" s="144"/>
      <c r="G954" s="25"/>
      <c r="H954" s="28"/>
      <c r="I954" s="14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2.0" customHeight="1">
      <c r="A955" s="25"/>
      <c r="B955" s="142"/>
      <c r="C955" s="143"/>
      <c r="D955" s="144"/>
      <c r="E955" s="144"/>
      <c r="F955" s="144"/>
      <c r="G955" s="25"/>
      <c r="H955" s="28"/>
      <c r="I955" s="14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2.0" customHeight="1">
      <c r="A956" s="25"/>
      <c r="B956" s="142"/>
      <c r="C956" s="143"/>
      <c r="D956" s="144"/>
      <c r="E956" s="144"/>
      <c r="F956" s="144"/>
      <c r="G956" s="25"/>
      <c r="H956" s="28"/>
      <c r="I956" s="14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2.0" customHeight="1">
      <c r="A957" s="25"/>
      <c r="B957" s="142"/>
      <c r="C957" s="143"/>
      <c r="D957" s="144"/>
      <c r="E957" s="144"/>
      <c r="F957" s="144"/>
      <c r="G957" s="25"/>
      <c r="H957" s="28"/>
      <c r="I957" s="14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2.0" customHeight="1">
      <c r="A958" s="25"/>
      <c r="B958" s="142"/>
      <c r="C958" s="143"/>
      <c r="D958" s="144"/>
      <c r="E958" s="144"/>
      <c r="F958" s="144"/>
      <c r="G958" s="25"/>
      <c r="H958" s="28"/>
      <c r="I958" s="14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2.0" customHeight="1">
      <c r="A959" s="25"/>
      <c r="B959" s="142"/>
      <c r="C959" s="143"/>
      <c r="D959" s="144"/>
      <c r="E959" s="144"/>
      <c r="F959" s="144"/>
      <c r="G959" s="25"/>
      <c r="H959" s="28"/>
      <c r="I959" s="14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2.0" customHeight="1">
      <c r="A960" s="25"/>
      <c r="B960" s="142"/>
      <c r="C960" s="143"/>
      <c r="D960" s="144"/>
      <c r="E960" s="144"/>
      <c r="F960" s="144"/>
      <c r="G960" s="25"/>
      <c r="H960" s="28"/>
      <c r="I960" s="14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2.0" customHeight="1">
      <c r="A961" s="25"/>
      <c r="B961" s="142"/>
      <c r="C961" s="143"/>
      <c r="D961" s="144"/>
      <c r="E961" s="144"/>
      <c r="F961" s="144"/>
      <c r="G961" s="25"/>
      <c r="H961" s="28"/>
      <c r="I961" s="14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2.0" customHeight="1">
      <c r="A962" s="25"/>
      <c r="B962" s="142"/>
      <c r="C962" s="143"/>
      <c r="D962" s="144"/>
      <c r="E962" s="144"/>
      <c r="F962" s="144"/>
      <c r="G962" s="25"/>
      <c r="H962" s="28"/>
      <c r="I962" s="14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2.0" customHeight="1">
      <c r="A963" s="25"/>
      <c r="B963" s="142"/>
      <c r="C963" s="143"/>
      <c r="D963" s="144"/>
      <c r="E963" s="144"/>
      <c r="F963" s="144"/>
      <c r="G963" s="25"/>
      <c r="H963" s="28"/>
      <c r="I963" s="14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2.0" customHeight="1">
      <c r="A964" s="25"/>
      <c r="B964" s="142"/>
      <c r="C964" s="143"/>
      <c r="D964" s="144"/>
      <c r="E964" s="144"/>
      <c r="F964" s="144"/>
      <c r="G964" s="25"/>
      <c r="H964" s="28"/>
      <c r="I964" s="14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2.0" customHeight="1">
      <c r="A965" s="25"/>
      <c r="B965" s="142"/>
      <c r="C965" s="143"/>
      <c r="D965" s="144"/>
      <c r="E965" s="144"/>
      <c r="F965" s="144"/>
      <c r="G965" s="25"/>
      <c r="H965" s="28"/>
      <c r="I965" s="14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2.0" customHeight="1">
      <c r="A966" s="25"/>
      <c r="B966" s="142"/>
      <c r="C966" s="143"/>
      <c r="D966" s="144"/>
      <c r="E966" s="144"/>
      <c r="F966" s="144"/>
      <c r="G966" s="25"/>
      <c r="H966" s="28"/>
      <c r="I966" s="14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2.0" customHeight="1">
      <c r="A967" s="25"/>
      <c r="B967" s="142"/>
      <c r="C967" s="143"/>
      <c r="D967" s="144"/>
      <c r="E967" s="144"/>
      <c r="F967" s="144"/>
      <c r="G967" s="25"/>
      <c r="H967" s="28"/>
      <c r="I967" s="14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2.0" customHeight="1">
      <c r="A968" s="25"/>
      <c r="B968" s="142"/>
      <c r="C968" s="143"/>
      <c r="D968" s="144"/>
      <c r="E968" s="144"/>
      <c r="F968" s="144"/>
      <c r="G968" s="25"/>
      <c r="H968" s="28"/>
      <c r="I968" s="14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2.0" customHeight="1">
      <c r="A969" s="25"/>
      <c r="B969" s="142"/>
      <c r="C969" s="143"/>
      <c r="D969" s="144"/>
      <c r="E969" s="144"/>
      <c r="F969" s="144"/>
      <c r="G969" s="25"/>
      <c r="H969" s="28"/>
      <c r="I969" s="14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2.0" customHeight="1">
      <c r="A970" s="25"/>
      <c r="B970" s="142"/>
      <c r="C970" s="143"/>
      <c r="D970" s="144"/>
      <c r="E970" s="144"/>
      <c r="F970" s="144"/>
      <c r="G970" s="25"/>
      <c r="H970" s="28"/>
      <c r="I970" s="14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2.0" customHeight="1">
      <c r="A971" s="25"/>
      <c r="B971" s="142"/>
      <c r="C971" s="143"/>
      <c r="D971" s="144"/>
      <c r="E971" s="144"/>
      <c r="F971" s="144"/>
      <c r="G971" s="25"/>
      <c r="H971" s="28"/>
      <c r="I971" s="14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2.0" customHeight="1">
      <c r="A972" s="25"/>
      <c r="B972" s="142"/>
      <c r="C972" s="143"/>
      <c r="D972" s="144"/>
      <c r="E972" s="144"/>
      <c r="F972" s="144"/>
      <c r="G972" s="25"/>
      <c r="H972" s="28"/>
      <c r="I972" s="14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2.0" customHeight="1">
      <c r="A973" s="25"/>
      <c r="B973" s="142"/>
      <c r="C973" s="143"/>
      <c r="D973" s="144"/>
      <c r="E973" s="144"/>
      <c r="F973" s="144"/>
      <c r="G973" s="25"/>
      <c r="H973" s="28"/>
      <c r="I973" s="14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2.0" customHeight="1">
      <c r="A974" s="25"/>
      <c r="B974" s="142"/>
      <c r="C974" s="143"/>
      <c r="D974" s="144"/>
      <c r="E974" s="144"/>
      <c r="F974" s="144"/>
      <c r="G974" s="25"/>
      <c r="H974" s="28"/>
      <c r="I974" s="14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2.0" customHeight="1">
      <c r="A975" s="25"/>
      <c r="B975" s="142"/>
      <c r="C975" s="143"/>
      <c r="D975" s="144"/>
      <c r="E975" s="144"/>
      <c r="F975" s="144"/>
      <c r="G975" s="25"/>
      <c r="H975" s="28"/>
      <c r="I975" s="14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2.0" customHeight="1">
      <c r="A976" s="25"/>
      <c r="B976" s="142"/>
      <c r="C976" s="143"/>
      <c r="D976" s="144"/>
      <c r="E976" s="144"/>
      <c r="F976" s="144"/>
      <c r="G976" s="25"/>
      <c r="H976" s="28"/>
      <c r="I976" s="14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2.0" customHeight="1">
      <c r="A977" s="25"/>
      <c r="B977" s="142"/>
      <c r="C977" s="143"/>
      <c r="D977" s="144"/>
      <c r="E977" s="144"/>
      <c r="F977" s="144"/>
      <c r="G977" s="25"/>
      <c r="H977" s="28"/>
      <c r="I977" s="14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2.0" customHeight="1">
      <c r="A978" s="25"/>
      <c r="B978" s="142"/>
      <c r="C978" s="143"/>
      <c r="D978" s="144"/>
      <c r="E978" s="144"/>
      <c r="F978" s="144"/>
      <c r="G978" s="25"/>
      <c r="H978" s="28"/>
      <c r="I978" s="14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2.0" customHeight="1">
      <c r="A979" s="25"/>
      <c r="B979" s="142"/>
      <c r="C979" s="143"/>
      <c r="D979" s="144"/>
      <c r="E979" s="144"/>
      <c r="F979" s="144"/>
      <c r="G979" s="25"/>
      <c r="H979" s="28"/>
      <c r="I979" s="14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2.0" customHeight="1">
      <c r="A980" s="25"/>
      <c r="B980" s="142"/>
      <c r="C980" s="143"/>
      <c r="D980" s="144"/>
      <c r="E980" s="144"/>
      <c r="F980" s="144"/>
      <c r="G980" s="25"/>
      <c r="H980" s="28"/>
      <c r="I980" s="14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2.0" customHeight="1">
      <c r="A981" s="25"/>
      <c r="B981" s="142"/>
      <c r="C981" s="143"/>
      <c r="D981" s="144"/>
      <c r="E981" s="144"/>
      <c r="F981" s="144"/>
      <c r="G981" s="25"/>
      <c r="H981" s="28"/>
      <c r="I981" s="14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2.0" customHeight="1">
      <c r="A982" s="25"/>
      <c r="B982" s="142"/>
      <c r="C982" s="143"/>
      <c r="D982" s="144"/>
      <c r="E982" s="144"/>
      <c r="F982" s="144"/>
      <c r="G982" s="25"/>
      <c r="H982" s="28"/>
      <c r="I982" s="14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2.0" customHeight="1">
      <c r="A983" s="25"/>
      <c r="B983" s="142"/>
      <c r="C983" s="143"/>
      <c r="D983" s="144"/>
      <c r="E983" s="144"/>
      <c r="F983" s="144"/>
      <c r="G983" s="25"/>
      <c r="H983" s="28"/>
      <c r="I983" s="14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2.0" customHeight="1">
      <c r="A984" s="25"/>
      <c r="B984" s="142"/>
      <c r="C984" s="143"/>
      <c r="D984" s="144"/>
      <c r="E984" s="144"/>
      <c r="F984" s="144"/>
      <c r="G984" s="25"/>
      <c r="H984" s="28"/>
      <c r="I984" s="14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2.0" customHeight="1">
      <c r="A985" s="25"/>
      <c r="B985" s="142"/>
      <c r="C985" s="143"/>
      <c r="D985" s="144"/>
      <c r="E985" s="144"/>
      <c r="F985" s="144"/>
      <c r="G985" s="25"/>
      <c r="H985" s="28"/>
      <c r="I985" s="14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2.0" customHeight="1">
      <c r="A986" s="25"/>
      <c r="B986" s="142"/>
      <c r="C986" s="143"/>
      <c r="D986" s="144"/>
      <c r="E986" s="144"/>
      <c r="F986" s="144"/>
      <c r="G986" s="25"/>
      <c r="H986" s="28"/>
      <c r="I986" s="14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2.0" customHeight="1">
      <c r="A987" s="25"/>
      <c r="B987" s="142"/>
      <c r="C987" s="143"/>
      <c r="D987" s="144"/>
      <c r="E987" s="144"/>
      <c r="F987" s="144"/>
      <c r="G987" s="25"/>
      <c r="H987" s="28"/>
      <c r="I987" s="14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2.0" customHeight="1">
      <c r="A988" s="25"/>
      <c r="B988" s="142"/>
      <c r="C988" s="143"/>
      <c r="D988" s="144"/>
      <c r="E988" s="144"/>
      <c r="F988" s="144"/>
      <c r="G988" s="25"/>
      <c r="H988" s="28"/>
      <c r="I988" s="14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2.0" customHeight="1">
      <c r="A989" s="25"/>
      <c r="B989" s="142"/>
      <c r="C989" s="143"/>
      <c r="D989" s="144"/>
      <c r="E989" s="144"/>
      <c r="F989" s="144"/>
      <c r="G989" s="25"/>
      <c r="H989" s="28"/>
      <c r="I989" s="14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2.0" customHeight="1">
      <c r="A990" s="25"/>
      <c r="B990" s="142"/>
      <c r="C990" s="143"/>
      <c r="D990" s="144"/>
      <c r="E990" s="144"/>
      <c r="F990" s="144"/>
      <c r="G990" s="25"/>
      <c r="H990" s="28"/>
      <c r="I990" s="14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2.0" customHeight="1">
      <c r="A991" s="25"/>
      <c r="B991" s="142"/>
      <c r="C991" s="143"/>
      <c r="D991" s="144"/>
      <c r="E991" s="144"/>
      <c r="F991" s="144"/>
      <c r="G991" s="25"/>
      <c r="H991" s="28"/>
      <c r="I991" s="14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2.0" customHeight="1">
      <c r="A992" s="25"/>
      <c r="B992" s="142"/>
      <c r="C992" s="143"/>
      <c r="D992" s="144"/>
      <c r="E992" s="144"/>
      <c r="F992" s="144"/>
      <c r="G992" s="25"/>
      <c r="H992" s="28"/>
      <c r="I992" s="14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2.0" customHeight="1">
      <c r="A993" s="25"/>
      <c r="B993" s="142"/>
      <c r="C993" s="143"/>
      <c r="D993" s="144"/>
      <c r="E993" s="144"/>
      <c r="F993" s="144"/>
      <c r="G993" s="25"/>
      <c r="H993" s="28"/>
      <c r="I993" s="14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2.0" customHeight="1">
      <c r="A994" s="25"/>
      <c r="B994" s="142"/>
      <c r="C994" s="143"/>
      <c r="D994" s="144"/>
      <c r="E994" s="144"/>
      <c r="F994" s="144"/>
      <c r="G994" s="25"/>
      <c r="H994" s="28"/>
      <c r="I994" s="14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2.0" customHeight="1">
      <c r="A995" s="25"/>
      <c r="B995" s="142"/>
      <c r="C995" s="143"/>
      <c r="D995" s="144"/>
      <c r="E995" s="144"/>
      <c r="F995" s="144"/>
      <c r="G995" s="25"/>
      <c r="H995" s="28"/>
      <c r="I995" s="14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2.0" customHeight="1">
      <c r="A996" s="25"/>
      <c r="B996" s="142"/>
      <c r="C996" s="143"/>
      <c r="D996" s="144"/>
      <c r="E996" s="144"/>
      <c r="F996" s="144"/>
      <c r="G996" s="25"/>
      <c r="H996" s="28"/>
      <c r="I996" s="14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2.0" customHeight="1">
      <c r="A997" s="25"/>
      <c r="B997" s="142"/>
      <c r="C997" s="143"/>
      <c r="D997" s="144"/>
      <c r="E997" s="144"/>
      <c r="F997" s="144"/>
      <c r="G997" s="25"/>
      <c r="H997" s="28"/>
      <c r="I997" s="14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2.0" customHeight="1">
      <c r="A998" s="25"/>
      <c r="B998" s="142"/>
      <c r="C998" s="143"/>
      <c r="D998" s="144"/>
      <c r="E998" s="144"/>
      <c r="F998" s="144"/>
      <c r="G998" s="25"/>
      <c r="H998" s="28"/>
      <c r="I998" s="14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2.0" customHeight="1">
      <c r="A999" s="25"/>
      <c r="B999" s="142"/>
      <c r="C999" s="143"/>
      <c r="D999" s="144"/>
      <c r="E999" s="144"/>
      <c r="F999" s="144"/>
      <c r="G999" s="25"/>
      <c r="H999" s="28"/>
      <c r="I999" s="14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2.0" customHeight="1">
      <c r="A1000" s="25"/>
      <c r="B1000" s="142"/>
      <c r="C1000" s="143"/>
      <c r="D1000" s="144"/>
      <c r="E1000" s="144"/>
      <c r="F1000" s="144"/>
      <c r="G1000" s="25"/>
      <c r="H1000" s="28"/>
      <c r="I1000" s="14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ataValidations>
    <dataValidation type="list" allowBlank="1" showErrorMessage="1" sqref="F1:F1000">
      <formula1>"입금,출금"</formula1>
    </dataValidation>
  </dataValidations>
  <printOptions/>
  <pageMargins bottom="0.75" footer="0.0" header="0.0" left="0.7" right="0.7" top="0.75"/>
  <pageSetup orientation="portrait"/>
  <rowBreaks count="1" manualBreakCount="1">
    <brk id="460" man="1"/>
  </rowBreaks>
  <colBreaks count="1" manualBreakCount="1">
    <brk id="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F3F3F"/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26.86"/>
    <col customWidth="1" min="3" max="3" width="2.86"/>
    <col customWidth="1" min="4" max="4" width="16.14"/>
    <col customWidth="1" min="5" max="5" width="17.43"/>
    <col customWidth="1" min="6" max="59" width="10.14"/>
    <col customWidth="1" min="60" max="60" width="12.43"/>
    <col customWidth="1" min="61" max="61" width="9.0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>
      <c r="A23" s="149"/>
      <c r="B23" s="149"/>
      <c r="C23" s="149"/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F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.14"/>
    <col customWidth="1" min="2" max="2" width="9.86"/>
    <col customWidth="1" min="3" max="3" width="10.14"/>
    <col customWidth="1" min="4" max="4" width="2.43"/>
    <col customWidth="1" min="5" max="5" width="6.57"/>
    <col customWidth="1" min="6" max="6" width="12.43"/>
    <col customWidth="1" min="7" max="7" width="12.14"/>
    <col customWidth="1" min="8" max="8" width="13.57"/>
    <col customWidth="1" min="9" max="9" width="12.14"/>
    <col customWidth="1" min="10" max="10" width="11.14"/>
    <col customWidth="1" min="11" max="11" width="2.0"/>
    <col customWidth="1" min="12" max="12" width="9.0"/>
    <col customWidth="1" min="13" max="13" width="11.14"/>
    <col customWidth="1" min="14" max="14" width="2.43"/>
    <col customWidth="1" min="15" max="31" width="9.0"/>
    <col customWidth="1" min="32" max="32" width="8.14"/>
    <col customWidth="1" min="33" max="33" width="14.0"/>
    <col customWidth="1" min="34" max="35" width="17.86"/>
  </cols>
  <sheetData>
    <row r="1" ht="12.0" customHeight="1">
      <c r="B1" s="15"/>
      <c r="C1" s="15"/>
      <c r="F1" s="59"/>
      <c r="H1" s="5"/>
      <c r="M1" s="4"/>
    </row>
    <row r="2" ht="12.0" customHeight="1">
      <c r="B2" s="15"/>
      <c r="C2" s="15"/>
      <c r="F2" s="59"/>
      <c r="G2" s="4"/>
      <c r="H2" s="5"/>
      <c r="J2" s="4"/>
      <c r="M2" s="4"/>
    </row>
    <row r="3" ht="12.0" customHeight="1">
      <c r="E3" s="162" t="s">
        <v>989</v>
      </c>
      <c r="F3" s="162" t="s">
        <v>990</v>
      </c>
      <c r="G3" s="57" t="s">
        <v>991</v>
      </c>
      <c r="H3" s="163" t="s">
        <v>992</v>
      </c>
      <c r="I3" s="57" t="s">
        <v>993</v>
      </c>
      <c r="J3" s="164" t="s">
        <v>994</v>
      </c>
      <c r="L3" s="165" t="s">
        <v>995</v>
      </c>
      <c r="M3" s="166">
        <f>COUNT(B:B)</f>
        <v>53</v>
      </c>
    </row>
    <row r="4" ht="12.0" customHeight="1">
      <c r="E4" s="168">
        <v>1.0</v>
      </c>
      <c r="F4" s="168" t="str">
        <f t="shared" ref="F4:F56" si="1">IF(AND(B4&lt;&gt;"총합계",B4&lt;&gt;""),변동비기준,0)</f>
        <v>#NAME?</v>
      </c>
      <c r="G4" s="92" t="str">
        <f t="shared" ref="G4:G56" si="2">IF(F4&lt;&gt;"",F4-C4,"")</f>
        <v>#NAME?</v>
      </c>
      <c r="H4" s="168">
        <f>C4</f>
        <v>139688</v>
      </c>
      <c r="I4" s="92" t="str">
        <f>F4</f>
        <v>#NAME?</v>
      </c>
      <c r="J4" s="92" t="str">
        <f t="shared" ref="J4:J56" si="3">I4-H4</f>
        <v>#NAME?</v>
      </c>
      <c r="L4" s="169" t="s">
        <v>999</v>
      </c>
      <c r="M4" s="170" t="str">
        <f>SUM(G:G)</f>
        <v>#NAME?</v>
      </c>
    </row>
    <row r="5" ht="12.0" customHeight="1">
      <c r="E5" s="168">
        <f t="shared" ref="E5:E56" si="4">E4+1</f>
        <v>2</v>
      </c>
      <c r="F5" s="168" t="str">
        <f t="shared" si="1"/>
        <v>#NAME?</v>
      </c>
      <c r="G5" s="92" t="str">
        <f t="shared" si="2"/>
        <v>#NAME?</v>
      </c>
      <c r="H5" s="168">
        <f t="shared" ref="H5:H56" si="5">H4+C5</f>
        <v>549657</v>
      </c>
      <c r="I5" s="92" t="str">
        <f t="shared" ref="I5:I56" si="6">I4+F5</f>
        <v>#NAME?</v>
      </c>
      <c r="J5" s="92" t="str">
        <f t="shared" si="3"/>
        <v>#NAME?</v>
      </c>
      <c r="L5" s="172" t="str">
        <f>IF(M4&gt;0,"GOOD!!","BAD!!")</f>
        <v>#NAME?</v>
      </c>
      <c r="M5" s="173"/>
    </row>
    <row r="6" ht="12.0" customHeight="1">
      <c r="E6" s="168">
        <f t="shared" si="4"/>
        <v>3</v>
      </c>
      <c r="F6" s="168" t="str">
        <f t="shared" si="1"/>
        <v>#NAME?</v>
      </c>
      <c r="G6" s="92" t="str">
        <f t="shared" si="2"/>
        <v>#NAME?</v>
      </c>
      <c r="H6" s="168">
        <f t="shared" si="5"/>
        <v>966349</v>
      </c>
      <c r="I6" s="92" t="str">
        <f t="shared" si="6"/>
        <v>#NAME?</v>
      </c>
      <c r="J6" s="92" t="str">
        <f t="shared" si="3"/>
        <v>#NAME?</v>
      </c>
    </row>
    <row r="7" ht="12.0" customHeight="1">
      <c r="E7" s="168">
        <f t="shared" si="4"/>
        <v>4</v>
      </c>
      <c r="F7" s="168" t="str">
        <f t="shared" si="1"/>
        <v>#NAME?</v>
      </c>
      <c r="G7" s="92" t="str">
        <f t="shared" si="2"/>
        <v>#NAME?</v>
      </c>
      <c r="H7" s="168">
        <f t="shared" si="5"/>
        <v>1138835</v>
      </c>
      <c r="I7" s="92" t="str">
        <f t="shared" si="6"/>
        <v>#NAME?</v>
      </c>
      <c r="J7" s="92" t="str">
        <f t="shared" si="3"/>
        <v>#NAME?</v>
      </c>
    </row>
    <row r="8" ht="12.0" customHeight="1">
      <c r="E8" s="168">
        <f t="shared" si="4"/>
        <v>5</v>
      </c>
      <c r="F8" s="168" t="str">
        <f t="shared" si="1"/>
        <v>#NAME?</v>
      </c>
      <c r="G8" s="92" t="str">
        <f t="shared" si="2"/>
        <v>#NAME?</v>
      </c>
      <c r="H8" s="168">
        <f t="shared" si="5"/>
        <v>1220368</v>
      </c>
      <c r="I8" s="92" t="str">
        <f t="shared" si="6"/>
        <v>#NAME?</v>
      </c>
      <c r="J8" s="92" t="str">
        <f t="shared" si="3"/>
        <v>#NAME?</v>
      </c>
      <c r="M8" s="4"/>
    </row>
    <row r="9" ht="12.0" customHeight="1">
      <c r="E9" s="168">
        <f t="shared" si="4"/>
        <v>6</v>
      </c>
      <c r="F9" s="168" t="str">
        <f t="shared" si="1"/>
        <v>#NAME?</v>
      </c>
      <c r="G9" s="92" t="str">
        <f t="shared" si="2"/>
        <v>#NAME?</v>
      </c>
      <c r="H9" s="168">
        <f t="shared" si="5"/>
        <v>1472063</v>
      </c>
      <c r="I9" s="92" t="str">
        <f t="shared" si="6"/>
        <v>#NAME?</v>
      </c>
      <c r="J9" s="92" t="str">
        <f t="shared" si="3"/>
        <v>#NAME?</v>
      </c>
      <c r="M9" s="4"/>
    </row>
    <row r="10" ht="12.0" customHeight="1">
      <c r="E10" s="168">
        <f t="shared" si="4"/>
        <v>7</v>
      </c>
      <c r="F10" s="168" t="str">
        <f t="shared" si="1"/>
        <v>#NAME?</v>
      </c>
      <c r="G10" s="92" t="str">
        <f t="shared" si="2"/>
        <v>#NAME?</v>
      </c>
      <c r="H10" s="168">
        <f t="shared" si="5"/>
        <v>1786935</v>
      </c>
      <c r="I10" s="92" t="str">
        <f t="shared" si="6"/>
        <v>#NAME?</v>
      </c>
      <c r="J10" s="92" t="str">
        <f t="shared" si="3"/>
        <v>#NAME?</v>
      </c>
      <c r="M10" s="4"/>
    </row>
    <row r="11" ht="12.0" customHeight="1">
      <c r="E11" s="168">
        <f t="shared" si="4"/>
        <v>8</v>
      </c>
      <c r="F11" s="168" t="str">
        <f t="shared" si="1"/>
        <v>#NAME?</v>
      </c>
      <c r="G11" s="92" t="str">
        <f t="shared" si="2"/>
        <v>#NAME?</v>
      </c>
      <c r="H11" s="168">
        <f t="shared" si="5"/>
        <v>2325779</v>
      </c>
      <c r="I11" s="92" t="str">
        <f t="shared" si="6"/>
        <v>#NAME?</v>
      </c>
      <c r="J11" s="92" t="str">
        <f t="shared" si="3"/>
        <v>#NAME?</v>
      </c>
      <c r="M11" s="4"/>
    </row>
    <row r="12" ht="12.0" customHeight="1">
      <c r="E12" s="168">
        <f t="shared" si="4"/>
        <v>9</v>
      </c>
      <c r="F12" s="168" t="str">
        <f t="shared" si="1"/>
        <v>#NAME?</v>
      </c>
      <c r="G12" s="92" t="str">
        <f t="shared" si="2"/>
        <v>#NAME?</v>
      </c>
      <c r="H12" s="168">
        <f t="shared" si="5"/>
        <v>2495392</v>
      </c>
      <c r="I12" s="92" t="str">
        <f t="shared" si="6"/>
        <v>#NAME?</v>
      </c>
      <c r="J12" s="92" t="str">
        <f t="shared" si="3"/>
        <v>#NAME?</v>
      </c>
      <c r="M12" s="4"/>
    </row>
    <row r="13" ht="12.0" customHeight="1">
      <c r="E13" s="168">
        <f t="shared" si="4"/>
        <v>10</v>
      </c>
      <c r="F13" s="168" t="str">
        <f t="shared" si="1"/>
        <v>#NAME?</v>
      </c>
      <c r="G13" s="92" t="str">
        <f t="shared" si="2"/>
        <v>#NAME?</v>
      </c>
      <c r="H13" s="168">
        <f t="shared" si="5"/>
        <v>3014673</v>
      </c>
      <c r="I13" s="92" t="str">
        <f t="shared" si="6"/>
        <v>#NAME?</v>
      </c>
      <c r="J13" s="92" t="str">
        <f t="shared" si="3"/>
        <v>#NAME?</v>
      </c>
      <c r="M13" s="4"/>
    </row>
    <row r="14" ht="12.0" customHeight="1">
      <c r="E14" s="168">
        <f t="shared" si="4"/>
        <v>11</v>
      </c>
      <c r="F14" s="168" t="str">
        <f t="shared" si="1"/>
        <v>#NAME?</v>
      </c>
      <c r="G14" s="92" t="str">
        <f t="shared" si="2"/>
        <v>#NAME?</v>
      </c>
      <c r="H14" s="168">
        <f t="shared" si="5"/>
        <v>3402724</v>
      </c>
      <c r="I14" s="92" t="str">
        <f t="shared" si="6"/>
        <v>#NAME?</v>
      </c>
      <c r="J14" s="92" t="str">
        <f t="shared" si="3"/>
        <v>#NAME?</v>
      </c>
      <c r="M14" s="4"/>
    </row>
    <row r="15" ht="12.0" customHeight="1">
      <c r="E15" s="168">
        <f t="shared" si="4"/>
        <v>12</v>
      </c>
      <c r="F15" s="168" t="str">
        <f t="shared" si="1"/>
        <v>#NAME?</v>
      </c>
      <c r="G15" s="92" t="str">
        <f t="shared" si="2"/>
        <v>#NAME?</v>
      </c>
      <c r="H15" s="168">
        <f t="shared" si="5"/>
        <v>3803024</v>
      </c>
      <c r="I15" s="92" t="str">
        <f t="shared" si="6"/>
        <v>#NAME?</v>
      </c>
      <c r="J15" s="92" t="str">
        <f t="shared" si="3"/>
        <v>#NAME?</v>
      </c>
      <c r="M15" s="4"/>
    </row>
    <row r="16" ht="12.0" customHeight="1">
      <c r="E16" s="168">
        <f t="shared" si="4"/>
        <v>13</v>
      </c>
      <c r="F16" s="168" t="str">
        <f t="shared" si="1"/>
        <v>#NAME?</v>
      </c>
      <c r="G16" s="92" t="str">
        <f t="shared" si="2"/>
        <v>#NAME?</v>
      </c>
      <c r="H16" s="168">
        <f t="shared" si="5"/>
        <v>3986889</v>
      </c>
      <c r="I16" s="92" t="str">
        <f t="shared" si="6"/>
        <v>#NAME?</v>
      </c>
      <c r="J16" s="92" t="str">
        <f t="shared" si="3"/>
        <v>#NAME?</v>
      </c>
      <c r="M16" s="4"/>
    </row>
    <row r="17" ht="12.0" customHeight="1">
      <c r="E17" s="168">
        <f t="shared" si="4"/>
        <v>14</v>
      </c>
      <c r="F17" s="168" t="str">
        <f t="shared" si="1"/>
        <v>#NAME?</v>
      </c>
      <c r="G17" s="92" t="str">
        <f t="shared" si="2"/>
        <v>#NAME?</v>
      </c>
      <c r="H17" s="168">
        <f t="shared" si="5"/>
        <v>4581455</v>
      </c>
      <c r="I17" s="92" t="str">
        <f t="shared" si="6"/>
        <v>#NAME?</v>
      </c>
      <c r="J17" s="92" t="str">
        <f t="shared" si="3"/>
        <v>#NAME?</v>
      </c>
      <c r="M17" s="4"/>
    </row>
    <row r="18" ht="12.0" customHeight="1">
      <c r="E18" s="168">
        <f t="shared" si="4"/>
        <v>15</v>
      </c>
      <c r="F18" s="168" t="str">
        <f t="shared" si="1"/>
        <v>#NAME?</v>
      </c>
      <c r="G18" s="92" t="str">
        <f t="shared" si="2"/>
        <v>#NAME?</v>
      </c>
      <c r="H18" s="168">
        <f t="shared" si="5"/>
        <v>4828683</v>
      </c>
      <c r="I18" s="92" t="str">
        <f t="shared" si="6"/>
        <v>#NAME?</v>
      </c>
      <c r="J18" s="92" t="str">
        <f t="shared" si="3"/>
        <v>#NAME?</v>
      </c>
      <c r="M18" s="4"/>
    </row>
    <row r="19" ht="12.0" customHeight="1">
      <c r="E19" s="168">
        <f t="shared" si="4"/>
        <v>16</v>
      </c>
      <c r="F19" s="168" t="str">
        <f t="shared" si="1"/>
        <v>#NAME?</v>
      </c>
      <c r="G19" s="92" t="str">
        <f t="shared" si="2"/>
        <v>#NAME?</v>
      </c>
      <c r="H19" s="168">
        <f t="shared" si="5"/>
        <v>5358664</v>
      </c>
      <c r="I19" s="92" t="str">
        <f t="shared" si="6"/>
        <v>#NAME?</v>
      </c>
      <c r="J19" s="92" t="str">
        <f t="shared" si="3"/>
        <v>#NAME?</v>
      </c>
      <c r="M19" s="4"/>
    </row>
    <row r="20" ht="12.0" customHeight="1">
      <c r="E20" s="168">
        <f t="shared" si="4"/>
        <v>17</v>
      </c>
      <c r="F20" s="168" t="str">
        <f t="shared" si="1"/>
        <v>#NAME?</v>
      </c>
      <c r="G20" s="92" t="str">
        <f t="shared" si="2"/>
        <v>#NAME?</v>
      </c>
      <c r="H20" s="168">
        <f t="shared" si="5"/>
        <v>5540104</v>
      </c>
      <c r="I20" s="92" t="str">
        <f t="shared" si="6"/>
        <v>#NAME?</v>
      </c>
      <c r="J20" s="92" t="str">
        <f t="shared" si="3"/>
        <v>#NAME?</v>
      </c>
      <c r="M20" s="4"/>
    </row>
    <row r="21" ht="12.0" customHeight="1">
      <c r="E21" s="168">
        <f t="shared" si="4"/>
        <v>18</v>
      </c>
      <c r="F21" s="168" t="str">
        <f t="shared" si="1"/>
        <v>#NAME?</v>
      </c>
      <c r="G21" s="92" t="str">
        <f t="shared" si="2"/>
        <v>#NAME?</v>
      </c>
      <c r="H21" s="168">
        <f t="shared" si="5"/>
        <v>5872006</v>
      </c>
      <c r="I21" s="92" t="str">
        <f t="shared" si="6"/>
        <v>#NAME?</v>
      </c>
      <c r="J21" s="92" t="str">
        <f t="shared" si="3"/>
        <v>#NAME?</v>
      </c>
      <c r="M21" s="4"/>
    </row>
    <row r="22" ht="12.0" customHeight="1">
      <c r="E22" s="168">
        <f t="shared" si="4"/>
        <v>19</v>
      </c>
      <c r="F22" s="168" t="str">
        <f t="shared" si="1"/>
        <v>#NAME?</v>
      </c>
      <c r="G22" s="92" t="str">
        <f t="shared" si="2"/>
        <v>#NAME?</v>
      </c>
      <c r="H22" s="168">
        <f t="shared" si="5"/>
        <v>6176526</v>
      </c>
      <c r="I22" s="92" t="str">
        <f t="shared" si="6"/>
        <v>#NAME?</v>
      </c>
      <c r="J22" s="92" t="str">
        <f t="shared" si="3"/>
        <v>#NAME?</v>
      </c>
      <c r="M22" s="4"/>
    </row>
    <row r="23" ht="12.0" customHeight="1">
      <c r="E23" s="168">
        <f t="shared" si="4"/>
        <v>20</v>
      </c>
      <c r="F23" s="168" t="str">
        <f t="shared" si="1"/>
        <v>#NAME?</v>
      </c>
      <c r="G23" s="92" t="str">
        <f t="shared" si="2"/>
        <v>#NAME?</v>
      </c>
      <c r="H23" s="168">
        <f t="shared" si="5"/>
        <v>6560056</v>
      </c>
      <c r="I23" s="92" t="str">
        <f t="shared" si="6"/>
        <v>#NAME?</v>
      </c>
      <c r="J23" s="92" t="str">
        <f t="shared" si="3"/>
        <v>#NAME?</v>
      </c>
      <c r="M23" s="4"/>
    </row>
    <row r="24" ht="12.0" customHeight="1">
      <c r="E24" s="168">
        <f t="shared" si="4"/>
        <v>21</v>
      </c>
      <c r="F24" s="168" t="str">
        <f t="shared" si="1"/>
        <v>#NAME?</v>
      </c>
      <c r="G24" s="92" t="str">
        <f t="shared" si="2"/>
        <v>#NAME?</v>
      </c>
      <c r="H24" s="168">
        <f t="shared" si="5"/>
        <v>6873793</v>
      </c>
      <c r="I24" s="92" t="str">
        <f t="shared" si="6"/>
        <v>#NAME?</v>
      </c>
      <c r="J24" s="92" t="str">
        <f t="shared" si="3"/>
        <v>#NAME?</v>
      </c>
      <c r="M24" s="4"/>
    </row>
    <row r="25" ht="12.0" customHeight="1">
      <c r="E25" s="168">
        <f t="shared" si="4"/>
        <v>22</v>
      </c>
      <c r="F25" s="168" t="str">
        <f t="shared" si="1"/>
        <v>#NAME?</v>
      </c>
      <c r="G25" s="92" t="str">
        <f t="shared" si="2"/>
        <v>#NAME?</v>
      </c>
      <c r="H25" s="168">
        <f t="shared" si="5"/>
        <v>7258321</v>
      </c>
      <c r="I25" s="92" t="str">
        <f t="shared" si="6"/>
        <v>#NAME?</v>
      </c>
      <c r="J25" s="92" t="str">
        <f t="shared" si="3"/>
        <v>#NAME?</v>
      </c>
      <c r="M25" s="4"/>
    </row>
    <row r="26" ht="12.0" customHeight="1">
      <c r="E26" s="168">
        <f t="shared" si="4"/>
        <v>23</v>
      </c>
      <c r="F26" s="168" t="str">
        <f t="shared" si="1"/>
        <v>#NAME?</v>
      </c>
      <c r="G26" s="92" t="str">
        <f t="shared" si="2"/>
        <v>#NAME?</v>
      </c>
      <c r="H26" s="168">
        <f t="shared" si="5"/>
        <v>7475701</v>
      </c>
      <c r="I26" s="92" t="str">
        <f t="shared" si="6"/>
        <v>#NAME?</v>
      </c>
      <c r="J26" s="92" t="str">
        <f t="shared" si="3"/>
        <v>#NAME?</v>
      </c>
      <c r="M26" s="4"/>
    </row>
    <row r="27" ht="12.0" customHeight="1">
      <c r="E27" s="168">
        <f t="shared" si="4"/>
        <v>24</v>
      </c>
      <c r="F27" s="168" t="str">
        <f t="shared" si="1"/>
        <v>#NAME?</v>
      </c>
      <c r="G27" s="92" t="str">
        <f t="shared" si="2"/>
        <v>#NAME?</v>
      </c>
      <c r="H27" s="168">
        <f t="shared" si="5"/>
        <v>7821765</v>
      </c>
      <c r="I27" s="92" t="str">
        <f t="shared" si="6"/>
        <v>#NAME?</v>
      </c>
      <c r="J27" s="92" t="str">
        <f t="shared" si="3"/>
        <v>#NAME?</v>
      </c>
      <c r="M27" s="4"/>
    </row>
    <row r="28" ht="12.0" customHeight="1">
      <c r="E28" s="168">
        <f t="shared" si="4"/>
        <v>25</v>
      </c>
      <c r="F28" s="168" t="str">
        <f t="shared" si="1"/>
        <v>#NAME?</v>
      </c>
      <c r="G28" s="92" t="str">
        <f t="shared" si="2"/>
        <v>#NAME?</v>
      </c>
      <c r="H28" s="168">
        <f t="shared" si="5"/>
        <v>8302890</v>
      </c>
      <c r="I28" s="92" t="str">
        <f t="shared" si="6"/>
        <v>#NAME?</v>
      </c>
      <c r="J28" s="92" t="str">
        <f t="shared" si="3"/>
        <v>#NAME?</v>
      </c>
      <c r="M28" s="4"/>
    </row>
    <row r="29" ht="12.0" customHeight="1">
      <c r="E29" s="168">
        <f t="shared" si="4"/>
        <v>26</v>
      </c>
      <c r="F29" s="168" t="str">
        <f t="shared" si="1"/>
        <v>#NAME?</v>
      </c>
      <c r="G29" s="92" t="str">
        <f t="shared" si="2"/>
        <v>#NAME?</v>
      </c>
      <c r="H29" s="168">
        <f t="shared" si="5"/>
        <v>8666741</v>
      </c>
      <c r="I29" s="92" t="str">
        <f t="shared" si="6"/>
        <v>#NAME?</v>
      </c>
      <c r="J29" s="92" t="str">
        <f t="shared" si="3"/>
        <v>#NAME?</v>
      </c>
      <c r="M29" s="4"/>
    </row>
    <row r="30" ht="12.0" customHeight="1">
      <c r="E30" s="168">
        <f t="shared" si="4"/>
        <v>27</v>
      </c>
      <c r="F30" s="168" t="str">
        <f t="shared" si="1"/>
        <v>#NAME?</v>
      </c>
      <c r="G30" s="92" t="str">
        <f t="shared" si="2"/>
        <v>#NAME?</v>
      </c>
      <c r="H30" s="168">
        <f t="shared" si="5"/>
        <v>8891650</v>
      </c>
      <c r="I30" s="92" t="str">
        <f t="shared" si="6"/>
        <v>#NAME?</v>
      </c>
      <c r="J30" s="92" t="str">
        <f t="shared" si="3"/>
        <v>#NAME?</v>
      </c>
      <c r="M30" s="4"/>
    </row>
    <row r="31" ht="12.0" customHeight="1">
      <c r="E31" s="168">
        <f t="shared" si="4"/>
        <v>28</v>
      </c>
      <c r="F31" s="168" t="str">
        <f t="shared" si="1"/>
        <v>#NAME?</v>
      </c>
      <c r="G31" s="92" t="str">
        <f t="shared" si="2"/>
        <v>#NAME?</v>
      </c>
      <c r="H31" s="168">
        <f t="shared" si="5"/>
        <v>9060797</v>
      </c>
      <c r="I31" s="92" t="str">
        <f t="shared" si="6"/>
        <v>#NAME?</v>
      </c>
      <c r="J31" s="92" t="str">
        <f t="shared" si="3"/>
        <v>#NAME?</v>
      </c>
      <c r="M31" s="4"/>
    </row>
    <row r="32" ht="12.0" customHeight="1">
      <c r="E32" s="168">
        <f t="shared" si="4"/>
        <v>29</v>
      </c>
      <c r="F32" s="168" t="str">
        <f t="shared" si="1"/>
        <v>#NAME?</v>
      </c>
      <c r="G32" s="92" t="str">
        <f t="shared" si="2"/>
        <v>#NAME?</v>
      </c>
      <c r="H32" s="168">
        <f t="shared" si="5"/>
        <v>9178294</v>
      </c>
      <c r="I32" s="92" t="str">
        <f t="shared" si="6"/>
        <v>#NAME?</v>
      </c>
      <c r="J32" s="92" t="str">
        <f t="shared" si="3"/>
        <v>#NAME?</v>
      </c>
      <c r="M32" s="4"/>
    </row>
    <row r="33" ht="12.0" customHeight="1">
      <c r="E33" s="168">
        <f t="shared" si="4"/>
        <v>30</v>
      </c>
      <c r="F33" s="168" t="str">
        <f t="shared" si="1"/>
        <v>#NAME?</v>
      </c>
      <c r="G33" s="92" t="str">
        <f t="shared" si="2"/>
        <v>#NAME?</v>
      </c>
      <c r="H33" s="168">
        <f t="shared" si="5"/>
        <v>9450533</v>
      </c>
      <c r="I33" s="92" t="str">
        <f t="shared" si="6"/>
        <v>#NAME?</v>
      </c>
      <c r="J33" s="92" t="str">
        <f t="shared" si="3"/>
        <v>#NAME?</v>
      </c>
      <c r="M33" s="4"/>
    </row>
    <row r="34" ht="12.0" customHeight="1">
      <c r="E34" s="168">
        <f t="shared" si="4"/>
        <v>31</v>
      </c>
      <c r="F34" s="168" t="str">
        <f t="shared" si="1"/>
        <v>#NAME?</v>
      </c>
      <c r="G34" s="92" t="str">
        <f t="shared" si="2"/>
        <v>#NAME?</v>
      </c>
      <c r="H34" s="168">
        <f t="shared" si="5"/>
        <v>9553357</v>
      </c>
      <c r="I34" s="92" t="str">
        <f t="shared" si="6"/>
        <v>#NAME?</v>
      </c>
      <c r="J34" s="92" t="str">
        <f t="shared" si="3"/>
        <v>#NAME?</v>
      </c>
      <c r="M34" s="4"/>
    </row>
    <row r="35" ht="12.0" customHeight="1">
      <c r="E35" s="168">
        <f t="shared" si="4"/>
        <v>32</v>
      </c>
      <c r="F35" s="168" t="str">
        <f t="shared" si="1"/>
        <v>#NAME?</v>
      </c>
      <c r="G35" s="92" t="str">
        <f t="shared" si="2"/>
        <v>#NAME?</v>
      </c>
      <c r="H35" s="168">
        <f t="shared" si="5"/>
        <v>9992020</v>
      </c>
      <c r="I35" s="92" t="str">
        <f t="shared" si="6"/>
        <v>#NAME?</v>
      </c>
      <c r="J35" s="92" t="str">
        <f t="shared" si="3"/>
        <v>#NAME?</v>
      </c>
      <c r="M35" s="4"/>
    </row>
    <row r="36" ht="12.0" customHeight="1">
      <c r="E36" s="168">
        <f t="shared" si="4"/>
        <v>33</v>
      </c>
      <c r="F36" s="168" t="str">
        <f t="shared" si="1"/>
        <v>#NAME?</v>
      </c>
      <c r="G36" s="92" t="str">
        <f t="shared" si="2"/>
        <v>#NAME?</v>
      </c>
      <c r="H36" s="168">
        <f t="shared" si="5"/>
        <v>10433045</v>
      </c>
      <c r="I36" s="92" t="str">
        <f t="shared" si="6"/>
        <v>#NAME?</v>
      </c>
      <c r="J36" s="92" t="str">
        <f t="shared" si="3"/>
        <v>#NAME?</v>
      </c>
      <c r="M36" s="4"/>
    </row>
    <row r="37" ht="12.0" customHeight="1">
      <c r="E37" s="168">
        <f t="shared" si="4"/>
        <v>34</v>
      </c>
      <c r="F37" s="168" t="str">
        <f t="shared" si="1"/>
        <v>#NAME?</v>
      </c>
      <c r="G37" s="92" t="str">
        <f t="shared" si="2"/>
        <v>#NAME?</v>
      </c>
      <c r="H37" s="168">
        <f t="shared" si="5"/>
        <v>10786289</v>
      </c>
      <c r="I37" s="92" t="str">
        <f t="shared" si="6"/>
        <v>#NAME?</v>
      </c>
      <c r="J37" s="92" t="str">
        <f t="shared" si="3"/>
        <v>#NAME?</v>
      </c>
      <c r="M37" s="4"/>
    </row>
    <row r="38" ht="12.0" customHeight="1">
      <c r="E38" s="168">
        <f t="shared" si="4"/>
        <v>35</v>
      </c>
      <c r="F38" s="168" t="str">
        <f t="shared" si="1"/>
        <v>#NAME?</v>
      </c>
      <c r="G38" s="92" t="str">
        <f t="shared" si="2"/>
        <v>#NAME?</v>
      </c>
      <c r="H38" s="168">
        <f t="shared" si="5"/>
        <v>11004144</v>
      </c>
      <c r="I38" s="92" t="str">
        <f t="shared" si="6"/>
        <v>#NAME?</v>
      </c>
      <c r="J38" s="92" t="str">
        <f t="shared" si="3"/>
        <v>#NAME?</v>
      </c>
      <c r="M38" s="4"/>
    </row>
    <row r="39" ht="12.0" customHeight="1">
      <c r="E39" s="168">
        <f t="shared" si="4"/>
        <v>36</v>
      </c>
      <c r="F39" s="168" t="str">
        <f t="shared" si="1"/>
        <v>#NAME?</v>
      </c>
      <c r="G39" s="92" t="str">
        <f t="shared" si="2"/>
        <v>#NAME?</v>
      </c>
      <c r="H39" s="168">
        <f t="shared" si="5"/>
        <v>11614920</v>
      </c>
      <c r="I39" s="92" t="str">
        <f t="shared" si="6"/>
        <v>#NAME?</v>
      </c>
      <c r="J39" s="92" t="str">
        <f t="shared" si="3"/>
        <v>#NAME?</v>
      </c>
      <c r="M39" s="4"/>
    </row>
    <row r="40" ht="12.0" customHeight="1">
      <c r="E40" s="168">
        <f t="shared" si="4"/>
        <v>37</v>
      </c>
      <c r="F40" s="168" t="str">
        <f t="shared" si="1"/>
        <v>#NAME?</v>
      </c>
      <c r="G40" s="92" t="str">
        <f t="shared" si="2"/>
        <v>#NAME?</v>
      </c>
      <c r="H40" s="168">
        <f t="shared" si="5"/>
        <v>11786579</v>
      </c>
      <c r="I40" s="92" t="str">
        <f t="shared" si="6"/>
        <v>#NAME?</v>
      </c>
      <c r="J40" s="92" t="str">
        <f t="shared" si="3"/>
        <v>#NAME?</v>
      </c>
      <c r="M40" s="4"/>
    </row>
    <row r="41" ht="12.0" customHeight="1">
      <c r="E41" s="168">
        <f t="shared" si="4"/>
        <v>38</v>
      </c>
      <c r="F41" s="168" t="str">
        <f t="shared" si="1"/>
        <v>#NAME?</v>
      </c>
      <c r="G41" s="92" t="str">
        <f t="shared" si="2"/>
        <v>#NAME?</v>
      </c>
      <c r="H41" s="168">
        <f t="shared" si="5"/>
        <v>12075393</v>
      </c>
      <c r="I41" s="92" t="str">
        <f t="shared" si="6"/>
        <v>#NAME?</v>
      </c>
      <c r="J41" s="92" t="str">
        <f t="shared" si="3"/>
        <v>#NAME?</v>
      </c>
      <c r="M41" s="4"/>
    </row>
    <row r="42" ht="12.0" customHeight="1">
      <c r="E42" s="168">
        <f t="shared" si="4"/>
        <v>39</v>
      </c>
      <c r="F42" s="168" t="str">
        <f t="shared" si="1"/>
        <v>#NAME?</v>
      </c>
      <c r="G42" s="92" t="str">
        <f t="shared" si="2"/>
        <v>#NAME?</v>
      </c>
      <c r="H42" s="168">
        <f t="shared" si="5"/>
        <v>12252688</v>
      </c>
      <c r="I42" s="92" t="str">
        <f t="shared" si="6"/>
        <v>#NAME?</v>
      </c>
      <c r="J42" s="92" t="str">
        <f t="shared" si="3"/>
        <v>#NAME?</v>
      </c>
      <c r="M42" s="4"/>
    </row>
    <row r="43" ht="12.0" customHeight="1">
      <c r="E43" s="168">
        <f t="shared" si="4"/>
        <v>40</v>
      </c>
      <c r="F43" s="168" t="str">
        <f t="shared" si="1"/>
        <v>#NAME?</v>
      </c>
      <c r="G43" s="92" t="str">
        <f t="shared" si="2"/>
        <v>#NAME?</v>
      </c>
      <c r="H43" s="168">
        <f t="shared" si="5"/>
        <v>12396398</v>
      </c>
      <c r="I43" s="92" t="str">
        <f t="shared" si="6"/>
        <v>#NAME?</v>
      </c>
      <c r="J43" s="92" t="str">
        <f t="shared" si="3"/>
        <v>#NAME?</v>
      </c>
      <c r="M43" s="4"/>
    </row>
    <row r="44" ht="12.0" customHeight="1">
      <c r="E44" s="168">
        <f t="shared" si="4"/>
        <v>41</v>
      </c>
      <c r="F44" s="168" t="str">
        <f t="shared" si="1"/>
        <v>#NAME?</v>
      </c>
      <c r="G44" s="92" t="str">
        <f t="shared" si="2"/>
        <v>#NAME?</v>
      </c>
      <c r="H44" s="168">
        <f t="shared" si="5"/>
        <v>13648197</v>
      </c>
      <c r="I44" s="92" t="str">
        <f t="shared" si="6"/>
        <v>#NAME?</v>
      </c>
      <c r="J44" s="92" t="str">
        <f t="shared" si="3"/>
        <v>#NAME?</v>
      </c>
      <c r="M44" s="4"/>
    </row>
    <row r="45" ht="12.0" customHeight="1">
      <c r="E45" s="168">
        <f t="shared" si="4"/>
        <v>42</v>
      </c>
      <c r="F45" s="168" t="str">
        <f t="shared" si="1"/>
        <v>#NAME?</v>
      </c>
      <c r="G45" s="92" t="str">
        <f t="shared" si="2"/>
        <v>#NAME?</v>
      </c>
      <c r="H45" s="168">
        <f t="shared" si="5"/>
        <v>14144948</v>
      </c>
      <c r="I45" s="92" t="str">
        <f t="shared" si="6"/>
        <v>#NAME?</v>
      </c>
      <c r="J45" s="92" t="str">
        <f t="shared" si="3"/>
        <v>#NAME?</v>
      </c>
      <c r="M45" s="4"/>
    </row>
    <row r="46" ht="12.0" customHeight="1">
      <c r="E46" s="168">
        <f t="shared" si="4"/>
        <v>43</v>
      </c>
      <c r="F46" s="168" t="str">
        <f t="shared" si="1"/>
        <v>#NAME?</v>
      </c>
      <c r="G46" s="92" t="str">
        <f t="shared" si="2"/>
        <v>#NAME?</v>
      </c>
      <c r="H46" s="168">
        <f t="shared" si="5"/>
        <v>14348299</v>
      </c>
      <c r="I46" s="92" t="str">
        <f t="shared" si="6"/>
        <v>#NAME?</v>
      </c>
      <c r="J46" s="92" t="str">
        <f t="shared" si="3"/>
        <v>#NAME?</v>
      </c>
      <c r="M46" s="4"/>
    </row>
    <row r="47" ht="12.0" customHeight="1">
      <c r="E47" s="168">
        <f t="shared" si="4"/>
        <v>44</v>
      </c>
      <c r="F47" s="168" t="str">
        <f t="shared" si="1"/>
        <v>#NAME?</v>
      </c>
      <c r="G47" s="92" t="str">
        <f t="shared" si="2"/>
        <v>#NAME?</v>
      </c>
      <c r="H47" s="168">
        <f t="shared" si="5"/>
        <v>14867296</v>
      </c>
      <c r="I47" s="92" t="str">
        <f t="shared" si="6"/>
        <v>#NAME?</v>
      </c>
      <c r="J47" s="92" t="str">
        <f t="shared" si="3"/>
        <v>#NAME?</v>
      </c>
      <c r="M47" s="4"/>
    </row>
    <row r="48" ht="12.0" customHeight="1">
      <c r="E48" s="168">
        <f t="shared" si="4"/>
        <v>45</v>
      </c>
      <c r="F48" s="168" t="str">
        <f t="shared" si="1"/>
        <v>#NAME?</v>
      </c>
      <c r="G48" s="92" t="str">
        <f t="shared" si="2"/>
        <v>#NAME?</v>
      </c>
      <c r="H48" s="168">
        <f t="shared" si="5"/>
        <v>15338653</v>
      </c>
      <c r="I48" s="92" t="str">
        <f t="shared" si="6"/>
        <v>#NAME?</v>
      </c>
      <c r="J48" s="92" t="str">
        <f t="shared" si="3"/>
        <v>#NAME?</v>
      </c>
      <c r="M48" s="4"/>
    </row>
    <row r="49" ht="12.0" customHeight="1">
      <c r="E49" s="168">
        <f t="shared" si="4"/>
        <v>46</v>
      </c>
      <c r="F49" s="168" t="str">
        <f t="shared" si="1"/>
        <v>#NAME?</v>
      </c>
      <c r="G49" s="92" t="str">
        <f t="shared" si="2"/>
        <v>#NAME?</v>
      </c>
      <c r="H49" s="168">
        <f t="shared" si="5"/>
        <v>15555646</v>
      </c>
      <c r="I49" s="92" t="str">
        <f t="shared" si="6"/>
        <v>#NAME?</v>
      </c>
      <c r="J49" s="92" t="str">
        <f t="shared" si="3"/>
        <v>#NAME?</v>
      </c>
      <c r="M49" s="4"/>
    </row>
    <row r="50" ht="12.0" customHeight="1">
      <c r="E50" s="168">
        <f t="shared" si="4"/>
        <v>47</v>
      </c>
      <c r="F50" s="168" t="str">
        <f t="shared" si="1"/>
        <v>#NAME?</v>
      </c>
      <c r="G50" s="92" t="str">
        <f t="shared" si="2"/>
        <v>#NAME?</v>
      </c>
      <c r="H50" s="168">
        <f t="shared" si="5"/>
        <v>15868817</v>
      </c>
      <c r="I50" s="92" t="str">
        <f t="shared" si="6"/>
        <v>#NAME?</v>
      </c>
      <c r="J50" s="92" t="str">
        <f t="shared" si="3"/>
        <v>#NAME?</v>
      </c>
      <c r="M50" s="4"/>
    </row>
    <row r="51" ht="12.0" customHeight="1">
      <c r="E51" s="168">
        <f t="shared" si="4"/>
        <v>48</v>
      </c>
      <c r="F51" s="168" t="str">
        <f t="shared" si="1"/>
        <v>#NAME?</v>
      </c>
      <c r="G51" s="92" t="str">
        <f t="shared" si="2"/>
        <v>#NAME?</v>
      </c>
      <c r="H51" s="168">
        <f t="shared" si="5"/>
        <v>16612737</v>
      </c>
      <c r="I51" s="92" t="str">
        <f t="shared" si="6"/>
        <v>#NAME?</v>
      </c>
      <c r="J51" s="92" t="str">
        <f t="shared" si="3"/>
        <v>#NAME?</v>
      </c>
      <c r="M51" s="4"/>
    </row>
    <row r="52" ht="12.0" customHeight="1">
      <c r="E52" s="168">
        <f t="shared" si="4"/>
        <v>49</v>
      </c>
      <c r="F52" s="168" t="str">
        <f t="shared" si="1"/>
        <v>#NAME?</v>
      </c>
      <c r="G52" s="92" t="str">
        <f t="shared" si="2"/>
        <v>#NAME?</v>
      </c>
      <c r="H52" s="168">
        <f t="shared" si="5"/>
        <v>16932752</v>
      </c>
      <c r="I52" s="92" t="str">
        <f t="shared" si="6"/>
        <v>#NAME?</v>
      </c>
      <c r="J52" s="92" t="str">
        <f t="shared" si="3"/>
        <v>#NAME?</v>
      </c>
      <c r="M52" s="4"/>
    </row>
    <row r="53" ht="12.0" customHeight="1">
      <c r="E53" s="168">
        <f t="shared" si="4"/>
        <v>50</v>
      </c>
      <c r="F53" s="168" t="str">
        <f t="shared" si="1"/>
        <v>#NAME?</v>
      </c>
      <c r="G53" s="92" t="str">
        <f t="shared" si="2"/>
        <v>#NAME?</v>
      </c>
      <c r="H53" s="168">
        <f t="shared" si="5"/>
        <v>17308352</v>
      </c>
      <c r="I53" s="92" t="str">
        <f t="shared" si="6"/>
        <v>#NAME?</v>
      </c>
      <c r="J53" s="92" t="str">
        <f t="shared" si="3"/>
        <v>#NAME?</v>
      </c>
      <c r="M53" s="4"/>
    </row>
    <row r="54" ht="12.0" customHeight="1">
      <c r="E54" s="168">
        <f t="shared" si="4"/>
        <v>51</v>
      </c>
      <c r="F54" s="168" t="str">
        <f t="shared" si="1"/>
        <v>#NAME?</v>
      </c>
      <c r="G54" s="92" t="str">
        <f t="shared" si="2"/>
        <v>#NAME?</v>
      </c>
      <c r="H54" s="168">
        <f t="shared" si="5"/>
        <v>18025713</v>
      </c>
      <c r="I54" s="92" t="str">
        <f t="shared" si="6"/>
        <v>#NAME?</v>
      </c>
      <c r="J54" s="92" t="str">
        <f t="shared" si="3"/>
        <v>#NAME?</v>
      </c>
      <c r="M54" s="4"/>
    </row>
    <row r="55" ht="12.0" customHeight="1">
      <c r="E55" s="168">
        <f t="shared" si="4"/>
        <v>52</v>
      </c>
      <c r="F55" s="168" t="str">
        <f t="shared" si="1"/>
        <v>#NAME?</v>
      </c>
      <c r="G55" s="92" t="str">
        <f t="shared" si="2"/>
        <v>#NAME?</v>
      </c>
      <c r="H55" s="168">
        <f t="shared" si="5"/>
        <v>18277421</v>
      </c>
      <c r="I55" s="92" t="str">
        <f t="shared" si="6"/>
        <v>#NAME?</v>
      </c>
      <c r="J55" s="92" t="str">
        <f t="shared" si="3"/>
        <v>#NAME?</v>
      </c>
      <c r="M55" s="4"/>
    </row>
    <row r="56" ht="12.0" customHeight="1">
      <c r="E56" s="168">
        <f t="shared" si="4"/>
        <v>53</v>
      </c>
      <c r="F56" s="168" t="str">
        <f t="shared" si="1"/>
        <v>#NAME?</v>
      </c>
      <c r="G56" s="92" t="str">
        <f t="shared" si="2"/>
        <v>#NAME?</v>
      </c>
      <c r="H56" s="168">
        <f t="shared" si="5"/>
        <v>19103416</v>
      </c>
      <c r="I56" s="92" t="str">
        <f t="shared" si="6"/>
        <v>#NAME?</v>
      </c>
      <c r="J56" s="92" t="str">
        <f t="shared" si="3"/>
        <v>#NAME?</v>
      </c>
      <c r="M56" s="4"/>
    </row>
    <row r="57" ht="12.0" customHeight="1">
      <c r="B57" s="15"/>
      <c r="C57" s="15"/>
      <c r="F57" s="59"/>
      <c r="H57" s="5"/>
      <c r="M57" s="4"/>
    </row>
    <row r="58" ht="12.0" customHeight="1">
      <c r="B58" s="15"/>
      <c r="C58" s="15"/>
      <c r="F58" s="59"/>
      <c r="H58" s="5"/>
      <c r="M58" s="4"/>
    </row>
    <row r="59" ht="12.0" customHeight="1">
      <c r="B59" s="15"/>
      <c r="C59" s="15"/>
      <c r="F59" s="59"/>
      <c r="H59" s="5"/>
      <c r="M59" s="4"/>
    </row>
    <row r="60" ht="12.0" customHeight="1">
      <c r="B60" s="15"/>
      <c r="C60" s="15"/>
      <c r="F60" s="59"/>
      <c r="H60" s="5"/>
      <c r="M60" s="4"/>
    </row>
    <row r="61" ht="12.0" customHeight="1">
      <c r="B61" s="15"/>
      <c r="C61" s="15"/>
      <c r="F61" s="59"/>
      <c r="H61" s="5"/>
      <c r="M61" s="4"/>
    </row>
    <row r="62" ht="12.0" customHeight="1">
      <c r="B62" s="15"/>
      <c r="C62" s="15"/>
      <c r="F62" s="59"/>
      <c r="H62" s="5"/>
      <c r="M62" s="4"/>
    </row>
    <row r="63" ht="12.0" customHeight="1">
      <c r="B63" s="15"/>
      <c r="C63" s="15"/>
      <c r="F63" s="59"/>
      <c r="H63" s="5"/>
      <c r="M63" s="4"/>
    </row>
    <row r="64" ht="12.0" customHeight="1">
      <c r="B64" s="15"/>
      <c r="C64" s="15"/>
      <c r="F64" s="59"/>
      <c r="H64" s="5"/>
      <c r="M64" s="4"/>
    </row>
    <row r="65" ht="12.0" customHeight="1">
      <c r="B65" s="15"/>
      <c r="C65" s="15"/>
      <c r="F65" s="59"/>
      <c r="H65" s="5"/>
      <c r="M65" s="4"/>
    </row>
    <row r="66" ht="12.0" customHeight="1">
      <c r="B66" s="15"/>
      <c r="C66" s="15"/>
      <c r="F66" s="59"/>
      <c r="H66" s="5"/>
      <c r="M66" s="4"/>
    </row>
    <row r="67" ht="12.0" customHeight="1">
      <c r="B67" s="15"/>
      <c r="C67" s="15"/>
      <c r="F67" s="59"/>
      <c r="H67" s="5"/>
      <c r="M67" s="4"/>
    </row>
    <row r="68" ht="12.0" customHeight="1">
      <c r="B68" s="15"/>
      <c r="C68" s="15"/>
      <c r="F68" s="59"/>
      <c r="H68" s="5"/>
      <c r="M68" s="4"/>
    </row>
    <row r="69" ht="12.0" customHeight="1">
      <c r="B69" s="15"/>
      <c r="C69" s="15"/>
      <c r="F69" s="59"/>
      <c r="H69" s="5"/>
      <c r="M69" s="4"/>
    </row>
    <row r="70" ht="12.0" customHeight="1">
      <c r="B70" s="15"/>
      <c r="C70" s="15"/>
      <c r="F70" s="59"/>
      <c r="H70" s="5"/>
      <c r="M70" s="4"/>
    </row>
    <row r="71" ht="12.0" customHeight="1">
      <c r="B71" s="15"/>
      <c r="C71" s="15"/>
      <c r="F71" s="59"/>
      <c r="H71" s="5"/>
      <c r="M71" s="4"/>
    </row>
    <row r="72" ht="12.0" customHeight="1">
      <c r="B72" s="15"/>
      <c r="C72" s="15"/>
      <c r="F72" s="59"/>
      <c r="H72" s="5"/>
      <c r="M72" s="4"/>
    </row>
    <row r="73" ht="12.0" customHeight="1">
      <c r="B73" s="15"/>
      <c r="C73" s="15"/>
      <c r="F73" s="59"/>
      <c r="H73" s="5"/>
      <c r="M73" s="4"/>
    </row>
    <row r="74" ht="12.0" customHeight="1">
      <c r="B74" s="15"/>
      <c r="C74" s="15"/>
      <c r="F74" s="59"/>
      <c r="H74" s="5"/>
      <c r="M74" s="4"/>
    </row>
    <row r="75" ht="12.0" customHeight="1">
      <c r="B75" s="15"/>
      <c r="C75" s="15"/>
      <c r="F75" s="59"/>
      <c r="H75" s="5"/>
      <c r="M75" s="4"/>
    </row>
    <row r="76" ht="12.0" customHeight="1">
      <c r="B76" s="15"/>
      <c r="C76" s="15"/>
      <c r="F76" s="59"/>
      <c r="H76" s="5"/>
      <c r="M76" s="4"/>
    </row>
    <row r="77" ht="12.0" customHeight="1">
      <c r="B77" s="15"/>
      <c r="C77" s="15"/>
      <c r="F77" s="59"/>
      <c r="H77" s="5"/>
      <c r="M77" s="4"/>
    </row>
    <row r="78" ht="12.0" customHeight="1">
      <c r="B78" s="15"/>
      <c r="C78" s="15"/>
      <c r="F78" s="59"/>
      <c r="H78" s="5"/>
      <c r="M78" s="4"/>
    </row>
    <row r="79" ht="12.0" customHeight="1">
      <c r="B79" s="15"/>
      <c r="C79" s="15"/>
      <c r="F79" s="59"/>
      <c r="H79" s="5"/>
      <c r="M79" s="4"/>
    </row>
    <row r="80" ht="12.0" customHeight="1">
      <c r="B80" s="15"/>
      <c r="C80" s="15"/>
      <c r="F80" s="59"/>
      <c r="H80" s="5"/>
      <c r="M80" s="4"/>
    </row>
    <row r="81" ht="12.0" customHeight="1">
      <c r="B81" s="15"/>
      <c r="C81" s="15"/>
      <c r="F81" s="59"/>
      <c r="H81" s="5"/>
      <c r="M81" s="4"/>
    </row>
    <row r="82" ht="12.0" customHeight="1">
      <c r="B82" s="15"/>
      <c r="C82" s="15"/>
      <c r="F82" s="59"/>
      <c r="H82" s="5"/>
      <c r="M82" s="4"/>
    </row>
    <row r="83" ht="12.0" customHeight="1">
      <c r="B83" s="15"/>
      <c r="C83" s="15"/>
      <c r="F83" s="59"/>
      <c r="H83" s="5"/>
      <c r="M83" s="4"/>
    </row>
    <row r="84" ht="12.0" customHeight="1">
      <c r="B84" s="15"/>
      <c r="C84" s="15"/>
      <c r="F84" s="59"/>
      <c r="H84" s="5"/>
      <c r="M84" s="4"/>
    </row>
    <row r="85" ht="12.0" customHeight="1">
      <c r="B85" s="15"/>
      <c r="C85" s="15"/>
      <c r="F85" s="59"/>
      <c r="H85" s="5"/>
      <c r="M85" s="4"/>
    </row>
    <row r="86" ht="12.0" customHeight="1">
      <c r="B86" s="15"/>
      <c r="C86" s="15"/>
      <c r="F86" s="59"/>
      <c r="H86" s="5"/>
      <c r="M86" s="4"/>
    </row>
    <row r="87" ht="12.0" customHeight="1">
      <c r="B87" s="15"/>
      <c r="C87" s="15"/>
      <c r="F87" s="59"/>
      <c r="H87" s="5"/>
      <c r="M87" s="4"/>
    </row>
    <row r="88" ht="12.0" customHeight="1">
      <c r="B88" s="15"/>
      <c r="C88" s="15"/>
      <c r="F88" s="59"/>
      <c r="H88" s="5"/>
      <c r="M88" s="4"/>
    </row>
    <row r="89" ht="12.0" customHeight="1">
      <c r="B89" s="15"/>
      <c r="C89" s="15"/>
      <c r="F89" s="59"/>
      <c r="H89" s="5"/>
      <c r="M89" s="4"/>
    </row>
    <row r="90" ht="12.0" customHeight="1">
      <c r="B90" s="15"/>
      <c r="C90" s="15"/>
      <c r="F90" s="59"/>
      <c r="H90" s="5"/>
      <c r="M90" s="4"/>
    </row>
    <row r="91" ht="12.0" customHeight="1">
      <c r="B91" s="15"/>
      <c r="C91" s="15"/>
      <c r="F91" s="59"/>
      <c r="H91" s="5"/>
      <c r="M91" s="4"/>
    </row>
    <row r="92" ht="12.0" customHeight="1">
      <c r="B92" s="15"/>
      <c r="C92" s="15"/>
      <c r="F92" s="59"/>
      <c r="H92" s="5"/>
      <c r="M92" s="4"/>
    </row>
    <row r="93" ht="12.0" customHeight="1">
      <c r="B93" s="15"/>
      <c r="C93" s="15"/>
      <c r="F93" s="59"/>
      <c r="H93" s="5"/>
      <c r="M93" s="4"/>
    </row>
    <row r="94" ht="12.0" customHeight="1">
      <c r="B94" s="15"/>
      <c r="C94" s="15"/>
      <c r="F94" s="59"/>
      <c r="H94" s="5"/>
      <c r="M94" s="4"/>
    </row>
    <row r="95" ht="12.0" customHeight="1">
      <c r="B95" s="15"/>
      <c r="C95" s="15"/>
      <c r="F95" s="59"/>
      <c r="H95" s="5"/>
      <c r="M95" s="4"/>
    </row>
    <row r="96" ht="12.0" customHeight="1">
      <c r="B96" s="15"/>
      <c r="C96" s="15"/>
      <c r="F96" s="59"/>
      <c r="H96" s="5"/>
      <c r="M96" s="4"/>
    </row>
    <row r="97" ht="12.0" customHeight="1">
      <c r="B97" s="15"/>
      <c r="C97" s="15"/>
      <c r="F97" s="59"/>
      <c r="H97" s="5"/>
      <c r="M97" s="4"/>
    </row>
    <row r="98" ht="12.0" customHeight="1">
      <c r="B98" s="15"/>
      <c r="C98" s="15"/>
      <c r="F98" s="59"/>
      <c r="H98" s="5"/>
      <c r="M98" s="4"/>
    </row>
    <row r="99" ht="12.0" customHeight="1">
      <c r="B99" s="15"/>
      <c r="C99" s="15"/>
      <c r="F99" s="59"/>
      <c r="H99" s="5"/>
      <c r="M99" s="4"/>
    </row>
    <row r="100" ht="12.0" customHeight="1">
      <c r="B100" s="15"/>
      <c r="C100" s="15"/>
      <c r="F100" s="59"/>
      <c r="H100" s="5"/>
      <c r="M100" s="4"/>
    </row>
    <row r="101" ht="12.0" customHeight="1">
      <c r="B101" s="15"/>
      <c r="C101" s="15"/>
      <c r="F101" s="59"/>
      <c r="H101" s="5"/>
      <c r="M101" s="4"/>
    </row>
    <row r="102" ht="12.0" customHeight="1">
      <c r="B102" s="15"/>
      <c r="C102" s="15"/>
      <c r="F102" s="59"/>
      <c r="H102" s="5"/>
      <c r="M102" s="4"/>
    </row>
    <row r="103" ht="12.0" customHeight="1">
      <c r="B103" s="15"/>
      <c r="C103" s="15"/>
      <c r="F103" s="59"/>
      <c r="H103" s="5"/>
      <c r="M103" s="4"/>
    </row>
    <row r="104" ht="12.0" customHeight="1">
      <c r="B104" s="15"/>
      <c r="C104" s="15"/>
      <c r="F104" s="59"/>
      <c r="H104" s="5"/>
      <c r="M104" s="4"/>
    </row>
    <row r="105" ht="12.0" customHeight="1">
      <c r="B105" s="15"/>
      <c r="C105" s="15"/>
      <c r="F105" s="59"/>
      <c r="H105" s="5"/>
      <c r="M105" s="4"/>
    </row>
    <row r="106" ht="12.0" customHeight="1">
      <c r="B106" s="15"/>
      <c r="C106" s="15"/>
      <c r="F106" s="59"/>
      <c r="H106" s="5"/>
      <c r="M106" s="4"/>
    </row>
    <row r="107" ht="12.0" customHeight="1">
      <c r="B107" s="15"/>
      <c r="C107" s="15"/>
      <c r="F107" s="59"/>
      <c r="H107" s="5"/>
      <c r="M107" s="4"/>
    </row>
    <row r="108" ht="12.0" customHeight="1">
      <c r="B108" s="15"/>
      <c r="C108" s="15"/>
      <c r="F108" s="59"/>
      <c r="H108" s="5"/>
      <c r="M108" s="4"/>
    </row>
    <row r="109" ht="12.0" customHeight="1">
      <c r="B109" s="15"/>
      <c r="C109" s="15"/>
      <c r="F109" s="59"/>
      <c r="H109" s="5"/>
      <c r="M109" s="4"/>
    </row>
    <row r="110" ht="12.0" customHeight="1">
      <c r="B110" s="15"/>
      <c r="C110" s="15"/>
      <c r="F110" s="59"/>
      <c r="H110" s="5"/>
      <c r="M110" s="4"/>
    </row>
    <row r="111" ht="12.0" customHeight="1">
      <c r="B111" s="15"/>
      <c r="C111" s="15"/>
      <c r="F111" s="59"/>
      <c r="H111" s="5"/>
      <c r="M111" s="4"/>
    </row>
    <row r="112" ht="12.0" customHeight="1">
      <c r="B112" s="15"/>
      <c r="C112" s="15"/>
      <c r="F112" s="59"/>
      <c r="H112" s="5"/>
      <c r="M112" s="4"/>
    </row>
    <row r="113" ht="12.0" customHeight="1">
      <c r="B113" s="15"/>
      <c r="C113" s="15"/>
      <c r="F113" s="59"/>
      <c r="H113" s="5"/>
      <c r="M113" s="4"/>
    </row>
    <row r="114" ht="12.0" customHeight="1">
      <c r="B114" s="15"/>
      <c r="C114" s="15"/>
      <c r="F114" s="59"/>
      <c r="H114" s="5"/>
      <c r="M114" s="4"/>
    </row>
    <row r="115" ht="12.0" customHeight="1">
      <c r="B115" s="15"/>
      <c r="C115" s="15"/>
      <c r="F115" s="59"/>
      <c r="H115" s="5"/>
      <c r="M115" s="4"/>
    </row>
    <row r="116" ht="12.0" customHeight="1">
      <c r="B116" s="15"/>
      <c r="C116" s="15"/>
      <c r="F116" s="59"/>
      <c r="H116" s="5"/>
      <c r="M116" s="4"/>
    </row>
    <row r="117" ht="12.0" customHeight="1">
      <c r="B117" s="15"/>
      <c r="C117" s="15"/>
      <c r="F117" s="59"/>
      <c r="H117" s="5"/>
      <c r="M117" s="4"/>
    </row>
    <row r="118" ht="12.0" customHeight="1">
      <c r="B118" s="15"/>
      <c r="C118" s="15"/>
      <c r="F118" s="59"/>
      <c r="H118" s="5"/>
      <c r="M118" s="4"/>
    </row>
    <row r="119" ht="12.0" customHeight="1">
      <c r="B119" s="15"/>
      <c r="C119" s="15"/>
      <c r="F119" s="59"/>
      <c r="H119" s="5"/>
      <c r="M119" s="4"/>
    </row>
    <row r="120" ht="12.0" customHeight="1">
      <c r="B120" s="15"/>
      <c r="C120" s="15"/>
      <c r="F120" s="59"/>
      <c r="H120" s="5"/>
      <c r="M120" s="4"/>
    </row>
    <row r="121" ht="12.0" customHeight="1">
      <c r="B121" s="15"/>
      <c r="C121" s="15"/>
      <c r="F121" s="59"/>
      <c r="H121" s="5"/>
      <c r="M121" s="4"/>
    </row>
    <row r="122" ht="12.0" customHeight="1">
      <c r="B122" s="15"/>
      <c r="C122" s="15"/>
      <c r="F122" s="59"/>
      <c r="H122" s="5"/>
      <c r="M122" s="4"/>
    </row>
    <row r="123" ht="12.0" customHeight="1">
      <c r="B123" s="15"/>
      <c r="C123" s="15"/>
      <c r="F123" s="59"/>
      <c r="H123" s="5"/>
      <c r="M123" s="4"/>
    </row>
    <row r="124" ht="12.0" customHeight="1">
      <c r="B124" s="15"/>
      <c r="C124" s="15"/>
      <c r="F124" s="59"/>
      <c r="H124" s="5"/>
      <c r="M124" s="4"/>
    </row>
    <row r="125" ht="12.0" customHeight="1">
      <c r="B125" s="15"/>
      <c r="C125" s="15"/>
      <c r="F125" s="59"/>
      <c r="H125" s="5"/>
      <c r="M125" s="4"/>
    </row>
    <row r="126" ht="12.0" customHeight="1">
      <c r="B126" s="15"/>
      <c r="C126" s="15"/>
      <c r="F126" s="59"/>
      <c r="H126" s="5"/>
      <c r="M126" s="4"/>
    </row>
    <row r="127" ht="12.0" customHeight="1">
      <c r="B127" s="15"/>
      <c r="C127" s="15"/>
      <c r="F127" s="59"/>
      <c r="H127" s="5"/>
      <c r="M127" s="4"/>
    </row>
    <row r="128" ht="12.0" customHeight="1">
      <c r="B128" s="15"/>
      <c r="C128" s="15"/>
      <c r="F128" s="59"/>
      <c r="H128" s="5"/>
      <c r="M128" s="4"/>
    </row>
    <row r="129" ht="12.0" customHeight="1">
      <c r="B129" s="15"/>
      <c r="C129" s="15"/>
      <c r="F129" s="59"/>
      <c r="H129" s="5"/>
      <c r="M129" s="4"/>
    </row>
    <row r="130" ht="12.0" customHeight="1">
      <c r="B130" s="15"/>
      <c r="C130" s="15"/>
      <c r="F130" s="59"/>
      <c r="H130" s="5"/>
      <c r="M130" s="4"/>
    </row>
    <row r="131" ht="12.0" customHeight="1">
      <c r="B131" s="15"/>
      <c r="C131" s="15"/>
      <c r="F131" s="59"/>
      <c r="H131" s="5"/>
      <c r="M131" s="4"/>
    </row>
    <row r="132" ht="12.0" customHeight="1">
      <c r="B132" s="15"/>
      <c r="C132" s="15"/>
      <c r="F132" s="59"/>
      <c r="H132" s="5"/>
      <c r="M132" s="4"/>
    </row>
    <row r="133" ht="12.0" customHeight="1">
      <c r="B133" s="15"/>
      <c r="C133" s="15"/>
      <c r="F133" s="59"/>
      <c r="H133" s="5"/>
      <c r="M133" s="4"/>
    </row>
    <row r="134" ht="12.0" customHeight="1">
      <c r="B134" s="15"/>
      <c r="C134" s="15"/>
      <c r="F134" s="59"/>
      <c r="H134" s="5"/>
      <c r="M134" s="4"/>
    </row>
    <row r="135" ht="12.0" customHeight="1">
      <c r="B135" s="15"/>
      <c r="C135" s="15"/>
      <c r="F135" s="59"/>
      <c r="H135" s="5"/>
      <c r="M135" s="4"/>
    </row>
    <row r="136" ht="12.0" customHeight="1">
      <c r="B136" s="15"/>
      <c r="C136" s="15"/>
      <c r="F136" s="59"/>
      <c r="H136" s="5"/>
      <c r="M136" s="4"/>
    </row>
    <row r="137" ht="12.0" customHeight="1">
      <c r="B137" s="15"/>
      <c r="C137" s="15"/>
      <c r="F137" s="59"/>
      <c r="H137" s="5"/>
      <c r="M137" s="4"/>
    </row>
    <row r="138" ht="12.0" customHeight="1">
      <c r="B138" s="15"/>
      <c r="C138" s="15"/>
      <c r="F138" s="59"/>
      <c r="H138" s="5"/>
      <c r="M138" s="4"/>
    </row>
    <row r="139" ht="12.0" customHeight="1">
      <c r="B139" s="15"/>
      <c r="C139" s="15"/>
      <c r="F139" s="59"/>
      <c r="H139" s="5"/>
      <c r="M139" s="4"/>
    </row>
    <row r="140" ht="12.0" customHeight="1">
      <c r="B140" s="15"/>
      <c r="C140" s="15"/>
      <c r="F140" s="59"/>
      <c r="H140" s="5"/>
      <c r="M140" s="4"/>
    </row>
    <row r="141" ht="12.0" customHeight="1">
      <c r="B141" s="15"/>
      <c r="C141" s="15"/>
      <c r="F141" s="59"/>
      <c r="H141" s="5"/>
      <c r="M141" s="4"/>
    </row>
    <row r="142" ht="12.0" customHeight="1">
      <c r="B142" s="15"/>
      <c r="C142" s="15"/>
      <c r="F142" s="59"/>
      <c r="H142" s="5"/>
      <c r="M142" s="4"/>
    </row>
    <row r="143" ht="12.0" customHeight="1">
      <c r="B143" s="15"/>
      <c r="C143" s="15"/>
      <c r="F143" s="59"/>
      <c r="H143" s="5"/>
      <c r="M143" s="4"/>
    </row>
    <row r="144" ht="12.0" customHeight="1">
      <c r="B144" s="15"/>
      <c r="C144" s="15"/>
      <c r="F144" s="59"/>
      <c r="H144" s="5"/>
      <c r="M144" s="4"/>
    </row>
    <row r="145" ht="12.0" customHeight="1">
      <c r="B145" s="15"/>
      <c r="C145" s="15"/>
      <c r="F145" s="59"/>
      <c r="H145" s="5"/>
      <c r="M145" s="4"/>
    </row>
    <row r="146" ht="12.0" customHeight="1">
      <c r="B146" s="15"/>
      <c r="C146" s="15"/>
      <c r="F146" s="59"/>
      <c r="H146" s="5"/>
      <c r="M146" s="4"/>
    </row>
    <row r="147" ht="12.0" customHeight="1">
      <c r="B147" s="15"/>
      <c r="C147" s="15"/>
      <c r="F147" s="59"/>
      <c r="H147" s="5"/>
      <c r="M147" s="4"/>
    </row>
    <row r="148" ht="12.0" customHeight="1">
      <c r="B148" s="15"/>
      <c r="C148" s="15"/>
      <c r="F148" s="59"/>
      <c r="H148" s="5"/>
      <c r="M148" s="4"/>
    </row>
    <row r="149" ht="12.0" customHeight="1">
      <c r="B149" s="15"/>
      <c r="C149" s="15"/>
      <c r="F149" s="59"/>
      <c r="H149" s="5"/>
      <c r="M149" s="4"/>
    </row>
    <row r="150" ht="12.0" customHeight="1">
      <c r="B150" s="15"/>
      <c r="C150" s="15"/>
      <c r="F150" s="59"/>
      <c r="H150" s="5"/>
      <c r="M150" s="4"/>
    </row>
    <row r="151" ht="12.0" customHeight="1">
      <c r="B151" s="15"/>
      <c r="C151" s="15"/>
      <c r="F151" s="59"/>
      <c r="H151" s="5"/>
      <c r="M151" s="4"/>
    </row>
    <row r="152" ht="12.0" customHeight="1">
      <c r="B152" s="15"/>
      <c r="C152" s="15"/>
      <c r="F152" s="59"/>
      <c r="H152" s="5"/>
      <c r="M152" s="4"/>
    </row>
    <row r="153" ht="12.0" customHeight="1">
      <c r="B153" s="15"/>
      <c r="C153" s="15"/>
      <c r="F153" s="59"/>
      <c r="H153" s="5"/>
      <c r="M153" s="4"/>
    </row>
    <row r="154" ht="12.0" customHeight="1">
      <c r="B154" s="15"/>
      <c r="C154" s="15"/>
      <c r="F154" s="59"/>
      <c r="H154" s="5"/>
      <c r="M154" s="4"/>
    </row>
    <row r="155" ht="12.0" customHeight="1">
      <c r="B155" s="15"/>
      <c r="C155" s="15"/>
      <c r="F155" s="59"/>
      <c r="H155" s="5"/>
      <c r="M155" s="4"/>
    </row>
    <row r="156" ht="12.0" customHeight="1">
      <c r="B156" s="15"/>
      <c r="C156" s="15"/>
      <c r="F156" s="59"/>
      <c r="H156" s="5"/>
      <c r="M156" s="4"/>
    </row>
    <row r="157" ht="12.0" customHeight="1">
      <c r="B157" s="15"/>
      <c r="C157" s="15"/>
      <c r="F157" s="59"/>
      <c r="H157" s="5"/>
      <c r="M157" s="4"/>
    </row>
    <row r="158" ht="12.0" customHeight="1">
      <c r="B158" s="15"/>
      <c r="C158" s="15"/>
      <c r="F158" s="59"/>
      <c r="H158" s="5"/>
      <c r="M158" s="4"/>
    </row>
    <row r="159" ht="12.0" customHeight="1">
      <c r="B159" s="15"/>
      <c r="C159" s="15"/>
      <c r="F159" s="59"/>
      <c r="H159" s="5"/>
      <c r="M159" s="4"/>
    </row>
    <row r="160" ht="12.0" customHeight="1">
      <c r="B160" s="15"/>
      <c r="C160" s="15"/>
      <c r="F160" s="59"/>
      <c r="H160" s="5"/>
      <c r="M160" s="4"/>
    </row>
    <row r="161" ht="12.0" customHeight="1">
      <c r="B161" s="15"/>
      <c r="C161" s="15"/>
      <c r="F161" s="59"/>
      <c r="H161" s="5"/>
      <c r="M161" s="4"/>
    </row>
    <row r="162" ht="12.0" customHeight="1">
      <c r="B162" s="15"/>
      <c r="C162" s="15"/>
      <c r="F162" s="59"/>
      <c r="H162" s="5"/>
      <c r="M162" s="4"/>
    </row>
    <row r="163" ht="12.0" customHeight="1">
      <c r="B163" s="15"/>
      <c r="C163" s="15"/>
      <c r="F163" s="59"/>
      <c r="H163" s="5"/>
      <c r="M163" s="4"/>
    </row>
    <row r="164" ht="12.0" customHeight="1">
      <c r="B164" s="15"/>
      <c r="C164" s="15"/>
      <c r="F164" s="59"/>
      <c r="H164" s="5"/>
      <c r="M164" s="4"/>
    </row>
    <row r="165" ht="12.0" customHeight="1">
      <c r="B165" s="15"/>
      <c r="C165" s="15"/>
      <c r="F165" s="59"/>
      <c r="H165" s="5"/>
      <c r="M165" s="4"/>
    </row>
    <row r="166" ht="12.0" customHeight="1">
      <c r="B166" s="15"/>
      <c r="C166" s="15"/>
      <c r="F166" s="59"/>
      <c r="H166" s="5"/>
      <c r="M166" s="4"/>
    </row>
    <row r="167" ht="12.0" customHeight="1">
      <c r="B167" s="15"/>
      <c r="C167" s="15"/>
      <c r="F167" s="59"/>
      <c r="H167" s="5"/>
      <c r="M167" s="4"/>
    </row>
    <row r="168" ht="12.0" customHeight="1">
      <c r="B168" s="15"/>
      <c r="C168" s="15"/>
      <c r="F168" s="59"/>
      <c r="H168" s="5"/>
      <c r="M168" s="4"/>
    </row>
    <row r="169" ht="12.0" customHeight="1">
      <c r="B169" s="15"/>
      <c r="C169" s="15"/>
      <c r="F169" s="59"/>
      <c r="H169" s="5"/>
      <c r="M169" s="4"/>
    </row>
    <row r="170" ht="12.0" customHeight="1">
      <c r="B170" s="15"/>
      <c r="C170" s="15"/>
      <c r="F170" s="59"/>
      <c r="H170" s="5"/>
      <c r="M170" s="4"/>
    </row>
    <row r="171" ht="12.0" customHeight="1">
      <c r="B171" s="15"/>
      <c r="C171" s="15"/>
      <c r="F171" s="59"/>
      <c r="H171" s="5"/>
      <c r="M171" s="4"/>
    </row>
    <row r="172" ht="12.0" customHeight="1">
      <c r="B172" s="15"/>
      <c r="C172" s="15"/>
      <c r="F172" s="59"/>
      <c r="H172" s="5"/>
      <c r="M172" s="4"/>
    </row>
    <row r="173" ht="12.0" customHeight="1">
      <c r="B173" s="15"/>
      <c r="C173" s="15"/>
      <c r="F173" s="59"/>
      <c r="H173" s="5"/>
      <c r="M173" s="4"/>
    </row>
    <row r="174" ht="12.0" customHeight="1">
      <c r="B174" s="15"/>
      <c r="C174" s="15"/>
      <c r="F174" s="59"/>
      <c r="H174" s="5"/>
      <c r="M174" s="4"/>
    </row>
    <row r="175" ht="12.0" customHeight="1">
      <c r="B175" s="15"/>
      <c r="C175" s="15"/>
      <c r="F175" s="59"/>
      <c r="H175" s="5"/>
      <c r="M175" s="4"/>
    </row>
    <row r="176" ht="12.0" customHeight="1">
      <c r="B176" s="15"/>
      <c r="C176" s="15"/>
      <c r="F176" s="59"/>
      <c r="H176" s="5"/>
      <c r="M176" s="4"/>
    </row>
    <row r="177" ht="12.0" customHeight="1">
      <c r="B177" s="15"/>
      <c r="C177" s="15"/>
      <c r="F177" s="59"/>
      <c r="H177" s="5"/>
      <c r="M177" s="4"/>
    </row>
    <row r="178" ht="12.0" customHeight="1">
      <c r="B178" s="15"/>
      <c r="C178" s="15"/>
      <c r="F178" s="59"/>
      <c r="H178" s="5"/>
      <c r="M178" s="4"/>
    </row>
    <row r="179" ht="12.0" customHeight="1">
      <c r="B179" s="15"/>
      <c r="C179" s="15"/>
      <c r="F179" s="59"/>
      <c r="H179" s="5"/>
      <c r="M179" s="4"/>
    </row>
    <row r="180" ht="12.0" customHeight="1">
      <c r="B180" s="15"/>
      <c r="C180" s="15"/>
      <c r="F180" s="59"/>
      <c r="H180" s="5"/>
      <c r="M180" s="4"/>
    </row>
    <row r="181" ht="12.0" customHeight="1">
      <c r="B181" s="15"/>
      <c r="C181" s="15"/>
      <c r="F181" s="59"/>
      <c r="H181" s="5"/>
      <c r="M181" s="4"/>
    </row>
    <row r="182" ht="12.0" customHeight="1">
      <c r="B182" s="15"/>
      <c r="C182" s="15"/>
      <c r="F182" s="59"/>
      <c r="H182" s="5"/>
      <c r="M182" s="4"/>
    </row>
    <row r="183" ht="12.0" customHeight="1">
      <c r="B183" s="15"/>
      <c r="C183" s="15"/>
      <c r="F183" s="59"/>
      <c r="H183" s="5"/>
      <c r="M183" s="4"/>
    </row>
    <row r="184" ht="12.0" customHeight="1">
      <c r="B184" s="15"/>
      <c r="C184" s="15"/>
      <c r="F184" s="59"/>
      <c r="H184" s="5"/>
      <c r="M184" s="4"/>
    </row>
    <row r="185" ht="12.0" customHeight="1">
      <c r="B185" s="15"/>
      <c r="C185" s="15"/>
      <c r="F185" s="59"/>
      <c r="H185" s="5"/>
      <c r="M185" s="4"/>
    </row>
    <row r="186" ht="12.0" customHeight="1">
      <c r="B186" s="15"/>
      <c r="C186" s="15"/>
      <c r="F186" s="59"/>
      <c r="H186" s="5"/>
      <c r="M186" s="4"/>
    </row>
    <row r="187" ht="12.0" customHeight="1">
      <c r="B187" s="15"/>
      <c r="C187" s="15"/>
      <c r="F187" s="59"/>
      <c r="H187" s="5"/>
      <c r="M187" s="4"/>
    </row>
    <row r="188" ht="12.0" customHeight="1">
      <c r="B188" s="15"/>
      <c r="C188" s="15"/>
      <c r="F188" s="59"/>
      <c r="H188" s="5"/>
      <c r="M188" s="4"/>
    </row>
    <row r="189" ht="12.0" customHeight="1">
      <c r="B189" s="15"/>
      <c r="C189" s="15"/>
      <c r="F189" s="59"/>
      <c r="H189" s="5"/>
      <c r="M189" s="4"/>
    </row>
    <row r="190" ht="12.0" customHeight="1">
      <c r="B190" s="15"/>
      <c r="C190" s="15"/>
      <c r="F190" s="59"/>
      <c r="H190" s="5"/>
      <c r="M190" s="4"/>
    </row>
    <row r="191" ht="12.0" customHeight="1">
      <c r="B191" s="15"/>
      <c r="C191" s="15"/>
      <c r="F191" s="59"/>
      <c r="H191" s="5"/>
      <c r="M191" s="4"/>
    </row>
    <row r="192" ht="12.0" customHeight="1">
      <c r="B192" s="15"/>
      <c r="C192" s="15"/>
      <c r="F192" s="59"/>
      <c r="H192" s="5"/>
      <c r="M192" s="4"/>
    </row>
    <row r="193" ht="12.0" customHeight="1">
      <c r="B193" s="15"/>
      <c r="C193" s="15"/>
      <c r="F193" s="59"/>
      <c r="H193" s="5"/>
      <c r="M193" s="4"/>
    </row>
    <row r="194" ht="12.0" customHeight="1">
      <c r="B194" s="15"/>
      <c r="C194" s="15"/>
      <c r="F194" s="59"/>
      <c r="H194" s="5"/>
      <c r="M194" s="4"/>
    </row>
    <row r="195" ht="12.0" customHeight="1">
      <c r="B195" s="15"/>
      <c r="C195" s="15"/>
      <c r="F195" s="59"/>
      <c r="H195" s="5"/>
      <c r="M195" s="4"/>
    </row>
    <row r="196" ht="12.0" customHeight="1">
      <c r="B196" s="15"/>
      <c r="C196" s="15"/>
      <c r="F196" s="59"/>
      <c r="H196" s="5"/>
      <c r="M196" s="4"/>
    </row>
    <row r="197" ht="12.0" customHeight="1">
      <c r="B197" s="15"/>
      <c r="C197" s="15"/>
      <c r="F197" s="59"/>
      <c r="H197" s="5"/>
      <c r="M197" s="4"/>
    </row>
    <row r="198" ht="12.0" customHeight="1">
      <c r="B198" s="15"/>
      <c r="C198" s="15"/>
      <c r="F198" s="59"/>
      <c r="H198" s="5"/>
      <c r="M198" s="4"/>
    </row>
    <row r="199" ht="12.0" customHeight="1">
      <c r="B199" s="15"/>
      <c r="C199" s="15"/>
      <c r="F199" s="59"/>
      <c r="H199" s="5"/>
      <c r="M199" s="4"/>
    </row>
    <row r="200" ht="12.0" customHeight="1">
      <c r="B200" s="15"/>
      <c r="C200" s="15"/>
      <c r="F200" s="59"/>
      <c r="H200" s="5"/>
      <c r="M200" s="4"/>
    </row>
    <row r="201" ht="12.0" customHeight="1">
      <c r="B201" s="15"/>
      <c r="C201" s="15"/>
      <c r="F201" s="59"/>
      <c r="H201" s="5"/>
      <c r="M201" s="4"/>
    </row>
    <row r="202" ht="12.0" customHeight="1">
      <c r="B202" s="15"/>
      <c r="C202" s="15"/>
      <c r="F202" s="59"/>
      <c r="H202" s="5"/>
      <c r="M202" s="4"/>
    </row>
    <row r="203" ht="12.0" customHeight="1">
      <c r="B203" s="15"/>
      <c r="C203" s="15"/>
      <c r="F203" s="59"/>
      <c r="H203" s="5"/>
      <c r="M203" s="4"/>
    </row>
    <row r="204" ht="12.0" customHeight="1">
      <c r="B204" s="15"/>
      <c r="C204" s="15"/>
      <c r="F204" s="59"/>
      <c r="H204" s="5"/>
      <c r="M204" s="4"/>
    </row>
    <row r="205" ht="12.0" customHeight="1">
      <c r="B205" s="15"/>
      <c r="C205" s="15"/>
      <c r="F205" s="59"/>
      <c r="H205" s="5"/>
      <c r="M205" s="4"/>
    </row>
    <row r="206" ht="12.0" customHeight="1">
      <c r="B206" s="15"/>
      <c r="C206" s="15"/>
      <c r="F206" s="59"/>
      <c r="H206" s="5"/>
      <c r="M206" s="4"/>
    </row>
    <row r="207" ht="12.0" customHeight="1">
      <c r="B207" s="15"/>
      <c r="C207" s="15"/>
      <c r="F207" s="59"/>
      <c r="H207" s="5"/>
      <c r="M207" s="4"/>
    </row>
    <row r="208" ht="12.0" customHeight="1">
      <c r="B208" s="15"/>
      <c r="C208" s="15"/>
      <c r="F208" s="59"/>
      <c r="H208" s="5"/>
      <c r="M208" s="4"/>
    </row>
    <row r="209" ht="12.0" customHeight="1">
      <c r="B209" s="15"/>
      <c r="C209" s="15"/>
      <c r="F209" s="59"/>
      <c r="H209" s="5"/>
      <c r="M209" s="4"/>
    </row>
    <row r="210" ht="12.0" customHeight="1">
      <c r="B210" s="15"/>
      <c r="C210" s="15"/>
      <c r="F210" s="59"/>
      <c r="H210" s="5"/>
      <c r="M210" s="4"/>
    </row>
    <row r="211" ht="12.0" customHeight="1">
      <c r="B211" s="15"/>
      <c r="C211" s="15"/>
      <c r="F211" s="59"/>
      <c r="H211" s="5"/>
      <c r="M211" s="4"/>
    </row>
    <row r="212" ht="12.0" customHeight="1">
      <c r="B212" s="15"/>
      <c r="C212" s="15"/>
      <c r="F212" s="59"/>
      <c r="H212" s="5"/>
      <c r="M212" s="4"/>
    </row>
    <row r="213" ht="12.0" customHeight="1">
      <c r="B213" s="15"/>
      <c r="C213" s="15"/>
      <c r="F213" s="59"/>
      <c r="H213" s="5"/>
      <c r="M213" s="4"/>
    </row>
    <row r="214" ht="12.0" customHeight="1">
      <c r="B214" s="15"/>
      <c r="C214" s="15"/>
      <c r="F214" s="59"/>
      <c r="H214" s="5"/>
      <c r="M214" s="4"/>
    </row>
    <row r="215" ht="12.0" customHeight="1">
      <c r="B215" s="15"/>
      <c r="C215" s="15"/>
      <c r="F215" s="59"/>
      <c r="H215" s="5"/>
      <c r="M215" s="4"/>
    </row>
    <row r="216" ht="12.0" customHeight="1">
      <c r="B216" s="15"/>
      <c r="C216" s="15"/>
      <c r="F216" s="59"/>
      <c r="H216" s="5"/>
      <c r="M216" s="4"/>
    </row>
    <row r="217" ht="12.0" customHeight="1">
      <c r="B217" s="15"/>
      <c r="C217" s="15"/>
      <c r="F217" s="59"/>
      <c r="H217" s="5"/>
      <c r="M217" s="4"/>
    </row>
    <row r="218" ht="12.0" customHeight="1">
      <c r="B218" s="15"/>
      <c r="C218" s="15"/>
      <c r="F218" s="59"/>
      <c r="H218" s="5"/>
      <c r="M218" s="4"/>
    </row>
    <row r="219" ht="12.0" customHeight="1">
      <c r="B219" s="15"/>
      <c r="C219" s="15"/>
      <c r="F219" s="59"/>
      <c r="H219" s="5"/>
      <c r="M219" s="4"/>
    </row>
    <row r="220" ht="12.0" customHeight="1">
      <c r="B220" s="15"/>
      <c r="C220" s="15"/>
      <c r="F220" s="59"/>
      <c r="H220" s="5"/>
      <c r="M220" s="4"/>
    </row>
    <row r="221" ht="12.0" customHeight="1">
      <c r="B221" s="15"/>
      <c r="C221" s="15"/>
      <c r="F221" s="59"/>
      <c r="H221" s="5"/>
      <c r="M221" s="4"/>
    </row>
    <row r="222" ht="12.0" customHeight="1">
      <c r="B222" s="15"/>
      <c r="C222" s="15"/>
      <c r="F222" s="59"/>
      <c r="H222" s="5"/>
      <c r="M222" s="4"/>
    </row>
    <row r="223" ht="12.0" customHeight="1">
      <c r="B223" s="15"/>
      <c r="C223" s="15"/>
      <c r="F223" s="59"/>
      <c r="H223" s="5"/>
      <c r="M223" s="4"/>
    </row>
    <row r="224" ht="12.0" customHeight="1">
      <c r="B224" s="15"/>
      <c r="C224" s="15"/>
      <c r="F224" s="59"/>
      <c r="H224" s="5"/>
      <c r="M224" s="4"/>
    </row>
    <row r="225" ht="12.0" customHeight="1">
      <c r="B225" s="15"/>
      <c r="C225" s="15"/>
      <c r="F225" s="59"/>
      <c r="H225" s="5"/>
      <c r="M225" s="4"/>
    </row>
    <row r="226" ht="12.0" customHeight="1">
      <c r="B226" s="15"/>
      <c r="C226" s="15"/>
      <c r="F226" s="59"/>
      <c r="H226" s="5"/>
      <c r="M226" s="4"/>
    </row>
    <row r="227" ht="12.0" customHeight="1">
      <c r="B227" s="15"/>
      <c r="C227" s="15"/>
      <c r="F227" s="59"/>
      <c r="H227" s="5"/>
      <c r="M227" s="4"/>
    </row>
    <row r="228" ht="12.0" customHeight="1">
      <c r="B228" s="15"/>
      <c r="C228" s="15"/>
      <c r="F228" s="59"/>
      <c r="H228" s="5"/>
      <c r="M228" s="4"/>
    </row>
    <row r="229" ht="12.0" customHeight="1">
      <c r="B229" s="15"/>
      <c r="C229" s="15"/>
      <c r="F229" s="59"/>
      <c r="H229" s="5"/>
      <c r="M229" s="4"/>
    </row>
    <row r="230" ht="12.0" customHeight="1">
      <c r="B230" s="15"/>
      <c r="C230" s="15"/>
      <c r="F230" s="59"/>
      <c r="H230" s="5"/>
      <c r="M230" s="4"/>
    </row>
    <row r="231" ht="12.0" customHeight="1">
      <c r="B231" s="15"/>
      <c r="C231" s="15"/>
      <c r="F231" s="59"/>
      <c r="H231" s="5"/>
      <c r="M231" s="4"/>
    </row>
    <row r="232" ht="12.0" customHeight="1">
      <c r="B232" s="15"/>
      <c r="C232" s="15"/>
      <c r="F232" s="59"/>
      <c r="H232" s="5"/>
      <c r="M232" s="4"/>
    </row>
    <row r="233" ht="12.0" customHeight="1">
      <c r="B233" s="15"/>
      <c r="C233" s="15"/>
      <c r="F233" s="59"/>
      <c r="H233" s="5"/>
      <c r="M233" s="4"/>
    </row>
    <row r="234" ht="12.0" customHeight="1">
      <c r="B234" s="15"/>
      <c r="C234" s="15"/>
      <c r="F234" s="59"/>
      <c r="H234" s="5"/>
      <c r="M234" s="4"/>
    </row>
    <row r="235" ht="12.0" customHeight="1">
      <c r="B235" s="15"/>
      <c r="C235" s="15"/>
      <c r="F235" s="59"/>
      <c r="H235" s="5"/>
      <c r="M235" s="4"/>
    </row>
    <row r="236" ht="12.0" customHeight="1">
      <c r="B236" s="15"/>
      <c r="C236" s="15"/>
      <c r="F236" s="59"/>
      <c r="H236" s="5"/>
      <c r="M236" s="4"/>
    </row>
    <row r="237" ht="12.0" customHeight="1">
      <c r="B237" s="15"/>
      <c r="C237" s="15"/>
      <c r="F237" s="59"/>
      <c r="H237" s="5"/>
      <c r="M237" s="4"/>
    </row>
    <row r="238" ht="12.0" customHeight="1">
      <c r="B238" s="15"/>
      <c r="C238" s="15"/>
      <c r="F238" s="59"/>
      <c r="H238" s="5"/>
      <c r="M238" s="4"/>
    </row>
    <row r="239" ht="12.0" customHeight="1">
      <c r="B239" s="15"/>
      <c r="C239" s="15"/>
      <c r="F239" s="59"/>
      <c r="H239" s="5"/>
      <c r="M239" s="4"/>
    </row>
    <row r="240" ht="12.0" customHeight="1">
      <c r="B240" s="15"/>
      <c r="C240" s="15"/>
      <c r="F240" s="59"/>
      <c r="H240" s="5"/>
      <c r="M240" s="4"/>
    </row>
    <row r="241" ht="12.0" customHeight="1">
      <c r="B241" s="15"/>
      <c r="C241" s="15"/>
      <c r="F241" s="59"/>
      <c r="H241" s="5"/>
      <c r="M241" s="4"/>
    </row>
    <row r="242" ht="12.0" customHeight="1">
      <c r="B242" s="15"/>
      <c r="C242" s="15"/>
      <c r="F242" s="59"/>
      <c r="H242" s="5"/>
      <c r="M242" s="4"/>
    </row>
    <row r="243" ht="12.0" customHeight="1">
      <c r="B243" s="15"/>
      <c r="C243" s="15"/>
      <c r="F243" s="59"/>
      <c r="H243" s="5"/>
      <c r="M243" s="4"/>
    </row>
    <row r="244" ht="12.0" customHeight="1">
      <c r="B244" s="15"/>
      <c r="C244" s="15"/>
      <c r="F244" s="59"/>
      <c r="H244" s="5"/>
      <c r="M244" s="4"/>
    </row>
    <row r="245" ht="12.0" customHeight="1">
      <c r="B245" s="15"/>
      <c r="C245" s="15"/>
      <c r="F245" s="59"/>
      <c r="H245" s="5"/>
      <c r="M245" s="4"/>
    </row>
    <row r="246" ht="12.0" customHeight="1">
      <c r="B246" s="15"/>
      <c r="C246" s="15"/>
      <c r="F246" s="59"/>
      <c r="H246" s="5"/>
      <c r="M246" s="4"/>
    </row>
    <row r="247" ht="12.0" customHeight="1">
      <c r="B247" s="15"/>
      <c r="C247" s="15"/>
      <c r="F247" s="59"/>
      <c r="H247" s="5"/>
      <c r="M247" s="4"/>
    </row>
    <row r="248" ht="12.0" customHeight="1">
      <c r="B248" s="15"/>
      <c r="C248" s="15"/>
      <c r="F248" s="59"/>
      <c r="H248" s="5"/>
      <c r="M248" s="4"/>
    </row>
    <row r="249" ht="12.0" customHeight="1">
      <c r="B249" s="15"/>
      <c r="C249" s="15"/>
      <c r="F249" s="59"/>
      <c r="H249" s="5"/>
      <c r="M249" s="4"/>
    </row>
    <row r="250" ht="12.0" customHeight="1">
      <c r="B250" s="15"/>
      <c r="C250" s="15"/>
      <c r="F250" s="59"/>
      <c r="H250" s="5"/>
      <c r="M250" s="4"/>
    </row>
    <row r="251" ht="12.0" customHeight="1">
      <c r="B251" s="15"/>
      <c r="C251" s="15"/>
      <c r="F251" s="59"/>
      <c r="H251" s="5"/>
      <c r="M251" s="4"/>
    </row>
    <row r="252" ht="12.0" customHeight="1">
      <c r="B252" s="15"/>
      <c r="C252" s="15"/>
      <c r="F252" s="59"/>
      <c r="H252" s="5"/>
      <c r="M252" s="4"/>
    </row>
    <row r="253" ht="12.0" customHeight="1">
      <c r="B253" s="15"/>
      <c r="C253" s="15"/>
      <c r="F253" s="59"/>
      <c r="H253" s="5"/>
      <c r="M253" s="4"/>
    </row>
    <row r="254" ht="12.0" customHeight="1">
      <c r="B254" s="15"/>
      <c r="C254" s="15"/>
      <c r="F254" s="59"/>
      <c r="H254" s="5"/>
      <c r="M254" s="4"/>
    </row>
    <row r="255" ht="12.0" customHeight="1">
      <c r="B255" s="15"/>
      <c r="C255" s="15"/>
      <c r="F255" s="59"/>
      <c r="H255" s="5"/>
      <c r="M255" s="4"/>
    </row>
    <row r="256" ht="12.0" customHeight="1">
      <c r="B256" s="15"/>
      <c r="C256" s="15"/>
      <c r="F256" s="59"/>
      <c r="H256" s="5"/>
      <c r="M256" s="4"/>
    </row>
    <row r="257" ht="12.0" customHeight="1">
      <c r="B257" s="15"/>
      <c r="C257" s="15"/>
      <c r="F257" s="59"/>
      <c r="H257" s="5"/>
      <c r="M257" s="4"/>
    </row>
    <row r="258" ht="12.0" customHeight="1">
      <c r="B258" s="15"/>
      <c r="C258" s="15"/>
      <c r="F258" s="59"/>
      <c r="H258" s="5"/>
      <c r="M258" s="4"/>
    </row>
    <row r="259" ht="12.0" customHeight="1">
      <c r="B259" s="15"/>
      <c r="C259" s="15"/>
      <c r="F259" s="59"/>
      <c r="H259" s="5"/>
      <c r="M259" s="4"/>
    </row>
    <row r="260" ht="12.0" customHeight="1">
      <c r="B260" s="15"/>
      <c r="C260" s="15"/>
      <c r="F260" s="59"/>
      <c r="H260" s="5"/>
      <c r="M260" s="4"/>
    </row>
    <row r="261" ht="12.0" customHeight="1">
      <c r="B261" s="15"/>
      <c r="C261" s="15"/>
      <c r="F261" s="59"/>
      <c r="H261" s="5"/>
      <c r="M261" s="4"/>
    </row>
    <row r="262" ht="12.0" customHeight="1">
      <c r="B262" s="15"/>
      <c r="C262" s="15"/>
      <c r="F262" s="59"/>
      <c r="H262" s="5"/>
      <c r="M262" s="4"/>
    </row>
    <row r="263" ht="12.0" customHeight="1">
      <c r="B263" s="15"/>
      <c r="C263" s="15"/>
      <c r="F263" s="59"/>
      <c r="H263" s="5"/>
      <c r="M263" s="4"/>
    </row>
    <row r="264" ht="12.0" customHeight="1">
      <c r="B264" s="15"/>
      <c r="C264" s="15"/>
      <c r="F264" s="59"/>
      <c r="H264" s="5"/>
      <c r="M264" s="4"/>
    </row>
    <row r="265" ht="12.0" customHeight="1">
      <c r="B265" s="15"/>
      <c r="C265" s="15"/>
      <c r="F265" s="59"/>
      <c r="H265" s="5"/>
      <c r="M265" s="4"/>
    </row>
    <row r="266" ht="12.0" customHeight="1">
      <c r="B266" s="15"/>
      <c r="C266" s="15"/>
      <c r="F266" s="59"/>
      <c r="H266" s="5"/>
      <c r="M266" s="4"/>
    </row>
    <row r="267" ht="12.0" customHeight="1">
      <c r="B267" s="15"/>
      <c r="C267" s="15"/>
      <c r="F267" s="59"/>
      <c r="H267" s="5"/>
      <c r="M267" s="4"/>
    </row>
    <row r="268" ht="12.0" customHeight="1">
      <c r="B268" s="15"/>
      <c r="C268" s="15"/>
      <c r="F268" s="59"/>
      <c r="H268" s="5"/>
      <c r="M268" s="4"/>
    </row>
    <row r="269" ht="12.0" customHeight="1">
      <c r="B269" s="15"/>
      <c r="C269" s="15"/>
      <c r="F269" s="59"/>
      <c r="H269" s="5"/>
      <c r="M269" s="4"/>
    </row>
    <row r="270" ht="12.0" customHeight="1">
      <c r="B270" s="15"/>
      <c r="C270" s="15"/>
      <c r="F270" s="59"/>
      <c r="H270" s="5"/>
      <c r="M270" s="4"/>
    </row>
    <row r="271" ht="12.0" customHeight="1">
      <c r="B271" s="15"/>
      <c r="C271" s="15"/>
      <c r="F271" s="59"/>
      <c r="H271" s="5"/>
      <c r="M271" s="4"/>
    </row>
    <row r="272" ht="12.0" customHeight="1">
      <c r="B272" s="15"/>
      <c r="C272" s="15"/>
      <c r="F272" s="59"/>
      <c r="H272" s="5"/>
      <c r="M272" s="4"/>
    </row>
    <row r="273" ht="12.0" customHeight="1">
      <c r="B273" s="15"/>
      <c r="C273" s="15"/>
      <c r="F273" s="59"/>
      <c r="H273" s="5"/>
      <c r="M273" s="4"/>
    </row>
    <row r="274" ht="12.0" customHeight="1">
      <c r="B274" s="15"/>
      <c r="C274" s="15"/>
      <c r="F274" s="59"/>
      <c r="H274" s="5"/>
      <c r="M274" s="4"/>
    </row>
    <row r="275" ht="12.0" customHeight="1">
      <c r="B275" s="15"/>
      <c r="C275" s="15"/>
      <c r="F275" s="59"/>
      <c r="H275" s="5"/>
      <c r="M275" s="4"/>
    </row>
    <row r="276" ht="12.0" customHeight="1">
      <c r="B276" s="15"/>
      <c r="C276" s="15"/>
      <c r="F276" s="59"/>
      <c r="H276" s="5"/>
      <c r="M276" s="4"/>
    </row>
    <row r="277" ht="12.0" customHeight="1">
      <c r="B277" s="15"/>
      <c r="C277" s="15"/>
      <c r="F277" s="59"/>
      <c r="H277" s="5"/>
      <c r="M277" s="4"/>
    </row>
    <row r="278" ht="12.0" customHeight="1">
      <c r="B278" s="15"/>
      <c r="C278" s="15"/>
      <c r="F278" s="59"/>
      <c r="H278" s="5"/>
      <c r="M278" s="4"/>
    </row>
    <row r="279" ht="12.0" customHeight="1">
      <c r="B279" s="15"/>
      <c r="C279" s="15"/>
      <c r="F279" s="59"/>
      <c r="H279" s="5"/>
      <c r="M279" s="4"/>
    </row>
    <row r="280" ht="12.0" customHeight="1">
      <c r="B280" s="15"/>
      <c r="C280" s="15"/>
      <c r="F280" s="59"/>
      <c r="H280" s="5"/>
      <c r="M280" s="4"/>
    </row>
    <row r="281" ht="12.0" customHeight="1">
      <c r="B281" s="15"/>
      <c r="C281" s="15"/>
      <c r="F281" s="59"/>
      <c r="H281" s="5"/>
      <c r="M281" s="4"/>
    </row>
    <row r="282" ht="12.0" customHeight="1">
      <c r="B282" s="15"/>
      <c r="C282" s="15"/>
      <c r="F282" s="59"/>
      <c r="H282" s="5"/>
      <c r="M282" s="4"/>
    </row>
    <row r="283" ht="12.0" customHeight="1">
      <c r="B283" s="15"/>
      <c r="C283" s="15"/>
      <c r="F283" s="59"/>
      <c r="H283" s="5"/>
      <c r="M283" s="4"/>
    </row>
    <row r="284" ht="12.0" customHeight="1">
      <c r="B284" s="15"/>
      <c r="C284" s="15"/>
      <c r="F284" s="59"/>
      <c r="H284" s="5"/>
      <c r="M284" s="4"/>
    </row>
    <row r="285" ht="12.0" customHeight="1">
      <c r="B285" s="15"/>
      <c r="C285" s="15"/>
      <c r="F285" s="59"/>
      <c r="H285" s="5"/>
      <c r="M285" s="4"/>
    </row>
    <row r="286" ht="12.0" customHeight="1">
      <c r="B286" s="15"/>
      <c r="C286" s="15"/>
      <c r="F286" s="59"/>
      <c r="H286" s="5"/>
      <c r="M286" s="4"/>
    </row>
    <row r="287" ht="12.0" customHeight="1">
      <c r="B287" s="15"/>
      <c r="C287" s="15"/>
      <c r="F287" s="59"/>
      <c r="H287" s="5"/>
      <c r="M287" s="4"/>
    </row>
    <row r="288" ht="12.0" customHeight="1">
      <c r="B288" s="15"/>
      <c r="C288" s="15"/>
      <c r="F288" s="59"/>
      <c r="H288" s="5"/>
      <c r="M288" s="4"/>
    </row>
    <row r="289" ht="12.0" customHeight="1">
      <c r="B289" s="15"/>
      <c r="C289" s="15"/>
      <c r="F289" s="59"/>
      <c r="H289" s="5"/>
      <c r="M289" s="4"/>
    </row>
    <row r="290" ht="12.0" customHeight="1">
      <c r="B290" s="15"/>
      <c r="C290" s="15"/>
      <c r="F290" s="59"/>
      <c r="H290" s="5"/>
      <c r="M290" s="4"/>
    </row>
    <row r="291" ht="12.0" customHeight="1">
      <c r="B291" s="15"/>
      <c r="C291" s="15"/>
      <c r="F291" s="59"/>
      <c r="H291" s="5"/>
      <c r="M291" s="4"/>
    </row>
    <row r="292" ht="12.0" customHeight="1">
      <c r="B292" s="15"/>
      <c r="C292" s="15"/>
      <c r="F292" s="59"/>
      <c r="H292" s="5"/>
      <c r="M292" s="4"/>
    </row>
    <row r="293" ht="12.0" customHeight="1">
      <c r="B293" s="15"/>
      <c r="C293" s="15"/>
      <c r="F293" s="59"/>
      <c r="H293" s="5"/>
      <c r="M293" s="4"/>
    </row>
    <row r="294" ht="12.0" customHeight="1">
      <c r="B294" s="15"/>
      <c r="C294" s="15"/>
      <c r="F294" s="59"/>
      <c r="H294" s="5"/>
      <c r="M294" s="4"/>
    </row>
    <row r="295" ht="12.0" customHeight="1">
      <c r="B295" s="15"/>
      <c r="C295" s="15"/>
      <c r="F295" s="59"/>
      <c r="H295" s="5"/>
      <c r="M295" s="4"/>
    </row>
    <row r="296" ht="12.0" customHeight="1">
      <c r="B296" s="15"/>
      <c r="C296" s="15"/>
      <c r="F296" s="59"/>
      <c r="H296" s="5"/>
      <c r="M296" s="4"/>
    </row>
    <row r="297" ht="12.0" customHeight="1">
      <c r="B297" s="15"/>
      <c r="C297" s="15"/>
      <c r="F297" s="59"/>
      <c r="H297" s="5"/>
      <c r="M297" s="4"/>
    </row>
    <row r="298" ht="12.0" customHeight="1">
      <c r="B298" s="15"/>
      <c r="C298" s="15"/>
      <c r="F298" s="59"/>
      <c r="H298" s="5"/>
      <c r="M298" s="4"/>
    </row>
    <row r="299" ht="12.0" customHeight="1">
      <c r="B299" s="15"/>
      <c r="C299" s="15"/>
      <c r="F299" s="59"/>
      <c r="H299" s="5"/>
      <c r="M299" s="4"/>
    </row>
    <row r="300" ht="12.0" customHeight="1">
      <c r="B300" s="15"/>
      <c r="C300" s="15"/>
      <c r="F300" s="59"/>
      <c r="H300" s="5"/>
      <c r="M300" s="4"/>
    </row>
    <row r="301" ht="12.0" customHeight="1">
      <c r="B301" s="15"/>
      <c r="C301" s="15"/>
      <c r="F301" s="59"/>
      <c r="H301" s="5"/>
      <c r="M301" s="4"/>
    </row>
    <row r="302" ht="12.0" customHeight="1">
      <c r="B302" s="15"/>
      <c r="C302" s="15"/>
      <c r="F302" s="59"/>
      <c r="H302" s="5"/>
      <c r="M302" s="4"/>
    </row>
    <row r="303" ht="12.0" customHeight="1">
      <c r="B303" s="15"/>
      <c r="C303" s="15"/>
      <c r="F303" s="59"/>
      <c r="H303" s="5"/>
      <c r="M303" s="4"/>
    </row>
    <row r="304" ht="12.0" customHeight="1">
      <c r="B304" s="15"/>
      <c r="C304" s="15"/>
      <c r="F304" s="59"/>
      <c r="H304" s="5"/>
      <c r="M304" s="4"/>
    </row>
    <row r="305" ht="12.0" customHeight="1">
      <c r="B305" s="15"/>
      <c r="C305" s="15"/>
      <c r="F305" s="59"/>
      <c r="H305" s="5"/>
      <c r="M305" s="4"/>
    </row>
    <row r="306" ht="12.0" customHeight="1">
      <c r="B306" s="15"/>
      <c r="C306" s="15"/>
      <c r="F306" s="59"/>
      <c r="H306" s="5"/>
      <c r="M306" s="4"/>
    </row>
    <row r="307" ht="12.0" customHeight="1">
      <c r="B307" s="15"/>
      <c r="C307" s="15"/>
      <c r="F307" s="59"/>
      <c r="H307" s="5"/>
      <c r="M307" s="4"/>
    </row>
    <row r="308" ht="12.0" customHeight="1">
      <c r="B308" s="15"/>
      <c r="C308" s="15"/>
      <c r="F308" s="59"/>
      <c r="H308" s="5"/>
      <c r="M308" s="4"/>
    </row>
    <row r="309" ht="12.0" customHeight="1">
      <c r="B309" s="15"/>
      <c r="C309" s="15"/>
      <c r="F309" s="59"/>
      <c r="H309" s="5"/>
      <c r="M309" s="4"/>
    </row>
    <row r="310" ht="12.0" customHeight="1">
      <c r="B310" s="15"/>
      <c r="C310" s="15"/>
      <c r="F310" s="59"/>
      <c r="H310" s="5"/>
      <c r="M310" s="4"/>
    </row>
    <row r="311" ht="12.0" customHeight="1">
      <c r="B311" s="15"/>
      <c r="C311" s="15"/>
      <c r="F311" s="59"/>
      <c r="H311" s="5"/>
      <c r="M311" s="4"/>
    </row>
    <row r="312" ht="12.0" customHeight="1">
      <c r="B312" s="15"/>
      <c r="C312" s="15"/>
      <c r="F312" s="59"/>
      <c r="H312" s="5"/>
      <c r="M312" s="4"/>
    </row>
    <row r="313" ht="12.0" customHeight="1">
      <c r="B313" s="15"/>
      <c r="C313" s="15"/>
      <c r="F313" s="59"/>
      <c r="H313" s="5"/>
      <c r="M313" s="4"/>
    </row>
    <row r="314" ht="12.0" customHeight="1">
      <c r="B314" s="15"/>
      <c r="C314" s="15"/>
      <c r="F314" s="59"/>
      <c r="H314" s="5"/>
      <c r="M314" s="4"/>
    </row>
    <row r="315" ht="12.0" customHeight="1">
      <c r="B315" s="15"/>
      <c r="C315" s="15"/>
      <c r="F315" s="59"/>
      <c r="H315" s="5"/>
      <c r="M315" s="4"/>
    </row>
    <row r="316" ht="12.0" customHeight="1">
      <c r="B316" s="15"/>
      <c r="C316" s="15"/>
      <c r="F316" s="59"/>
      <c r="H316" s="5"/>
      <c r="M316" s="4"/>
    </row>
    <row r="317" ht="12.0" customHeight="1">
      <c r="B317" s="15"/>
      <c r="C317" s="15"/>
      <c r="F317" s="59"/>
      <c r="H317" s="5"/>
      <c r="M317" s="4"/>
    </row>
    <row r="318" ht="12.0" customHeight="1">
      <c r="B318" s="15"/>
      <c r="C318" s="15"/>
      <c r="F318" s="59"/>
      <c r="H318" s="5"/>
      <c r="M318" s="4"/>
    </row>
    <row r="319" ht="12.0" customHeight="1">
      <c r="B319" s="15"/>
      <c r="C319" s="15"/>
      <c r="F319" s="59"/>
      <c r="H319" s="5"/>
      <c r="M319" s="4"/>
    </row>
    <row r="320" ht="12.0" customHeight="1">
      <c r="B320" s="15"/>
      <c r="C320" s="15"/>
      <c r="F320" s="59"/>
      <c r="H320" s="5"/>
      <c r="M320" s="4"/>
    </row>
    <row r="321" ht="12.0" customHeight="1">
      <c r="B321" s="15"/>
      <c r="C321" s="15"/>
      <c r="F321" s="59"/>
      <c r="H321" s="5"/>
      <c r="M321" s="4"/>
    </row>
    <row r="322" ht="12.0" customHeight="1">
      <c r="B322" s="15"/>
      <c r="C322" s="15"/>
      <c r="F322" s="59"/>
      <c r="H322" s="5"/>
      <c r="M322" s="4"/>
    </row>
    <row r="323" ht="12.0" customHeight="1">
      <c r="B323" s="15"/>
      <c r="C323" s="15"/>
      <c r="F323" s="59"/>
      <c r="H323" s="5"/>
      <c r="M323" s="4"/>
    </row>
    <row r="324" ht="12.0" customHeight="1">
      <c r="B324" s="15"/>
      <c r="C324" s="15"/>
      <c r="F324" s="59"/>
      <c r="H324" s="5"/>
      <c r="M324" s="4"/>
    </row>
    <row r="325" ht="12.0" customHeight="1">
      <c r="B325" s="15"/>
      <c r="C325" s="15"/>
      <c r="F325" s="59"/>
      <c r="H325" s="5"/>
      <c r="M325" s="4"/>
    </row>
    <row r="326" ht="12.0" customHeight="1">
      <c r="B326" s="15"/>
      <c r="C326" s="15"/>
      <c r="F326" s="59"/>
      <c r="H326" s="5"/>
      <c r="M326" s="4"/>
    </row>
    <row r="327" ht="12.0" customHeight="1">
      <c r="B327" s="15"/>
      <c r="C327" s="15"/>
      <c r="F327" s="59"/>
      <c r="H327" s="5"/>
      <c r="M327" s="4"/>
    </row>
    <row r="328" ht="12.0" customHeight="1">
      <c r="B328" s="15"/>
      <c r="C328" s="15"/>
      <c r="F328" s="59"/>
      <c r="H328" s="5"/>
      <c r="M328" s="4"/>
    </row>
    <row r="329" ht="12.0" customHeight="1">
      <c r="B329" s="15"/>
      <c r="C329" s="15"/>
      <c r="F329" s="59"/>
      <c r="H329" s="5"/>
      <c r="M329" s="4"/>
    </row>
    <row r="330" ht="12.0" customHeight="1">
      <c r="B330" s="15"/>
      <c r="C330" s="15"/>
      <c r="F330" s="59"/>
      <c r="H330" s="5"/>
      <c r="M330" s="4"/>
    </row>
    <row r="331" ht="12.0" customHeight="1">
      <c r="B331" s="15"/>
      <c r="C331" s="15"/>
      <c r="F331" s="59"/>
      <c r="H331" s="5"/>
      <c r="M331" s="4"/>
    </row>
    <row r="332" ht="12.0" customHeight="1">
      <c r="B332" s="15"/>
      <c r="C332" s="15"/>
      <c r="F332" s="59"/>
      <c r="H332" s="5"/>
      <c r="M332" s="4"/>
    </row>
    <row r="333" ht="12.0" customHeight="1">
      <c r="B333" s="15"/>
      <c r="C333" s="15"/>
      <c r="F333" s="59"/>
      <c r="H333" s="5"/>
      <c r="M333" s="4"/>
    </row>
    <row r="334" ht="12.0" customHeight="1">
      <c r="B334" s="15"/>
      <c r="C334" s="15"/>
      <c r="F334" s="59"/>
      <c r="H334" s="5"/>
      <c r="M334" s="4"/>
    </row>
    <row r="335" ht="12.0" customHeight="1">
      <c r="B335" s="15"/>
      <c r="C335" s="15"/>
      <c r="F335" s="59"/>
      <c r="H335" s="5"/>
      <c r="M335" s="4"/>
    </row>
    <row r="336" ht="12.0" customHeight="1">
      <c r="B336" s="15"/>
      <c r="C336" s="15"/>
      <c r="F336" s="59"/>
      <c r="H336" s="5"/>
      <c r="M336" s="4"/>
    </row>
    <row r="337" ht="12.0" customHeight="1">
      <c r="B337" s="15"/>
      <c r="C337" s="15"/>
      <c r="F337" s="59"/>
      <c r="H337" s="5"/>
      <c r="M337" s="4"/>
    </row>
    <row r="338" ht="12.0" customHeight="1">
      <c r="B338" s="15"/>
      <c r="C338" s="15"/>
      <c r="F338" s="59"/>
      <c r="H338" s="5"/>
      <c r="M338" s="4"/>
    </row>
    <row r="339" ht="12.0" customHeight="1">
      <c r="B339" s="15"/>
      <c r="C339" s="15"/>
      <c r="F339" s="59"/>
      <c r="H339" s="5"/>
      <c r="M339" s="4"/>
    </row>
    <row r="340" ht="12.0" customHeight="1">
      <c r="B340" s="15"/>
      <c r="C340" s="15"/>
      <c r="F340" s="59"/>
      <c r="H340" s="5"/>
      <c r="M340" s="4"/>
    </row>
    <row r="341" ht="12.0" customHeight="1">
      <c r="B341" s="15"/>
      <c r="C341" s="15"/>
      <c r="F341" s="59"/>
      <c r="H341" s="5"/>
      <c r="M341" s="4"/>
    </row>
    <row r="342" ht="12.0" customHeight="1">
      <c r="B342" s="15"/>
      <c r="C342" s="15"/>
      <c r="F342" s="59"/>
      <c r="H342" s="5"/>
      <c r="M342" s="4"/>
    </row>
    <row r="343" ht="12.0" customHeight="1">
      <c r="B343" s="15"/>
      <c r="C343" s="15"/>
      <c r="F343" s="59"/>
      <c r="H343" s="5"/>
      <c r="M343" s="4"/>
    </row>
    <row r="344" ht="12.0" customHeight="1">
      <c r="B344" s="15"/>
      <c r="C344" s="15"/>
      <c r="F344" s="59"/>
      <c r="H344" s="5"/>
      <c r="M344" s="4"/>
    </row>
    <row r="345" ht="12.0" customHeight="1">
      <c r="B345" s="15"/>
      <c r="C345" s="15"/>
      <c r="F345" s="59"/>
      <c r="H345" s="5"/>
      <c r="M345" s="4"/>
    </row>
    <row r="346" ht="12.0" customHeight="1">
      <c r="B346" s="15"/>
      <c r="C346" s="15"/>
      <c r="F346" s="59"/>
      <c r="H346" s="5"/>
      <c r="M346" s="4"/>
    </row>
    <row r="347" ht="12.0" customHeight="1">
      <c r="B347" s="15"/>
      <c r="C347" s="15"/>
      <c r="F347" s="59"/>
      <c r="H347" s="5"/>
      <c r="M347" s="4"/>
    </row>
    <row r="348" ht="12.0" customHeight="1">
      <c r="B348" s="15"/>
      <c r="C348" s="15"/>
      <c r="F348" s="59"/>
      <c r="H348" s="5"/>
      <c r="M348" s="4"/>
    </row>
    <row r="349" ht="12.0" customHeight="1">
      <c r="B349" s="15"/>
      <c r="C349" s="15"/>
      <c r="F349" s="59"/>
      <c r="H349" s="5"/>
      <c r="M349" s="4"/>
    </row>
    <row r="350" ht="12.0" customHeight="1">
      <c r="B350" s="15"/>
      <c r="C350" s="15"/>
      <c r="F350" s="59"/>
      <c r="H350" s="5"/>
      <c r="M350" s="4"/>
    </row>
    <row r="351" ht="12.0" customHeight="1">
      <c r="B351" s="15"/>
      <c r="C351" s="15"/>
      <c r="F351" s="59"/>
      <c r="H351" s="5"/>
      <c r="M351" s="4"/>
    </row>
    <row r="352" ht="12.0" customHeight="1">
      <c r="B352" s="15"/>
      <c r="C352" s="15"/>
      <c r="F352" s="59"/>
      <c r="H352" s="5"/>
      <c r="M352" s="4"/>
    </row>
    <row r="353" ht="12.0" customHeight="1">
      <c r="B353" s="15"/>
      <c r="C353" s="15"/>
      <c r="F353" s="59"/>
      <c r="H353" s="5"/>
      <c r="M353" s="4"/>
    </row>
    <row r="354" ht="12.0" customHeight="1">
      <c r="B354" s="15"/>
      <c r="C354" s="15"/>
      <c r="F354" s="59"/>
      <c r="H354" s="5"/>
      <c r="M354" s="4"/>
    </row>
    <row r="355" ht="12.0" customHeight="1">
      <c r="B355" s="15"/>
      <c r="C355" s="15"/>
      <c r="F355" s="59"/>
      <c r="H355" s="5"/>
      <c r="M355" s="4"/>
    </row>
    <row r="356" ht="12.0" customHeight="1">
      <c r="B356" s="15"/>
      <c r="C356" s="15"/>
      <c r="F356" s="59"/>
      <c r="H356" s="5"/>
      <c r="M356" s="4"/>
    </row>
    <row r="357" ht="12.0" customHeight="1">
      <c r="B357" s="15"/>
      <c r="C357" s="15"/>
      <c r="F357" s="59"/>
      <c r="H357" s="5"/>
      <c r="M357" s="4"/>
    </row>
    <row r="358" ht="12.0" customHeight="1">
      <c r="B358" s="15"/>
      <c r="C358" s="15"/>
      <c r="F358" s="59"/>
      <c r="H358" s="5"/>
      <c r="M358" s="4"/>
    </row>
    <row r="359" ht="12.0" customHeight="1">
      <c r="B359" s="15"/>
      <c r="C359" s="15"/>
      <c r="F359" s="59"/>
      <c r="H359" s="5"/>
      <c r="M359" s="4"/>
    </row>
    <row r="360" ht="12.0" customHeight="1">
      <c r="B360" s="15"/>
      <c r="C360" s="15"/>
      <c r="F360" s="59"/>
      <c r="H360" s="5"/>
      <c r="M360" s="4"/>
    </row>
    <row r="361" ht="12.0" customHeight="1">
      <c r="B361" s="15"/>
      <c r="C361" s="15"/>
      <c r="F361" s="59"/>
      <c r="H361" s="5"/>
      <c r="M361" s="4"/>
    </row>
    <row r="362" ht="12.0" customHeight="1">
      <c r="B362" s="15"/>
      <c r="C362" s="15"/>
      <c r="F362" s="59"/>
      <c r="H362" s="5"/>
      <c r="M362" s="4"/>
    </row>
    <row r="363" ht="12.0" customHeight="1">
      <c r="B363" s="15"/>
      <c r="C363" s="15"/>
      <c r="F363" s="59"/>
      <c r="H363" s="5"/>
      <c r="M363" s="4"/>
    </row>
    <row r="364" ht="12.0" customHeight="1">
      <c r="B364" s="15"/>
      <c r="C364" s="15"/>
      <c r="F364" s="59"/>
      <c r="H364" s="5"/>
      <c r="M364" s="4"/>
    </row>
    <row r="365" ht="12.0" customHeight="1">
      <c r="B365" s="15"/>
      <c r="C365" s="15"/>
      <c r="F365" s="59"/>
      <c r="H365" s="5"/>
      <c r="M365" s="4"/>
    </row>
    <row r="366" ht="12.0" customHeight="1">
      <c r="B366" s="15"/>
      <c r="C366" s="15"/>
      <c r="F366" s="59"/>
      <c r="H366" s="5"/>
      <c r="M366" s="4"/>
    </row>
    <row r="367" ht="12.0" customHeight="1">
      <c r="B367" s="15"/>
      <c r="C367" s="15"/>
      <c r="F367" s="59"/>
      <c r="H367" s="5"/>
      <c r="M367" s="4"/>
    </row>
    <row r="368" ht="12.0" customHeight="1">
      <c r="B368" s="15"/>
      <c r="C368" s="15"/>
      <c r="F368" s="59"/>
      <c r="H368" s="5"/>
      <c r="M368" s="4"/>
    </row>
    <row r="369" ht="12.0" customHeight="1">
      <c r="B369" s="15"/>
      <c r="C369" s="15"/>
      <c r="F369" s="59"/>
      <c r="H369" s="5"/>
      <c r="M369" s="4"/>
    </row>
    <row r="370" ht="12.0" customHeight="1">
      <c r="B370" s="15"/>
      <c r="C370" s="15"/>
      <c r="F370" s="59"/>
      <c r="H370" s="5"/>
      <c r="M370" s="4"/>
    </row>
    <row r="371" ht="12.0" customHeight="1">
      <c r="B371" s="15"/>
      <c r="C371" s="15"/>
      <c r="F371" s="59"/>
      <c r="H371" s="5"/>
      <c r="M371" s="4"/>
    </row>
    <row r="372" ht="12.0" customHeight="1">
      <c r="B372" s="15"/>
      <c r="C372" s="15"/>
      <c r="F372" s="59"/>
      <c r="H372" s="5"/>
      <c r="M372" s="4"/>
    </row>
    <row r="373" ht="12.0" customHeight="1">
      <c r="B373" s="15"/>
      <c r="C373" s="15"/>
      <c r="F373" s="59"/>
      <c r="H373" s="5"/>
      <c r="M373" s="4"/>
    </row>
    <row r="374" ht="12.0" customHeight="1">
      <c r="B374" s="15"/>
      <c r="C374" s="15"/>
      <c r="F374" s="59"/>
      <c r="H374" s="5"/>
      <c r="M374" s="4"/>
    </row>
    <row r="375" ht="12.0" customHeight="1">
      <c r="B375" s="15"/>
      <c r="C375" s="15"/>
      <c r="F375" s="59"/>
      <c r="H375" s="5"/>
      <c r="M375" s="4"/>
    </row>
    <row r="376" ht="12.0" customHeight="1">
      <c r="B376" s="15"/>
      <c r="C376" s="15"/>
      <c r="F376" s="59"/>
      <c r="H376" s="5"/>
      <c r="M376" s="4"/>
    </row>
    <row r="377" ht="12.0" customHeight="1">
      <c r="B377" s="15"/>
      <c r="C377" s="15"/>
      <c r="F377" s="59"/>
      <c r="H377" s="5"/>
      <c r="M377" s="4"/>
    </row>
    <row r="378" ht="12.0" customHeight="1">
      <c r="B378" s="15"/>
      <c r="C378" s="15"/>
      <c r="F378" s="59"/>
      <c r="H378" s="5"/>
      <c r="M378" s="4"/>
    </row>
    <row r="379" ht="12.0" customHeight="1">
      <c r="B379" s="15"/>
      <c r="C379" s="15"/>
      <c r="F379" s="59"/>
      <c r="H379" s="5"/>
      <c r="M379" s="4"/>
    </row>
    <row r="380" ht="12.0" customHeight="1">
      <c r="B380" s="15"/>
      <c r="C380" s="15"/>
      <c r="F380" s="59"/>
      <c r="H380" s="5"/>
      <c r="M380" s="4"/>
    </row>
    <row r="381" ht="12.0" customHeight="1">
      <c r="B381" s="15"/>
      <c r="C381" s="15"/>
      <c r="F381" s="59"/>
      <c r="H381" s="5"/>
      <c r="M381" s="4"/>
    </row>
    <row r="382" ht="12.0" customHeight="1">
      <c r="B382" s="15"/>
      <c r="C382" s="15"/>
      <c r="F382" s="59"/>
      <c r="H382" s="5"/>
      <c r="M382" s="4"/>
    </row>
    <row r="383" ht="12.0" customHeight="1">
      <c r="B383" s="15"/>
      <c r="C383" s="15"/>
      <c r="F383" s="59"/>
      <c r="H383" s="5"/>
      <c r="M383" s="4"/>
    </row>
    <row r="384" ht="12.0" customHeight="1">
      <c r="B384" s="15"/>
      <c r="C384" s="15"/>
      <c r="F384" s="59"/>
      <c r="H384" s="5"/>
      <c r="M384" s="4"/>
    </row>
    <row r="385" ht="12.0" customHeight="1">
      <c r="B385" s="15"/>
      <c r="C385" s="15"/>
      <c r="F385" s="59"/>
      <c r="H385" s="5"/>
      <c r="M385" s="4"/>
    </row>
    <row r="386" ht="12.0" customHeight="1">
      <c r="B386" s="15"/>
      <c r="C386" s="15"/>
      <c r="F386" s="59"/>
      <c r="H386" s="5"/>
      <c r="M386" s="4"/>
    </row>
    <row r="387" ht="12.0" customHeight="1">
      <c r="B387" s="15"/>
      <c r="C387" s="15"/>
      <c r="F387" s="59"/>
      <c r="H387" s="5"/>
      <c r="M387" s="4"/>
    </row>
    <row r="388" ht="12.0" customHeight="1">
      <c r="B388" s="15"/>
      <c r="C388" s="15"/>
      <c r="F388" s="59"/>
      <c r="H388" s="5"/>
      <c r="M388" s="4"/>
    </row>
    <row r="389" ht="12.0" customHeight="1">
      <c r="B389" s="15"/>
      <c r="C389" s="15"/>
      <c r="F389" s="59"/>
      <c r="H389" s="5"/>
      <c r="M389" s="4"/>
    </row>
    <row r="390" ht="12.0" customHeight="1">
      <c r="B390" s="15"/>
      <c r="C390" s="15"/>
      <c r="F390" s="59"/>
      <c r="H390" s="5"/>
      <c r="M390" s="4"/>
    </row>
    <row r="391" ht="12.0" customHeight="1">
      <c r="B391" s="15"/>
      <c r="C391" s="15"/>
      <c r="F391" s="59"/>
      <c r="H391" s="5"/>
      <c r="M391" s="4"/>
    </row>
    <row r="392" ht="12.0" customHeight="1">
      <c r="B392" s="15"/>
      <c r="C392" s="15"/>
      <c r="F392" s="59"/>
      <c r="H392" s="5"/>
      <c r="M392" s="4"/>
    </row>
    <row r="393" ht="12.0" customHeight="1">
      <c r="B393" s="15"/>
      <c r="C393" s="15"/>
      <c r="F393" s="59"/>
      <c r="H393" s="5"/>
      <c r="M393" s="4"/>
    </row>
    <row r="394" ht="12.0" customHeight="1">
      <c r="B394" s="15"/>
      <c r="C394" s="15"/>
      <c r="F394" s="59"/>
      <c r="H394" s="5"/>
      <c r="M394" s="4"/>
    </row>
    <row r="395" ht="12.0" customHeight="1">
      <c r="B395" s="15"/>
      <c r="C395" s="15"/>
      <c r="F395" s="59"/>
      <c r="H395" s="5"/>
      <c r="M395" s="4"/>
    </row>
    <row r="396" ht="12.0" customHeight="1">
      <c r="B396" s="15"/>
      <c r="C396" s="15"/>
      <c r="F396" s="59"/>
      <c r="H396" s="5"/>
      <c r="M396" s="4"/>
    </row>
    <row r="397" ht="12.0" customHeight="1">
      <c r="B397" s="15"/>
      <c r="C397" s="15"/>
      <c r="F397" s="59"/>
      <c r="H397" s="5"/>
      <c r="M397" s="4"/>
    </row>
    <row r="398" ht="12.0" customHeight="1">
      <c r="B398" s="15"/>
      <c r="C398" s="15"/>
      <c r="F398" s="59"/>
      <c r="H398" s="5"/>
      <c r="M398" s="4"/>
    </row>
    <row r="399" ht="12.0" customHeight="1">
      <c r="B399" s="15"/>
      <c r="C399" s="15"/>
      <c r="F399" s="59"/>
      <c r="H399" s="5"/>
      <c r="M399" s="4"/>
    </row>
    <row r="400" ht="12.0" customHeight="1">
      <c r="B400" s="15"/>
      <c r="C400" s="15"/>
      <c r="F400" s="59"/>
      <c r="H400" s="5"/>
      <c r="M400" s="4"/>
    </row>
    <row r="401" ht="12.0" customHeight="1">
      <c r="B401" s="15"/>
      <c r="C401" s="15"/>
      <c r="F401" s="59"/>
      <c r="H401" s="5"/>
      <c r="M401" s="4"/>
    </row>
    <row r="402" ht="12.0" customHeight="1">
      <c r="B402" s="15"/>
      <c r="C402" s="15"/>
      <c r="F402" s="59"/>
      <c r="H402" s="5"/>
      <c r="M402" s="4"/>
    </row>
    <row r="403" ht="12.0" customHeight="1">
      <c r="B403" s="15"/>
      <c r="C403" s="15"/>
      <c r="F403" s="59"/>
      <c r="H403" s="5"/>
      <c r="M403" s="4"/>
    </row>
    <row r="404" ht="12.0" customHeight="1">
      <c r="B404" s="15"/>
      <c r="C404" s="15"/>
      <c r="F404" s="59"/>
      <c r="H404" s="5"/>
      <c r="M404" s="4"/>
    </row>
    <row r="405" ht="12.0" customHeight="1">
      <c r="B405" s="15"/>
      <c r="C405" s="15"/>
      <c r="F405" s="59"/>
      <c r="H405" s="5"/>
      <c r="M405" s="4"/>
    </row>
    <row r="406" ht="12.0" customHeight="1">
      <c r="B406" s="15"/>
      <c r="C406" s="15"/>
      <c r="F406" s="59"/>
      <c r="H406" s="5"/>
      <c r="M406" s="4"/>
    </row>
    <row r="407" ht="12.0" customHeight="1">
      <c r="B407" s="15"/>
      <c r="C407" s="15"/>
      <c r="F407" s="59"/>
      <c r="H407" s="5"/>
      <c r="M407" s="4"/>
    </row>
    <row r="408" ht="12.0" customHeight="1">
      <c r="B408" s="15"/>
      <c r="C408" s="15"/>
      <c r="F408" s="59"/>
      <c r="H408" s="5"/>
      <c r="M408" s="4"/>
    </row>
    <row r="409" ht="12.0" customHeight="1">
      <c r="B409" s="15"/>
      <c r="C409" s="15"/>
      <c r="F409" s="59"/>
      <c r="H409" s="5"/>
      <c r="M409" s="4"/>
    </row>
    <row r="410" ht="12.0" customHeight="1">
      <c r="B410" s="15"/>
      <c r="C410" s="15"/>
      <c r="F410" s="59"/>
      <c r="H410" s="5"/>
      <c r="M410" s="4"/>
    </row>
    <row r="411" ht="12.0" customHeight="1">
      <c r="B411" s="15"/>
      <c r="C411" s="15"/>
      <c r="F411" s="59"/>
      <c r="H411" s="5"/>
      <c r="M411" s="4"/>
    </row>
    <row r="412" ht="12.0" customHeight="1">
      <c r="B412" s="15"/>
      <c r="C412" s="15"/>
      <c r="F412" s="59"/>
      <c r="H412" s="5"/>
      <c r="M412" s="4"/>
    </row>
    <row r="413" ht="12.0" customHeight="1">
      <c r="B413" s="15"/>
      <c r="C413" s="15"/>
      <c r="F413" s="59"/>
      <c r="H413" s="5"/>
      <c r="M413" s="4"/>
    </row>
    <row r="414" ht="12.0" customHeight="1">
      <c r="B414" s="15"/>
      <c r="C414" s="15"/>
      <c r="F414" s="59"/>
      <c r="H414" s="5"/>
      <c r="M414" s="4"/>
    </row>
    <row r="415" ht="12.0" customHeight="1">
      <c r="B415" s="15"/>
      <c r="C415" s="15"/>
      <c r="F415" s="59"/>
      <c r="H415" s="5"/>
      <c r="M415" s="4"/>
    </row>
    <row r="416" ht="12.0" customHeight="1">
      <c r="B416" s="15"/>
      <c r="C416" s="15"/>
      <c r="F416" s="59"/>
      <c r="H416" s="5"/>
      <c r="M416" s="4"/>
    </row>
    <row r="417" ht="12.0" customHeight="1">
      <c r="B417" s="15"/>
      <c r="C417" s="15"/>
      <c r="F417" s="59"/>
      <c r="H417" s="5"/>
      <c r="M417" s="4"/>
    </row>
    <row r="418" ht="12.0" customHeight="1">
      <c r="B418" s="15"/>
      <c r="C418" s="15"/>
      <c r="F418" s="59"/>
      <c r="H418" s="5"/>
      <c r="M418" s="4"/>
    </row>
    <row r="419" ht="12.0" customHeight="1">
      <c r="B419" s="15"/>
      <c r="C419" s="15"/>
      <c r="F419" s="59"/>
      <c r="H419" s="5"/>
      <c r="M419" s="4"/>
    </row>
    <row r="420" ht="12.0" customHeight="1">
      <c r="B420" s="15"/>
      <c r="C420" s="15"/>
      <c r="F420" s="59"/>
      <c r="H420" s="5"/>
      <c r="M420" s="4"/>
    </row>
    <row r="421" ht="12.0" customHeight="1">
      <c r="B421" s="15"/>
      <c r="C421" s="15"/>
      <c r="F421" s="59"/>
      <c r="H421" s="5"/>
      <c r="M421" s="4"/>
    </row>
    <row r="422" ht="12.0" customHeight="1">
      <c r="B422" s="15"/>
      <c r="C422" s="15"/>
      <c r="F422" s="59"/>
      <c r="H422" s="5"/>
      <c r="M422" s="4"/>
    </row>
    <row r="423" ht="12.0" customHeight="1">
      <c r="B423" s="15"/>
      <c r="C423" s="15"/>
      <c r="F423" s="59"/>
      <c r="H423" s="5"/>
      <c r="M423" s="4"/>
    </row>
    <row r="424" ht="12.0" customHeight="1">
      <c r="B424" s="15"/>
      <c r="C424" s="15"/>
      <c r="F424" s="59"/>
      <c r="H424" s="5"/>
      <c r="M424" s="4"/>
    </row>
    <row r="425" ht="12.0" customHeight="1">
      <c r="B425" s="15"/>
      <c r="C425" s="15"/>
      <c r="F425" s="59"/>
      <c r="H425" s="5"/>
      <c r="M425" s="4"/>
    </row>
    <row r="426" ht="12.0" customHeight="1">
      <c r="B426" s="15"/>
      <c r="C426" s="15"/>
      <c r="F426" s="59"/>
      <c r="H426" s="5"/>
      <c r="M426" s="4"/>
    </row>
    <row r="427" ht="12.0" customHeight="1">
      <c r="B427" s="15"/>
      <c r="C427" s="15"/>
      <c r="F427" s="59"/>
      <c r="H427" s="5"/>
      <c r="M427" s="4"/>
    </row>
    <row r="428" ht="12.0" customHeight="1">
      <c r="B428" s="15"/>
      <c r="C428" s="15"/>
      <c r="F428" s="59"/>
      <c r="H428" s="5"/>
      <c r="M428" s="4"/>
    </row>
    <row r="429" ht="12.0" customHeight="1">
      <c r="B429" s="15"/>
      <c r="C429" s="15"/>
      <c r="F429" s="59"/>
      <c r="H429" s="5"/>
      <c r="M429" s="4"/>
    </row>
    <row r="430" ht="12.0" customHeight="1">
      <c r="B430" s="15"/>
      <c r="C430" s="15"/>
      <c r="F430" s="59"/>
      <c r="H430" s="5"/>
      <c r="M430" s="4"/>
    </row>
    <row r="431" ht="12.0" customHeight="1">
      <c r="B431" s="15"/>
      <c r="C431" s="15"/>
      <c r="F431" s="59"/>
      <c r="H431" s="5"/>
      <c r="M431" s="4"/>
    </row>
    <row r="432" ht="12.0" customHeight="1">
      <c r="B432" s="15"/>
      <c r="C432" s="15"/>
      <c r="F432" s="59"/>
      <c r="H432" s="5"/>
      <c r="M432" s="4"/>
    </row>
    <row r="433" ht="12.0" customHeight="1">
      <c r="B433" s="15"/>
      <c r="C433" s="15"/>
      <c r="F433" s="59"/>
      <c r="H433" s="5"/>
      <c r="M433" s="4"/>
    </row>
    <row r="434" ht="12.0" customHeight="1">
      <c r="B434" s="15"/>
      <c r="C434" s="15"/>
      <c r="F434" s="59"/>
      <c r="H434" s="5"/>
      <c r="M434" s="4"/>
    </row>
    <row r="435" ht="12.0" customHeight="1">
      <c r="B435" s="15"/>
      <c r="C435" s="15"/>
      <c r="F435" s="59"/>
      <c r="H435" s="5"/>
      <c r="M435" s="4"/>
    </row>
    <row r="436" ht="12.0" customHeight="1">
      <c r="B436" s="15"/>
      <c r="C436" s="15"/>
      <c r="F436" s="59"/>
      <c r="H436" s="5"/>
      <c r="M436" s="4"/>
    </row>
    <row r="437" ht="12.0" customHeight="1">
      <c r="B437" s="15"/>
      <c r="C437" s="15"/>
      <c r="F437" s="59"/>
      <c r="H437" s="5"/>
      <c r="M437" s="4"/>
    </row>
    <row r="438" ht="12.0" customHeight="1">
      <c r="B438" s="15"/>
      <c r="C438" s="15"/>
      <c r="F438" s="59"/>
      <c r="H438" s="5"/>
      <c r="M438" s="4"/>
    </row>
    <row r="439" ht="12.0" customHeight="1">
      <c r="B439" s="15"/>
      <c r="C439" s="15"/>
      <c r="F439" s="59"/>
      <c r="H439" s="5"/>
      <c r="M439" s="4"/>
    </row>
    <row r="440" ht="12.0" customHeight="1">
      <c r="B440" s="15"/>
      <c r="C440" s="15"/>
      <c r="F440" s="59"/>
      <c r="H440" s="5"/>
      <c r="M440" s="4"/>
    </row>
    <row r="441" ht="12.0" customHeight="1">
      <c r="B441" s="15"/>
      <c r="C441" s="15"/>
      <c r="F441" s="59"/>
      <c r="H441" s="5"/>
      <c r="M441" s="4"/>
    </row>
    <row r="442" ht="12.0" customHeight="1">
      <c r="B442" s="15"/>
      <c r="C442" s="15"/>
      <c r="F442" s="59"/>
      <c r="H442" s="5"/>
      <c r="M442" s="4"/>
    </row>
    <row r="443" ht="12.0" customHeight="1">
      <c r="B443" s="15"/>
      <c r="C443" s="15"/>
      <c r="F443" s="59"/>
      <c r="H443" s="5"/>
      <c r="M443" s="4"/>
    </row>
    <row r="444" ht="12.0" customHeight="1">
      <c r="B444" s="15"/>
      <c r="C444" s="15"/>
      <c r="F444" s="59"/>
      <c r="H444" s="5"/>
      <c r="M444" s="4"/>
    </row>
    <row r="445" ht="12.0" customHeight="1">
      <c r="B445" s="15"/>
      <c r="C445" s="15"/>
      <c r="F445" s="59"/>
      <c r="H445" s="5"/>
      <c r="M445" s="4"/>
    </row>
    <row r="446" ht="12.0" customHeight="1">
      <c r="B446" s="15"/>
      <c r="C446" s="15"/>
      <c r="F446" s="59"/>
      <c r="H446" s="5"/>
      <c r="M446" s="4"/>
    </row>
    <row r="447" ht="12.0" customHeight="1">
      <c r="B447" s="15"/>
      <c r="C447" s="15"/>
      <c r="F447" s="59"/>
      <c r="H447" s="5"/>
      <c r="M447" s="4"/>
    </row>
    <row r="448" ht="12.0" customHeight="1">
      <c r="B448" s="15"/>
      <c r="C448" s="15"/>
      <c r="F448" s="59"/>
      <c r="H448" s="5"/>
      <c r="M448" s="4"/>
    </row>
    <row r="449" ht="12.0" customHeight="1">
      <c r="B449" s="15"/>
      <c r="C449" s="15"/>
      <c r="F449" s="59"/>
      <c r="H449" s="5"/>
      <c r="M449" s="4"/>
    </row>
    <row r="450" ht="12.0" customHeight="1">
      <c r="B450" s="15"/>
      <c r="C450" s="15"/>
      <c r="F450" s="59"/>
      <c r="H450" s="5"/>
      <c r="M450" s="4"/>
    </row>
    <row r="451" ht="12.0" customHeight="1">
      <c r="B451" s="15"/>
      <c r="C451" s="15"/>
      <c r="F451" s="59"/>
      <c r="H451" s="5"/>
      <c r="M451" s="4"/>
    </row>
    <row r="452" ht="12.0" customHeight="1">
      <c r="B452" s="15"/>
      <c r="C452" s="15"/>
      <c r="F452" s="59"/>
      <c r="H452" s="5"/>
      <c r="M452" s="4"/>
    </row>
    <row r="453" ht="12.0" customHeight="1">
      <c r="B453" s="15"/>
      <c r="C453" s="15"/>
      <c r="F453" s="59"/>
      <c r="H453" s="5"/>
      <c r="M453" s="4"/>
    </row>
    <row r="454" ht="12.0" customHeight="1">
      <c r="B454" s="15"/>
      <c r="C454" s="15"/>
      <c r="F454" s="59"/>
      <c r="H454" s="5"/>
      <c r="M454" s="4"/>
    </row>
    <row r="455" ht="12.0" customHeight="1">
      <c r="B455" s="15"/>
      <c r="C455" s="15"/>
      <c r="F455" s="59"/>
      <c r="H455" s="5"/>
      <c r="M455" s="4"/>
    </row>
    <row r="456" ht="12.0" customHeight="1">
      <c r="B456" s="15"/>
      <c r="C456" s="15"/>
      <c r="F456" s="59"/>
      <c r="H456" s="5"/>
      <c r="M456" s="4"/>
    </row>
    <row r="457" ht="12.0" customHeight="1">
      <c r="B457" s="15"/>
      <c r="C457" s="15"/>
      <c r="F457" s="59"/>
      <c r="H457" s="5"/>
      <c r="M457" s="4"/>
    </row>
    <row r="458" ht="12.0" customHeight="1">
      <c r="B458" s="15"/>
      <c r="C458" s="15"/>
      <c r="F458" s="59"/>
      <c r="H458" s="5"/>
      <c r="M458" s="4"/>
    </row>
    <row r="459" ht="12.0" customHeight="1">
      <c r="B459" s="15"/>
      <c r="C459" s="15"/>
      <c r="F459" s="59"/>
      <c r="H459" s="5"/>
      <c r="M459" s="4"/>
    </row>
    <row r="460" ht="12.0" customHeight="1">
      <c r="B460" s="15"/>
      <c r="C460" s="15"/>
      <c r="F460" s="59"/>
      <c r="H460" s="5"/>
      <c r="M460" s="4"/>
    </row>
    <row r="461" ht="12.0" customHeight="1">
      <c r="B461" s="15"/>
      <c r="C461" s="15"/>
      <c r="F461" s="59"/>
      <c r="H461" s="5"/>
      <c r="M461" s="4"/>
    </row>
    <row r="462" ht="12.0" customHeight="1">
      <c r="B462" s="15"/>
      <c r="C462" s="15"/>
      <c r="F462" s="59"/>
      <c r="H462" s="5"/>
      <c r="M462" s="4"/>
    </row>
    <row r="463" ht="12.0" customHeight="1">
      <c r="B463" s="15"/>
      <c r="C463" s="15"/>
      <c r="F463" s="59"/>
      <c r="H463" s="5"/>
      <c r="M463" s="4"/>
    </row>
    <row r="464" ht="12.0" customHeight="1">
      <c r="B464" s="15"/>
      <c r="C464" s="15"/>
      <c r="F464" s="59"/>
      <c r="H464" s="5"/>
      <c r="M464" s="4"/>
    </row>
    <row r="465" ht="12.0" customHeight="1">
      <c r="B465" s="15"/>
      <c r="C465" s="15"/>
      <c r="F465" s="59"/>
      <c r="H465" s="5"/>
      <c r="M465" s="4"/>
    </row>
    <row r="466" ht="12.0" customHeight="1">
      <c r="B466" s="15"/>
      <c r="C466" s="15"/>
      <c r="F466" s="59"/>
      <c r="H466" s="5"/>
      <c r="M466" s="4"/>
    </row>
    <row r="467" ht="12.0" customHeight="1">
      <c r="B467" s="15"/>
      <c r="C467" s="15"/>
      <c r="F467" s="59"/>
      <c r="H467" s="5"/>
      <c r="M467" s="4"/>
    </row>
    <row r="468" ht="12.0" customHeight="1">
      <c r="B468" s="15"/>
      <c r="C468" s="15"/>
      <c r="F468" s="59"/>
      <c r="H468" s="5"/>
      <c r="M468" s="4"/>
    </row>
    <row r="469" ht="12.0" customHeight="1">
      <c r="B469" s="15"/>
      <c r="C469" s="15"/>
      <c r="F469" s="59"/>
      <c r="H469" s="5"/>
      <c r="M469" s="4"/>
    </row>
    <row r="470" ht="12.0" customHeight="1">
      <c r="B470" s="15"/>
      <c r="C470" s="15"/>
      <c r="F470" s="59"/>
      <c r="H470" s="5"/>
      <c r="M470" s="4"/>
    </row>
    <row r="471" ht="12.0" customHeight="1">
      <c r="B471" s="15"/>
      <c r="C471" s="15"/>
      <c r="F471" s="59"/>
      <c r="H471" s="5"/>
      <c r="M471" s="4"/>
    </row>
    <row r="472" ht="12.0" customHeight="1">
      <c r="B472" s="15"/>
      <c r="C472" s="15"/>
      <c r="F472" s="59"/>
      <c r="H472" s="5"/>
      <c r="M472" s="4"/>
    </row>
    <row r="473" ht="12.0" customHeight="1">
      <c r="B473" s="15"/>
      <c r="C473" s="15"/>
      <c r="F473" s="59"/>
      <c r="H473" s="5"/>
      <c r="M473" s="4"/>
    </row>
    <row r="474" ht="12.0" customHeight="1">
      <c r="B474" s="15"/>
      <c r="C474" s="15"/>
      <c r="F474" s="59"/>
      <c r="H474" s="5"/>
      <c r="M474" s="4"/>
    </row>
    <row r="475" ht="12.0" customHeight="1">
      <c r="B475" s="15"/>
      <c r="C475" s="15"/>
      <c r="F475" s="59"/>
      <c r="H475" s="5"/>
      <c r="M475" s="4"/>
    </row>
    <row r="476" ht="12.0" customHeight="1">
      <c r="B476" s="15"/>
      <c r="C476" s="15"/>
      <c r="F476" s="59"/>
      <c r="H476" s="5"/>
      <c r="M476" s="4"/>
    </row>
    <row r="477" ht="12.0" customHeight="1">
      <c r="B477" s="15"/>
      <c r="C477" s="15"/>
      <c r="F477" s="59"/>
      <c r="H477" s="5"/>
      <c r="M477" s="4"/>
    </row>
    <row r="478" ht="12.0" customHeight="1">
      <c r="B478" s="15"/>
      <c r="C478" s="15"/>
      <c r="F478" s="59"/>
      <c r="H478" s="5"/>
      <c r="M478" s="4"/>
    </row>
    <row r="479" ht="12.0" customHeight="1">
      <c r="B479" s="15"/>
      <c r="C479" s="15"/>
      <c r="F479" s="59"/>
      <c r="H479" s="5"/>
      <c r="M479" s="4"/>
    </row>
    <row r="480" ht="12.0" customHeight="1">
      <c r="B480" s="15"/>
      <c r="C480" s="15"/>
      <c r="F480" s="59"/>
      <c r="H480" s="5"/>
      <c r="M480" s="4"/>
    </row>
    <row r="481" ht="12.0" customHeight="1">
      <c r="B481" s="15"/>
      <c r="C481" s="15"/>
      <c r="F481" s="59"/>
      <c r="H481" s="5"/>
      <c r="M481" s="4"/>
    </row>
    <row r="482" ht="12.0" customHeight="1">
      <c r="B482" s="15"/>
      <c r="C482" s="15"/>
      <c r="F482" s="59"/>
      <c r="H482" s="5"/>
      <c r="M482" s="4"/>
    </row>
    <row r="483" ht="12.0" customHeight="1">
      <c r="B483" s="15"/>
      <c r="C483" s="15"/>
      <c r="F483" s="59"/>
      <c r="H483" s="5"/>
      <c r="M483" s="4"/>
    </row>
    <row r="484" ht="12.0" customHeight="1">
      <c r="B484" s="15"/>
      <c r="C484" s="15"/>
      <c r="F484" s="59"/>
      <c r="H484" s="5"/>
      <c r="M484" s="4"/>
    </row>
    <row r="485" ht="12.0" customHeight="1">
      <c r="B485" s="15"/>
      <c r="C485" s="15"/>
      <c r="F485" s="59"/>
      <c r="H485" s="5"/>
      <c r="M485" s="4"/>
    </row>
    <row r="486" ht="12.0" customHeight="1">
      <c r="B486" s="15"/>
      <c r="C486" s="15"/>
      <c r="F486" s="59"/>
      <c r="H486" s="5"/>
      <c r="M486" s="4"/>
    </row>
    <row r="487" ht="12.0" customHeight="1">
      <c r="B487" s="15"/>
      <c r="C487" s="15"/>
      <c r="F487" s="59"/>
      <c r="H487" s="5"/>
      <c r="M487" s="4"/>
    </row>
    <row r="488" ht="12.0" customHeight="1">
      <c r="B488" s="15"/>
      <c r="C488" s="15"/>
      <c r="F488" s="59"/>
      <c r="H488" s="5"/>
      <c r="M488" s="4"/>
    </row>
    <row r="489" ht="12.0" customHeight="1">
      <c r="B489" s="15"/>
      <c r="C489" s="15"/>
      <c r="F489" s="59"/>
      <c r="H489" s="5"/>
      <c r="M489" s="4"/>
    </row>
    <row r="490" ht="12.0" customHeight="1">
      <c r="B490" s="15"/>
      <c r="C490" s="15"/>
      <c r="F490" s="59"/>
      <c r="H490" s="5"/>
      <c r="M490" s="4"/>
    </row>
    <row r="491" ht="12.0" customHeight="1">
      <c r="B491" s="15"/>
      <c r="C491" s="15"/>
      <c r="F491" s="59"/>
      <c r="H491" s="5"/>
      <c r="M491" s="4"/>
    </row>
    <row r="492" ht="12.0" customHeight="1">
      <c r="B492" s="15"/>
      <c r="C492" s="15"/>
      <c r="F492" s="59"/>
      <c r="H492" s="5"/>
      <c r="M492" s="4"/>
    </row>
    <row r="493" ht="12.0" customHeight="1">
      <c r="B493" s="15"/>
      <c r="C493" s="15"/>
      <c r="F493" s="59"/>
      <c r="H493" s="5"/>
      <c r="M493" s="4"/>
    </row>
    <row r="494" ht="12.0" customHeight="1">
      <c r="B494" s="15"/>
      <c r="C494" s="15"/>
      <c r="F494" s="59"/>
      <c r="H494" s="5"/>
      <c r="M494" s="4"/>
    </row>
    <row r="495" ht="12.0" customHeight="1">
      <c r="B495" s="15"/>
      <c r="C495" s="15"/>
      <c r="F495" s="59"/>
      <c r="H495" s="5"/>
      <c r="M495" s="4"/>
    </row>
    <row r="496" ht="12.0" customHeight="1">
      <c r="B496" s="15"/>
      <c r="C496" s="15"/>
      <c r="F496" s="59"/>
      <c r="H496" s="5"/>
      <c r="M496" s="4"/>
    </row>
    <row r="497" ht="12.0" customHeight="1">
      <c r="B497" s="15"/>
      <c r="C497" s="15"/>
      <c r="F497" s="59"/>
      <c r="H497" s="5"/>
      <c r="M497" s="4"/>
    </row>
    <row r="498" ht="12.0" customHeight="1">
      <c r="B498" s="15"/>
      <c r="C498" s="15"/>
      <c r="F498" s="59"/>
      <c r="H498" s="5"/>
      <c r="M498" s="4"/>
    </row>
    <row r="499" ht="12.0" customHeight="1">
      <c r="B499" s="15"/>
      <c r="C499" s="15"/>
      <c r="F499" s="59"/>
      <c r="H499" s="5"/>
      <c r="M499" s="4"/>
    </row>
    <row r="500" ht="12.0" customHeight="1">
      <c r="B500" s="15"/>
      <c r="C500" s="15"/>
      <c r="F500" s="59"/>
      <c r="H500" s="5"/>
      <c r="M500" s="4"/>
    </row>
    <row r="501" ht="12.0" customHeight="1">
      <c r="B501" s="15"/>
      <c r="C501" s="15"/>
      <c r="F501" s="59"/>
      <c r="H501" s="5"/>
      <c r="M501" s="4"/>
    </row>
    <row r="502" ht="12.0" customHeight="1">
      <c r="B502" s="15"/>
      <c r="C502" s="15"/>
      <c r="F502" s="59"/>
      <c r="H502" s="5"/>
      <c r="M502" s="4"/>
    </row>
    <row r="503" ht="12.0" customHeight="1">
      <c r="B503" s="15"/>
      <c r="C503" s="15"/>
      <c r="F503" s="59"/>
      <c r="H503" s="5"/>
      <c r="M503" s="4"/>
    </row>
    <row r="504" ht="12.0" customHeight="1">
      <c r="B504" s="15"/>
      <c r="C504" s="15"/>
      <c r="F504" s="59"/>
      <c r="H504" s="5"/>
      <c r="M504" s="4"/>
    </row>
    <row r="505" ht="12.0" customHeight="1">
      <c r="B505" s="15"/>
      <c r="C505" s="15"/>
      <c r="F505" s="59"/>
      <c r="H505" s="5"/>
      <c r="M505" s="4"/>
    </row>
    <row r="506" ht="12.0" customHeight="1">
      <c r="B506" s="15"/>
      <c r="C506" s="15"/>
      <c r="F506" s="59"/>
      <c r="H506" s="5"/>
      <c r="M506" s="4"/>
    </row>
    <row r="507" ht="12.0" customHeight="1">
      <c r="B507" s="15"/>
      <c r="C507" s="15"/>
      <c r="F507" s="59"/>
      <c r="H507" s="5"/>
      <c r="M507" s="4"/>
    </row>
    <row r="508" ht="12.0" customHeight="1">
      <c r="B508" s="15"/>
      <c r="C508" s="15"/>
      <c r="F508" s="59"/>
      <c r="H508" s="5"/>
      <c r="M508" s="4"/>
    </row>
    <row r="509" ht="12.0" customHeight="1">
      <c r="B509" s="15"/>
      <c r="C509" s="15"/>
      <c r="F509" s="59"/>
      <c r="H509" s="5"/>
      <c r="M509" s="4"/>
    </row>
    <row r="510" ht="12.0" customHeight="1">
      <c r="B510" s="15"/>
      <c r="C510" s="15"/>
      <c r="F510" s="59"/>
      <c r="H510" s="5"/>
      <c r="M510" s="4"/>
    </row>
    <row r="511" ht="12.0" customHeight="1">
      <c r="B511" s="15"/>
      <c r="C511" s="15"/>
      <c r="F511" s="59"/>
      <c r="H511" s="5"/>
      <c r="M511" s="4"/>
    </row>
    <row r="512" ht="12.0" customHeight="1">
      <c r="B512" s="15"/>
      <c r="C512" s="15"/>
      <c r="F512" s="59"/>
      <c r="H512" s="5"/>
      <c r="M512" s="4"/>
    </row>
    <row r="513" ht="12.0" customHeight="1">
      <c r="B513" s="15"/>
      <c r="C513" s="15"/>
      <c r="F513" s="59"/>
      <c r="H513" s="5"/>
      <c r="M513" s="4"/>
    </row>
    <row r="514" ht="12.0" customHeight="1">
      <c r="B514" s="15"/>
      <c r="C514" s="15"/>
      <c r="F514" s="59"/>
      <c r="H514" s="5"/>
      <c r="M514" s="4"/>
    </row>
    <row r="515" ht="12.0" customHeight="1">
      <c r="B515" s="15"/>
      <c r="C515" s="15"/>
      <c r="F515" s="59"/>
      <c r="H515" s="5"/>
      <c r="M515" s="4"/>
    </row>
    <row r="516" ht="12.0" customHeight="1">
      <c r="B516" s="15"/>
      <c r="C516" s="15"/>
      <c r="F516" s="59"/>
      <c r="H516" s="5"/>
      <c r="M516" s="4"/>
    </row>
    <row r="517" ht="12.0" customHeight="1">
      <c r="B517" s="15"/>
      <c r="C517" s="15"/>
      <c r="F517" s="59"/>
      <c r="H517" s="5"/>
      <c r="M517" s="4"/>
    </row>
    <row r="518" ht="12.0" customHeight="1">
      <c r="B518" s="15"/>
      <c r="C518" s="15"/>
      <c r="F518" s="59"/>
      <c r="H518" s="5"/>
      <c r="M518" s="4"/>
    </row>
    <row r="519" ht="12.0" customHeight="1">
      <c r="B519" s="15"/>
      <c r="C519" s="15"/>
      <c r="F519" s="59"/>
      <c r="H519" s="5"/>
      <c r="M519" s="4"/>
    </row>
    <row r="520" ht="12.0" customHeight="1">
      <c r="B520" s="15"/>
      <c r="C520" s="15"/>
      <c r="F520" s="59"/>
      <c r="H520" s="5"/>
      <c r="M520" s="4"/>
    </row>
    <row r="521" ht="12.0" customHeight="1">
      <c r="B521" s="15"/>
      <c r="C521" s="15"/>
      <c r="F521" s="59"/>
      <c r="H521" s="5"/>
      <c r="M521" s="4"/>
    </row>
    <row r="522" ht="12.0" customHeight="1">
      <c r="B522" s="15"/>
      <c r="C522" s="15"/>
      <c r="F522" s="59"/>
      <c r="H522" s="5"/>
      <c r="M522" s="4"/>
    </row>
    <row r="523" ht="12.0" customHeight="1">
      <c r="B523" s="15"/>
      <c r="C523" s="15"/>
      <c r="F523" s="59"/>
      <c r="H523" s="5"/>
      <c r="M523" s="4"/>
    </row>
    <row r="524" ht="12.0" customHeight="1">
      <c r="B524" s="15"/>
      <c r="C524" s="15"/>
      <c r="F524" s="59"/>
      <c r="H524" s="5"/>
      <c r="M524" s="4"/>
    </row>
    <row r="525" ht="12.0" customHeight="1">
      <c r="B525" s="15"/>
      <c r="C525" s="15"/>
      <c r="F525" s="59"/>
      <c r="H525" s="5"/>
      <c r="M525" s="4"/>
    </row>
    <row r="526" ht="12.0" customHeight="1">
      <c r="B526" s="15"/>
      <c r="C526" s="15"/>
      <c r="F526" s="59"/>
      <c r="H526" s="5"/>
      <c r="M526" s="4"/>
    </row>
    <row r="527" ht="12.0" customHeight="1">
      <c r="B527" s="15"/>
      <c r="C527" s="15"/>
      <c r="F527" s="59"/>
      <c r="H527" s="5"/>
      <c r="M527" s="4"/>
    </row>
    <row r="528" ht="12.0" customHeight="1">
      <c r="B528" s="15"/>
      <c r="C528" s="15"/>
      <c r="F528" s="59"/>
      <c r="H528" s="5"/>
      <c r="M528" s="4"/>
    </row>
    <row r="529" ht="12.0" customHeight="1">
      <c r="B529" s="15"/>
      <c r="C529" s="15"/>
      <c r="F529" s="59"/>
      <c r="H529" s="5"/>
      <c r="M529" s="4"/>
    </row>
    <row r="530" ht="12.0" customHeight="1">
      <c r="B530" s="15"/>
      <c r="C530" s="15"/>
      <c r="F530" s="59"/>
      <c r="H530" s="5"/>
      <c r="M530" s="4"/>
    </row>
    <row r="531" ht="12.0" customHeight="1">
      <c r="B531" s="15"/>
      <c r="C531" s="15"/>
      <c r="F531" s="59"/>
      <c r="H531" s="5"/>
      <c r="M531" s="4"/>
    </row>
    <row r="532" ht="12.0" customHeight="1">
      <c r="B532" s="15"/>
      <c r="C532" s="15"/>
      <c r="F532" s="59"/>
      <c r="H532" s="5"/>
      <c r="M532" s="4"/>
    </row>
    <row r="533" ht="12.0" customHeight="1">
      <c r="B533" s="15"/>
      <c r="C533" s="15"/>
      <c r="F533" s="59"/>
      <c r="H533" s="5"/>
      <c r="M533" s="4"/>
    </row>
    <row r="534" ht="12.0" customHeight="1">
      <c r="B534" s="15"/>
      <c r="C534" s="15"/>
      <c r="F534" s="59"/>
      <c r="H534" s="5"/>
      <c r="M534" s="4"/>
    </row>
    <row r="535" ht="12.0" customHeight="1">
      <c r="B535" s="15"/>
      <c r="C535" s="15"/>
      <c r="F535" s="59"/>
      <c r="H535" s="5"/>
      <c r="M535" s="4"/>
    </row>
    <row r="536" ht="12.0" customHeight="1">
      <c r="B536" s="15"/>
      <c r="C536" s="15"/>
      <c r="F536" s="59"/>
      <c r="H536" s="5"/>
      <c r="M536" s="4"/>
    </row>
    <row r="537" ht="12.0" customHeight="1">
      <c r="B537" s="15"/>
      <c r="C537" s="15"/>
      <c r="F537" s="59"/>
      <c r="H537" s="5"/>
      <c r="M537" s="4"/>
    </row>
    <row r="538" ht="12.0" customHeight="1">
      <c r="B538" s="15"/>
      <c r="C538" s="15"/>
      <c r="F538" s="59"/>
      <c r="H538" s="5"/>
      <c r="M538" s="4"/>
    </row>
    <row r="539" ht="12.0" customHeight="1">
      <c r="B539" s="15"/>
      <c r="C539" s="15"/>
      <c r="F539" s="59"/>
      <c r="H539" s="5"/>
      <c r="M539" s="4"/>
    </row>
    <row r="540" ht="12.0" customHeight="1">
      <c r="B540" s="15"/>
      <c r="C540" s="15"/>
      <c r="F540" s="59"/>
      <c r="H540" s="5"/>
      <c r="M540" s="4"/>
    </row>
    <row r="541" ht="12.0" customHeight="1">
      <c r="B541" s="15"/>
      <c r="C541" s="15"/>
      <c r="F541" s="59"/>
      <c r="H541" s="5"/>
      <c r="M541" s="4"/>
    </row>
    <row r="542" ht="12.0" customHeight="1">
      <c r="B542" s="15"/>
      <c r="C542" s="15"/>
      <c r="F542" s="59"/>
      <c r="H542" s="5"/>
      <c r="M542" s="4"/>
    </row>
    <row r="543" ht="12.0" customHeight="1">
      <c r="B543" s="15"/>
      <c r="C543" s="15"/>
      <c r="F543" s="59"/>
      <c r="H543" s="5"/>
      <c r="M543" s="4"/>
    </row>
    <row r="544" ht="12.0" customHeight="1">
      <c r="B544" s="15"/>
      <c r="C544" s="15"/>
      <c r="F544" s="59"/>
      <c r="H544" s="5"/>
      <c r="M544" s="4"/>
    </row>
    <row r="545" ht="12.0" customHeight="1">
      <c r="B545" s="15"/>
      <c r="C545" s="15"/>
      <c r="F545" s="59"/>
      <c r="H545" s="5"/>
      <c r="M545" s="4"/>
    </row>
    <row r="546" ht="12.0" customHeight="1">
      <c r="B546" s="15"/>
      <c r="C546" s="15"/>
      <c r="F546" s="59"/>
      <c r="H546" s="5"/>
      <c r="M546" s="4"/>
    </row>
    <row r="547" ht="12.0" customHeight="1">
      <c r="B547" s="15"/>
      <c r="C547" s="15"/>
      <c r="F547" s="59"/>
      <c r="H547" s="5"/>
      <c r="M547" s="4"/>
    </row>
    <row r="548" ht="12.0" customHeight="1">
      <c r="B548" s="15"/>
      <c r="C548" s="15"/>
      <c r="F548" s="59"/>
      <c r="H548" s="5"/>
      <c r="M548" s="4"/>
    </row>
    <row r="549" ht="12.0" customHeight="1">
      <c r="B549" s="15"/>
      <c r="C549" s="15"/>
      <c r="F549" s="59"/>
      <c r="H549" s="5"/>
      <c r="M549" s="4"/>
    </row>
    <row r="550" ht="12.0" customHeight="1">
      <c r="B550" s="15"/>
      <c r="C550" s="15"/>
      <c r="F550" s="59"/>
      <c r="H550" s="5"/>
      <c r="M550" s="4"/>
    </row>
    <row r="551" ht="12.0" customHeight="1">
      <c r="B551" s="15"/>
      <c r="C551" s="15"/>
      <c r="F551" s="59"/>
      <c r="H551" s="5"/>
      <c r="M551" s="4"/>
    </row>
    <row r="552" ht="12.0" customHeight="1">
      <c r="B552" s="15"/>
      <c r="C552" s="15"/>
      <c r="F552" s="59"/>
      <c r="H552" s="5"/>
      <c r="M552" s="4"/>
    </row>
    <row r="553" ht="12.0" customHeight="1">
      <c r="B553" s="15"/>
      <c r="C553" s="15"/>
      <c r="F553" s="59"/>
      <c r="H553" s="5"/>
      <c r="M553" s="4"/>
    </row>
    <row r="554" ht="12.0" customHeight="1">
      <c r="B554" s="15"/>
      <c r="C554" s="15"/>
      <c r="F554" s="59"/>
      <c r="H554" s="5"/>
      <c r="M554" s="4"/>
    </row>
    <row r="555" ht="12.0" customHeight="1">
      <c r="B555" s="15"/>
      <c r="C555" s="15"/>
      <c r="F555" s="59"/>
      <c r="H555" s="5"/>
      <c r="M555" s="4"/>
    </row>
    <row r="556" ht="12.0" customHeight="1">
      <c r="B556" s="15"/>
      <c r="C556" s="15"/>
      <c r="F556" s="59"/>
      <c r="H556" s="5"/>
      <c r="M556" s="4"/>
    </row>
    <row r="557" ht="12.0" customHeight="1">
      <c r="B557" s="15"/>
      <c r="C557" s="15"/>
      <c r="F557" s="59"/>
      <c r="H557" s="5"/>
      <c r="M557" s="4"/>
    </row>
    <row r="558" ht="12.0" customHeight="1">
      <c r="B558" s="15"/>
      <c r="C558" s="15"/>
      <c r="F558" s="59"/>
      <c r="H558" s="5"/>
      <c r="M558" s="4"/>
    </row>
    <row r="559" ht="12.0" customHeight="1">
      <c r="B559" s="15"/>
      <c r="C559" s="15"/>
      <c r="F559" s="59"/>
      <c r="H559" s="5"/>
      <c r="M559" s="4"/>
    </row>
    <row r="560" ht="12.0" customHeight="1">
      <c r="B560" s="15"/>
      <c r="C560" s="15"/>
      <c r="F560" s="59"/>
      <c r="H560" s="5"/>
      <c r="M560" s="4"/>
    </row>
    <row r="561" ht="12.0" customHeight="1">
      <c r="B561" s="15"/>
      <c r="C561" s="15"/>
      <c r="F561" s="59"/>
      <c r="H561" s="5"/>
      <c r="M561" s="4"/>
    </row>
    <row r="562" ht="12.0" customHeight="1">
      <c r="B562" s="15"/>
      <c r="C562" s="15"/>
      <c r="F562" s="59"/>
      <c r="H562" s="5"/>
      <c r="M562" s="4"/>
    </row>
    <row r="563" ht="12.0" customHeight="1">
      <c r="B563" s="15"/>
      <c r="C563" s="15"/>
      <c r="F563" s="59"/>
      <c r="H563" s="5"/>
      <c r="M563" s="4"/>
    </row>
    <row r="564" ht="12.0" customHeight="1">
      <c r="B564" s="15"/>
      <c r="C564" s="15"/>
      <c r="F564" s="59"/>
      <c r="H564" s="5"/>
      <c r="M564" s="4"/>
    </row>
    <row r="565" ht="12.0" customHeight="1">
      <c r="B565" s="15"/>
      <c r="C565" s="15"/>
      <c r="F565" s="59"/>
      <c r="H565" s="5"/>
      <c r="M565" s="4"/>
    </row>
    <row r="566" ht="12.0" customHeight="1">
      <c r="B566" s="15"/>
      <c r="C566" s="15"/>
      <c r="F566" s="59"/>
      <c r="H566" s="5"/>
      <c r="M566" s="4"/>
    </row>
    <row r="567" ht="12.0" customHeight="1">
      <c r="B567" s="15"/>
      <c r="C567" s="15"/>
      <c r="F567" s="59"/>
      <c r="H567" s="5"/>
      <c r="M567" s="4"/>
    </row>
    <row r="568" ht="12.0" customHeight="1">
      <c r="B568" s="15"/>
      <c r="C568" s="15"/>
      <c r="F568" s="59"/>
      <c r="H568" s="5"/>
      <c r="M568" s="4"/>
    </row>
    <row r="569" ht="12.0" customHeight="1">
      <c r="B569" s="15"/>
      <c r="C569" s="15"/>
      <c r="F569" s="59"/>
      <c r="H569" s="5"/>
      <c r="M569" s="4"/>
    </row>
    <row r="570" ht="12.0" customHeight="1">
      <c r="B570" s="15"/>
      <c r="C570" s="15"/>
      <c r="F570" s="59"/>
      <c r="H570" s="5"/>
      <c r="M570" s="4"/>
    </row>
    <row r="571" ht="12.0" customHeight="1">
      <c r="B571" s="15"/>
      <c r="C571" s="15"/>
      <c r="F571" s="59"/>
      <c r="H571" s="5"/>
      <c r="M571" s="4"/>
    </row>
    <row r="572" ht="12.0" customHeight="1">
      <c r="B572" s="15"/>
      <c r="C572" s="15"/>
      <c r="F572" s="59"/>
      <c r="H572" s="5"/>
      <c r="M572" s="4"/>
    </row>
    <row r="573" ht="12.0" customHeight="1">
      <c r="B573" s="15"/>
      <c r="C573" s="15"/>
      <c r="F573" s="59"/>
      <c r="H573" s="5"/>
      <c r="M573" s="4"/>
    </row>
    <row r="574" ht="12.0" customHeight="1">
      <c r="B574" s="15"/>
      <c r="C574" s="15"/>
      <c r="F574" s="59"/>
      <c r="H574" s="5"/>
      <c r="M574" s="4"/>
    </row>
    <row r="575" ht="12.0" customHeight="1">
      <c r="B575" s="15"/>
      <c r="C575" s="15"/>
      <c r="F575" s="59"/>
      <c r="H575" s="5"/>
      <c r="M575" s="4"/>
    </row>
    <row r="576" ht="12.0" customHeight="1">
      <c r="B576" s="15"/>
      <c r="C576" s="15"/>
      <c r="F576" s="59"/>
      <c r="H576" s="5"/>
      <c r="M576" s="4"/>
    </row>
    <row r="577" ht="12.0" customHeight="1">
      <c r="B577" s="15"/>
      <c r="C577" s="15"/>
      <c r="F577" s="59"/>
      <c r="H577" s="5"/>
      <c r="M577" s="4"/>
    </row>
    <row r="578" ht="12.0" customHeight="1">
      <c r="B578" s="15"/>
      <c r="C578" s="15"/>
      <c r="F578" s="59"/>
      <c r="H578" s="5"/>
      <c r="M578" s="4"/>
    </row>
    <row r="579" ht="12.0" customHeight="1">
      <c r="B579" s="15"/>
      <c r="C579" s="15"/>
      <c r="F579" s="59"/>
      <c r="H579" s="5"/>
      <c r="M579" s="4"/>
    </row>
    <row r="580" ht="12.0" customHeight="1">
      <c r="B580" s="15"/>
      <c r="C580" s="15"/>
      <c r="F580" s="59"/>
      <c r="H580" s="5"/>
      <c r="M580" s="4"/>
    </row>
    <row r="581" ht="12.0" customHeight="1">
      <c r="B581" s="15"/>
      <c r="C581" s="15"/>
      <c r="F581" s="59"/>
      <c r="H581" s="5"/>
      <c r="M581" s="4"/>
    </row>
    <row r="582" ht="12.0" customHeight="1">
      <c r="B582" s="15"/>
      <c r="C582" s="15"/>
      <c r="F582" s="59"/>
      <c r="H582" s="5"/>
      <c r="M582" s="4"/>
    </row>
    <row r="583" ht="12.0" customHeight="1">
      <c r="B583" s="15"/>
      <c r="C583" s="15"/>
      <c r="F583" s="59"/>
      <c r="H583" s="5"/>
      <c r="M583" s="4"/>
    </row>
    <row r="584" ht="12.0" customHeight="1">
      <c r="B584" s="15"/>
      <c r="C584" s="15"/>
      <c r="F584" s="59"/>
      <c r="H584" s="5"/>
      <c r="M584" s="4"/>
    </row>
    <row r="585" ht="12.0" customHeight="1">
      <c r="B585" s="15"/>
      <c r="C585" s="15"/>
      <c r="F585" s="59"/>
      <c r="H585" s="5"/>
      <c r="M585" s="4"/>
    </row>
    <row r="586" ht="12.0" customHeight="1">
      <c r="B586" s="15"/>
      <c r="C586" s="15"/>
      <c r="F586" s="59"/>
      <c r="H586" s="5"/>
      <c r="M586" s="4"/>
    </row>
    <row r="587" ht="12.0" customHeight="1">
      <c r="B587" s="15"/>
      <c r="C587" s="15"/>
      <c r="F587" s="59"/>
      <c r="H587" s="5"/>
      <c r="M587" s="4"/>
    </row>
    <row r="588" ht="12.0" customHeight="1">
      <c r="B588" s="15"/>
      <c r="C588" s="15"/>
      <c r="F588" s="59"/>
      <c r="H588" s="5"/>
      <c r="M588" s="4"/>
    </row>
    <row r="589" ht="12.0" customHeight="1">
      <c r="B589" s="15"/>
      <c r="C589" s="15"/>
      <c r="F589" s="59"/>
      <c r="H589" s="5"/>
      <c r="M589" s="4"/>
    </row>
    <row r="590" ht="12.0" customHeight="1">
      <c r="B590" s="15"/>
      <c r="C590" s="15"/>
      <c r="F590" s="59"/>
      <c r="H590" s="5"/>
      <c r="M590" s="4"/>
    </row>
    <row r="591" ht="12.0" customHeight="1">
      <c r="B591" s="15"/>
      <c r="C591" s="15"/>
      <c r="F591" s="59"/>
      <c r="H591" s="5"/>
      <c r="M591" s="4"/>
    </row>
    <row r="592" ht="12.0" customHeight="1">
      <c r="B592" s="15"/>
      <c r="C592" s="15"/>
      <c r="F592" s="59"/>
      <c r="H592" s="5"/>
      <c r="M592" s="4"/>
    </row>
    <row r="593" ht="12.0" customHeight="1">
      <c r="B593" s="15"/>
      <c r="C593" s="15"/>
      <c r="F593" s="59"/>
      <c r="H593" s="5"/>
      <c r="M593" s="4"/>
    </row>
    <row r="594" ht="12.0" customHeight="1">
      <c r="B594" s="15"/>
      <c r="C594" s="15"/>
      <c r="F594" s="59"/>
      <c r="H594" s="5"/>
      <c r="M594" s="4"/>
    </row>
    <row r="595" ht="12.0" customHeight="1">
      <c r="B595" s="15"/>
      <c r="C595" s="15"/>
      <c r="F595" s="59"/>
      <c r="H595" s="5"/>
      <c r="M595" s="4"/>
    </row>
    <row r="596" ht="12.0" customHeight="1">
      <c r="B596" s="15"/>
      <c r="C596" s="15"/>
      <c r="F596" s="59"/>
      <c r="H596" s="5"/>
      <c r="M596" s="4"/>
    </row>
    <row r="597" ht="12.0" customHeight="1">
      <c r="B597" s="15"/>
      <c r="C597" s="15"/>
      <c r="F597" s="59"/>
      <c r="H597" s="5"/>
      <c r="M597" s="4"/>
    </row>
    <row r="598" ht="12.0" customHeight="1">
      <c r="B598" s="15"/>
      <c r="C598" s="15"/>
      <c r="F598" s="59"/>
      <c r="H598" s="5"/>
      <c r="M598" s="4"/>
    </row>
    <row r="599" ht="12.0" customHeight="1">
      <c r="B599" s="15"/>
      <c r="C599" s="15"/>
      <c r="F599" s="59"/>
      <c r="H599" s="5"/>
      <c r="M599" s="4"/>
    </row>
    <row r="600" ht="12.0" customHeight="1">
      <c r="B600" s="15"/>
      <c r="C600" s="15"/>
      <c r="F600" s="59"/>
      <c r="H600" s="5"/>
      <c r="M600" s="4"/>
    </row>
    <row r="601" ht="12.0" customHeight="1">
      <c r="B601" s="15"/>
      <c r="C601" s="15"/>
      <c r="F601" s="59"/>
      <c r="H601" s="5"/>
      <c r="M601" s="4"/>
    </row>
    <row r="602" ht="12.0" customHeight="1">
      <c r="B602" s="15"/>
      <c r="C602" s="15"/>
      <c r="F602" s="59"/>
      <c r="H602" s="5"/>
      <c r="M602" s="4"/>
    </row>
    <row r="603" ht="12.0" customHeight="1">
      <c r="B603" s="15"/>
      <c r="C603" s="15"/>
      <c r="F603" s="59"/>
      <c r="H603" s="5"/>
      <c r="M603" s="4"/>
    </row>
    <row r="604" ht="12.0" customHeight="1">
      <c r="B604" s="15"/>
      <c r="C604" s="15"/>
      <c r="F604" s="59"/>
      <c r="H604" s="5"/>
      <c r="M604" s="4"/>
    </row>
    <row r="605" ht="12.0" customHeight="1">
      <c r="B605" s="15"/>
      <c r="C605" s="15"/>
      <c r="F605" s="59"/>
      <c r="H605" s="5"/>
      <c r="M605" s="4"/>
    </row>
    <row r="606" ht="12.0" customHeight="1">
      <c r="B606" s="15"/>
      <c r="C606" s="15"/>
      <c r="F606" s="59"/>
      <c r="H606" s="5"/>
      <c r="M606" s="4"/>
    </row>
    <row r="607" ht="12.0" customHeight="1">
      <c r="B607" s="15"/>
      <c r="C607" s="15"/>
      <c r="F607" s="59"/>
      <c r="H607" s="5"/>
      <c r="M607" s="4"/>
    </row>
    <row r="608" ht="12.0" customHeight="1">
      <c r="B608" s="15"/>
      <c r="C608" s="15"/>
      <c r="F608" s="59"/>
      <c r="H608" s="5"/>
      <c r="M608" s="4"/>
    </row>
    <row r="609" ht="12.0" customHeight="1">
      <c r="B609" s="15"/>
      <c r="C609" s="15"/>
      <c r="F609" s="59"/>
      <c r="H609" s="5"/>
      <c r="M609" s="4"/>
    </row>
    <row r="610" ht="12.0" customHeight="1">
      <c r="B610" s="15"/>
      <c r="C610" s="15"/>
      <c r="F610" s="59"/>
      <c r="H610" s="5"/>
      <c r="M610" s="4"/>
    </row>
    <row r="611" ht="12.0" customHeight="1">
      <c r="B611" s="15"/>
      <c r="C611" s="15"/>
      <c r="F611" s="59"/>
      <c r="H611" s="5"/>
      <c r="M611" s="4"/>
    </row>
    <row r="612" ht="12.0" customHeight="1">
      <c r="B612" s="15"/>
      <c r="C612" s="15"/>
      <c r="F612" s="59"/>
      <c r="H612" s="5"/>
      <c r="M612" s="4"/>
    </row>
    <row r="613" ht="12.0" customHeight="1">
      <c r="B613" s="15"/>
      <c r="C613" s="15"/>
      <c r="F613" s="59"/>
      <c r="H613" s="5"/>
      <c r="M613" s="4"/>
    </row>
    <row r="614" ht="12.0" customHeight="1">
      <c r="B614" s="15"/>
      <c r="C614" s="15"/>
      <c r="F614" s="59"/>
      <c r="H614" s="5"/>
      <c r="M614" s="4"/>
    </row>
    <row r="615" ht="12.0" customHeight="1">
      <c r="B615" s="15"/>
      <c r="C615" s="15"/>
      <c r="F615" s="59"/>
      <c r="H615" s="5"/>
      <c r="M615" s="4"/>
    </row>
    <row r="616" ht="12.0" customHeight="1">
      <c r="B616" s="15"/>
      <c r="C616" s="15"/>
      <c r="F616" s="59"/>
      <c r="H616" s="5"/>
      <c r="M616" s="4"/>
    </row>
    <row r="617" ht="12.0" customHeight="1">
      <c r="B617" s="15"/>
      <c r="C617" s="15"/>
      <c r="F617" s="59"/>
      <c r="H617" s="5"/>
      <c r="M617" s="4"/>
    </row>
    <row r="618" ht="12.0" customHeight="1">
      <c r="B618" s="15"/>
      <c r="C618" s="15"/>
      <c r="F618" s="59"/>
      <c r="H618" s="5"/>
      <c r="M618" s="4"/>
    </row>
    <row r="619" ht="12.0" customHeight="1">
      <c r="B619" s="15"/>
      <c r="C619" s="15"/>
      <c r="F619" s="59"/>
      <c r="H619" s="5"/>
      <c r="M619" s="4"/>
    </row>
    <row r="620" ht="12.0" customHeight="1">
      <c r="B620" s="15"/>
      <c r="C620" s="15"/>
      <c r="F620" s="59"/>
      <c r="H620" s="5"/>
      <c r="M620" s="4"/>
    </row>
    <row r="621" ht="12.0" customHeight="1">
      <c r="B621" s="15"/>
      <c r="C621" s="15"/>
      <c r="F621" s="59"/>
      <c r="H621" s="5"/>
      <c r="M621" s="4"/>
    </row>
    <row r="622" ht="12.0" customHeight="1">
      <c r="B622" s="15"/>
      <c r="C622" s="15"/>
      <c r="F622" s="59"/>
      <c r="H622" s="5"/>
      <c r="M622" s="4"/>
    </row>
    <row r="623" ht="12.0" customHeight="1">
      <c r="B623" s="15"/>
      <c r="C623" s="15"/>
      <c r="F623" s="59"/>
      <c r="H623" s="5"/>
      <c r="M623" s="4"/>
    </row>
    <row r="624" ht="12.0" customHeight="1">
      <c r="B624" s="15"/>
      <c r="C624" s="15"/>
      <c r="F624" s="59"/>
      <c r="H624" s="5"/>
      <c r="M624" s="4"/>
    </row>
    <row r="625" ht="12.0" customHeight="1">
      <c r="B625" s="15"/>
      <c r="C625" s="15"/>
      <c r="F625" s="59"/>
      <c r="H625" s="5"/>
      <c r="M625" s="4"/>
    </row>
    <row r="626" ht="12.0" customHeight="1">
      <c r="B626" s="15"/>
      <c r="C626" s="15"/>
      <c r="F626" s="59"/>
      <c r="H626" s="5"/>
      <c r="M626" s="4"/>
    </row>
    <row r="627" ht="12.0" customHeight="1">
      <c r="B627" s="15"/>
      <c r="C627" s="15"/>
      <c r="F627" s="59"/>
      <c r="H627" s="5"/>
      <c r="M627" s="4"/>
    </row>
    <row r="628" ht="12.0" customHeight="1">
      <c r="B628" s="15"/>
      <c r="C628" s="15"/>
      <c r="F628" s="59"/>
      <c r="H628" s="5"/>
      <c r="M628" s="4"/>
    </row>
    <row r="629" ht="12.0" customHeight="1">
      <c r="B629" s="15"/>
      <c r="C629" s="15"/>
      <c r="F629" s="59"/>
      <c r="H629" s="5"/>
      <c r="M629" s="4"/>
    </row>
    <row r="630" ht="12.0" customHeight="1">
      <c r="B630" s="15"/>
      <c r="C630" s="15"/>
      <c r="F630" s="59"/>
      <c r="H630" s="5"/>
      <c r="M630" s="4"/>
    </row>
    <row r="631" ht="12.0" customHeight="1">
      <c r="B631" s="15"/>
      <c r="C631" s="15"/>
      <c r="F631" s="59"/>
      <c r="H631" s="5"/>
      <c r="M631" s="4"/>
    </row>
    <row r="632" ht="12.0" customHeight="1">
      <c r="B632" s="15"/>
      <c r="C632" s="15"/>
      <c r="F632" s="59"/>
      <c r="H632" s="5"/>
      <c r="M632" s="4"/>
    </row>
    <row r="633" ht="12.0" customHeight="1">
      <c r="B633" s="15"/>
      <c r="C633" s="15"/>
      <c r="F633" s="59"/>
      <c r="H633" s="5"/>
      <c r="M633" s="4"/>
    </row>
    <row r="634" ht="12.0" customHeight="1">
      <c r="B634" s="15"/>
      <c r="C634" s="15"/>
      <c r="F634" s="59"/>
      <c r="H634" s="5"/>
      <c r="M634" s="4"/>
    </row>
    <row r="635" ht="12.0" customHeight="1">
      <c r="B635" s="15"/>
      <c r="C635" s="15"/>
      <c r="F635" s="59"/>
      <c r="H635" s="5"/>
      <c r="M635" s="4"/>
    </row>
    <row r="636" ht="12.0" customHeight="1">
      <c r="B636" s="15"/>
      <c r="C636" s="15"/>
      <c r="F636" s="59"/>
      <c r="H636" s="5"/>
      <c r="M636" s="4"/>
    </row>
    <row r="637" ht="12.0" customHeight="1">
      <c r="B637" s="15"/>
      <c r="C637" s="15"/>
      <c r="F637" s="59"/>
      <c r="H637" s="5"/>
      <c r="M637" s="4"/>
    </row>
    <row r="638" ht="12.0" customHeight="1">
      <c r="B638" s="15"/>
      <c r="C638" s="15"/>
      <c r="F638" s="59"/>
      <c r="H638" s="5"/>
      <c r="M638" s="4"/>
    </row>
    <row r="639" ht="12.0" customHeight="1">
      <c r="B639" s="15"/>
      <c r="C639" s="15"/>
      <c r="F639" s="59"/>
      <c r="H639" s="5"/>
      <c r="M639" s="4"/>
    </row>
    <row r="640" ht="12.0" customHeight="1">
      <c r="B640" s="15"/>
      <c r="C640" s="15"/>
      <c r="F640" s="59"/>
      <c r="H640" s="5"/>
      <c r="M640" s="4"/>
    </row>
    <row r="641" ht="12.0" customHeight="1">
      <c r="B641" s="15"/>
      <c r="C641" s="15"/>
      <c r="F641" s="59"/>
      <c r="H641" s="5"/>
      <c r="M641" s="4"/>
    </row>
    <row r="642" ht="12.0" customHeight="1">
      <c r="B642" s="15"/>
      <c r="C642" s="15"/>
      <c r="F642" s="59"/>
      <c r="H642" s="5"/>
      <c r="M642" s="4"/>
    </row>
    <row r="643" ht="12.0" customHeight="1">
      <c r="B643" s="15"/>
      <c r="C643" s="15"/>
      <c r="F643" s="59"/>
      <c r="H643" s="5"/>
      <c r="M643" s="4"/>
    </row>
    <row r="644" ht="12.0" customHeight="1">
      <c r="B644" s="15"/>
      <c r="C644" s="15"/>
      <c r="F644" s="59"/>
      <c r="H644" s="5"/>
      <c r="M644" s="4"/>
    </row>
    <row r="645" ht="12.0" customHeight="1">
      <c r="B645" s="15"/>
      <c r="C645" s="15"/>
      <c r="F645" s="59"/>
      <c r="H645" s="5"/>
      <c r="M645" s="4"/>
    </row>
    <row r="646" ht="12.0" customHeight="1">
      <c r="B646" s="15"/>
      <c r="C646" s="15"/>
      <c r="F646" s="59"/>
      <c r="H646" s="5"/>
      <c r="M646" s="4"/>
    </row>
    <row r="647" ht="12.0" customHeight="1">
      <c r="B647" s="15"/>
      <c r="C647" s="15"/>
      <c r="F647" s="59"/>
      <c r="H647" s="5"/>
      <c r="M647" s="4"/>
    </row>
    <row r="648" ht="12.0" customHeight="1">
      <c r="B648" s="15"/>
      <c r="C648" s="15"/>
      <c r="F648" s="59"/>
      <c r="H648" s="5"/>
      <c r="M648" s="4"/>
    </row>
    <row r="649" ht="12.0" customHeight="1">
      <c r="B649" s="15"/>
      <c r="C649" s="15"/>
      <c r="F649" s="59"/>
      <c r="H649" s="5"/>
      <c r="M649" s="4"/>
    </row>
    <row r="650" ht="12.0" customHeight="1">
      <c r="B650" s="15"/>
      <c r="C650" s="15"/>
      <c r="F650" s="59"/>
      <c r="H650" s="5"/>
      <c r="M650" s="4"/>
    </row>
    <row r="651" ht="12.0" customHeight="1">
      <c r="B651" s="15"/>
      <c r="C651" s="15"/>
      <c r="F651" s="59"/>
      <c r="H651" s="5"/>
      <c r="M651" s="4"/>
    </row>
    <row r="652" ht="12.0" customHeight="1">
      <c r="B652" s="15"/>
      <c r="C652" s="15"/>
      <c r="F652" s="59"/>
      <c r="H652" s="5"/>
      <c r="M652" s="4"/>
    </row>
    <row r="653" ht="12.0" customHeight="1">
      <c r="B653" s="15"/>
      <c r="C653" s="15"/>
      <c r="F653" s="59"/>
      <c r="H653" s="5"/>
      <c r="M653" s="4"/>
    </row>
    <row r="654" ht="12.0" customHeight="1">
      <c r="B654" s="15"/>
      <c r="C654" s="15"/>
      <c r="F654" s="59"/>
      <c r="H654" s="5"/>
      <c r="M654" s="4"/>
    </row>
    <row r="655" ht="12.0" customHeight="1">
      <c r="B655" s="15"/>
      <c r="C655" s="15"/>
      <c r="F655" s="59"/>
      <c r="H655" s="5"/>
      <c r="M655" s="4"/>
    </row>
    <row r="656" ht="12.0" customHeight="1">
      <c r="B656" s="15"/>
      <c r="C656" s="15"/>
      <c r="F656" s="59"/>
      <c r="H656" s="5"/>
      <c r="M656" s="4"/>
    </row>
    <row r="657" ht="12.0" customHeight="1">
      <c r="B657" s="15"/>
      <c r="C657" s="15"/>
      <c r="F657" s="59"/>
      <c r="H657" s="5"/>
      <c r="M657" s="4"/>
    </row>
    <row r="658" ht="12.0" customHeight="1">
      <c r="B658" s="15"/>
      <c r="C658" s="15"/>
      <c r="F658" s="59"/>
      <c r="H658" s="5"/>
      <c r="M658" s="4"/>
    </row>
    <row r="659" ht="12.0" customHeight="1">
      <c r="B659" s="15"/>
      <c r="C659" s="15"/>
      <c r="F659" s="59"/>
      <c r="H659" s="5"/>
      <c r="M659" s="4"/>
    </row>
    <row r="660" ht="12.0" customHeight="1">
      <c r="B660" s="15"/>
      <c r="C660" s="15"/>
      <c r="F660" s="59"/>
      <c r="H660" s="5"/>
      <c r="M660" s="4"/>
    </row>
    <row r="661" ht="12.0" customHeight="1">
      <c r="B661" s="15"/>
      <c r="C661" s="15"/>
      <c r="F661" s="59"/>
      <c r="H661" s="5"/>
      <c r="M661" s="4"/>
    </row>
    <row r="662" ht="12.0" customHeight="1">
      <c r="B662" s="15"/>
      <c r="C662" s="15"/>
      <c r="F662" s="59"/>
      <c r="H662" s="5"/>
      <c r="M662" s="4"/>
    </row>
    <row r="663" ht="12.0" customHeight="1">
      <c r="B663" s="15"/>
      <c r="C663" s="15"/>
      <c r="F663" s="59"/>
      <c r="H663" s="5"/>
      <c r="M663" s="4"/>
    </row>
    <row r="664" ht="12.0" customHeight="1">
      <c r="B664" s="15"/>
      <c r="C664" s="15"/>
      <c r="F664" s="59"/>
      <c r="H664" s="5"/>
      <c r="M664" s="4"/>
    </row>
    <row r="665" ht="12.0" customHeight="1">
      <c r="B665" s="15"/>
      <c r="C665" s="15"/>
      <c r="F665" s="59"/>
      <c r="H665" s="5"/>
      <c r="M665" s="4"/>
    </row>
    <row r="666" ht="12.0" customHeight="1">
      <c r="B666" s="15"/>
      <c r="C666" s="15"/>
      <c r="F666" s="59"/>
      <c r="H666" s="5"/>
      <c r="M666" s="4"/>
    </row>
    <row r="667" ht="12.0" customHeight="1">
      <c r="B667" s="15"/>
      <c r="C667" s="15"/>
      <c r="F667" s="59"/>
      <c r="H667" s="5"/>
      <c r="M667" s="4"/>
    </row>
    <row r="668" ht="12.0" customHeight="1">
      <c r="B668" s="15"/>
      <c r="C668" s="15"/>
      <c r="F668" s="59"/>
      <c r="H668" s="5"/>
      <c r="M668" s="4"/>
    </row>
    <row r="669" ht="12.0" customHeight="1">
      <c r="B669" s="15"/>
      <c r="C669" s="15"/>
      <c r="F669" s="59"/>
      <c r="H669" s="5"/>
      <c r="M669" s="4"/>
    </row>
    <row r="670" ht="12.0" customHeight="1">
      <c r="B670" s="15"/>
      <c r="C670" s="15"/>
      <c r="F670" s="59"/>
      <c r="H670" s="5"/>
      <c r="M670" s="4"/>
    </row>
    <row r="671" ht="12.0" customHeight="1">
      <c r="B671" s="15"/>
      <c r="C671" s="15"/>
      <c r="F671" s="59"/>
      <c r="H671" s="5"/>
      <c r="M671" s="4"/>
    </row>
    <row r="672" ht="12.0" customHeight="1">
      <c r="B672" s="15"/>
      <c r="C672" s="15"/>
      <c r="F672" s="59"/>
      <c r="H672" s="5"/>
      <c r="M672" s="4"/>
    </row>
    <row r="673" ht="12.0" customHeight="1">
      <c r="B673" s="15"/>
      <c r="C673" s="15"/>
      <c r="F673" s="59"/>
      <c r="H673" s="5"/>
      <c r="M673" s="4"/>
    </row>
    <row r="674" ht="12.0" customHeight="1">
      <c r="B674" s="15"/>
      <c r="C674" s="15"/>
      <c r="F674" s="59"/>
      <c r="H674" s="5"/>
      <c r="M674" s="4"/>
    </row>
    <row r="675" ht="12.0" customHeight="1">
      <c r="B675" s="15"/>
      <c r="C675" s="15"/>
      <c r="F675" s="59"/>
      <c r="H675" s="5"/>
      <c r="M675" s="4"/>
    </row>
    <row r="676" ht="12.0" customHeight="1">
      <c r="B676" s="15"/>
      <c r="C676" s="15"/>
      <c r="F676" s="59"/>
      <c r="H676" s="5"/>
      <c r="M676" s="4"/>
    </row>
    <row r="677" ht="12.0" customHeight="1">
      <c r="B677" s="15"/>
      <c r="C677" s="15"/>
      <c r="F677" s="59"/>
      <c r="H677" s="5"/>
      <c r="M677" s="4"/>
    </row>
    <row r="678" ht="12.0" customHeight="1">
      <c r="B678" s="15"/>
      <c r="C678" s="15"/>
      <c r="F678" s="59"/>
      <c r="H678" s="5"/>
      <c r="M678" s="4"/>
    </row>
    <row r="679" ht="12.0" customHeight="1">
      <c r="B679" s="15"/>
      <c r="C679" s="15"/>
      <c r="F679" s="59"/>
      <c r="H679" s="5"/>
      <c r="M679" s="4"/>
    </row>
    <row r="680" ht="12.0" customHeight="1">
      <c r="B680" s="15"/>
      <c r="C680" s="15"/>
      <c r="F680" s="59"/>
      <c r="H680" s="5"/>
      <c r="M680" s="4"/>
    </row>
    <row r="681" ht="12.0" customHeight="1">
      <c r="B681" s="15"/>
      <c r="C681" s="15"/>
      <c r="F681" s="59"/>
      <c r="H681" s="5"/>
      <c r="M681" s="4"/>
    </row>
    <row r="682" ht="12.0" customHeight="1">
      <c r="B682" s="15"/>
      <c r="C682" s="15"/>
      <c r="F682" s="59"/>
      <c r="H682" s="5"/>
      <c r="M682" s="4"/>
    </row>
    <row r="683" ht="12.0" customHeight="1">
      <c r="B683" s="15"/>
      <c r="C683" s="15"/>
      <c r="F683" s="59"/>
      <c r="H683" s="5"/>
      <c r="M683" s="4"/>
    </row>
    <row r="684" ht="12.0" customHeight="1">
      <c r="B684" s="15"/>
      <c r="C684" s="15"/>
      <c r="F684" s="59"/>
      <c r="H684" s="5"/>
      <c r="M684" s="4"/>
    </row>
    <row r="685" ht="12.0" customHeight="1">
      <c r="B685" s="15"/>
      <c r="C685" s="15"/>
      <c r="F685" s="59"/>
      <c r="H685" s="5"/>
      <c r="M685" s="4"/>
    </row>
    <row r="686" ht="12.0" customHeight="1">
      <c r="B686" s="15"/>
      <c r="C686" s="15"/>
      <c r="F686" s="59"/>
      <c r="H686" s="5"/>
      <c r="M686" s="4"/>
    </row>
    <row r="687" ht="12.0" customHeight="1">
      <c r="B687" s="15"/>
      <c r="C687" s="15"/>
      <c r="F687" s="59"/>
      <c r="H687" s="5"/>
      <c r="M687" s="4"/>
    </row>
    <row r="688" ht="12.0" customHeight="1">
      <c r="B688" s="15"/>
      <c r="C688" s="15"/>
      <c r="F688" s="59"/>
      <c r="H688" s="5"/>
      <c r="M688" s="4"/>
    </row>
    <row r="689" ht="12.0" customHeight="1">
      <c r="B689" s="15"/>
      <c r="C689" s="15"/>
      <c r="F689" s="59"/>
      <c r="H689" s="5"/>
      <c r="M689" s="4"/>
    </row>
    <row r="690" ht="12.0" customHeight="1">
      <c r="B690" s="15"/>
      <c r="C690" s="15"/>
      <c r="F690" s="59"/>
      <c r="H690" s="5"/>
      <c r="M690" s="4"/>
    </row>
    <row r="691" ht="12.0" customHeight="1">
      <c r="B691" s="15"/>
      <c r="C691" s="15"/>
      <c r="F691" s="59"/>
      <c r="H691" s="5"/>
      <c r="M691" s="4"/>
    </row>
    <row r="692" ht="12.0" customHeight="1">
      <c r="B692" s="15"/>
      <c r="C692" s="15"/>
      <c r="F692" s="59"/>
      <c r="H692" s="5"/>
      <c r="M692" s="4"/>
    </row>
    <row r="693" ht="12.0" customHeight="1">
      <c r="B693" s="15"/>
      <c r="C693" s="15"/>
      <c r="F693" s="59"/>
      <c r="H693" s="5"/>
      <c r="M693" s="4"/>
    </row>
    <row r="694" ht="12.0" customHeight="1">
      <c r="B694" s="15"/>
      <c r="C694" s="15"/>
      <c r="F694" s="59"/>
      <c r="H694" s="5"/>
      <c r="M694" s="4"/>
    </row>
    <row r="695" ht="12.0" customHeight="1">
      <c r="B695" s="15"/>
      <c r="C695" s="15"/>
      <c r="F695" s="59"/>
      <c r="H695" s="5"/>
      <c r="M695" s="4"/>
    </row>
    <row r="696" ht="12.0" customHeight="1">
      <c r="B696" s="15"/>
      <c r="C696" s="15"/>
      <c r="F696" s="59"/>
      <c r="H696" s="5"/>
      <c r="M696" s="4"/>
    </row>
    <row r="697" ht="12.0" customHeight="1">
      <c r="B697" s="15"/>
      <c r="C697" s="15"/>
      <c r="F697" s="59"/>
      <c r="H697" s="5"/>
      <c r="M697" s="4"/>
    </row>
    <row r="698" ht="12.0" customHeight="1">
      <c r="B698" s="15"/>
      <c r="C698" s="15"/>
      <c r="F698" s="59"/>
      <c r="H698" s="5"/>
      <c r="M698" s="4"/>
    </row>
    <row r="699" ht="12.0" customHeight="1">
      <c r="B699" s="15"/>
      <c r="C699" s="15"/>
      <c r="F699" s="59"/>
      <c r="H699" s="5"/>
      <c r="M699" s="4"/>
    </row>
    <row r="700" ht="12.0" customHeight="1">
      <c r="B700" s="15"/>
      <c r="C700" s="15"/>
      <c r="F700" s="59"/>
      <c r="H700" s="5"/>
      <c r="M700" s="4"/>
    </row>
    <row r="701" ht="12.0" customHeight="1">
      <c r="B701" s="15"/>
      <c r="C701" s="15"/>
      <c r="F701" s="59"/>
      <c r="H701" s="5"/>
      <c r="M701" s="4"/>
    </row>
    <row r="702" ht="12.0" customHeight="1">
      <c r="B702" s="15"/>
      <c r="C702" s="15"/>
      <c r="F702" s="59"/>
      <c r="H702" s="5"/>
      <c r="M702" s="4"/>
    </row>
    <row r="703" ht="12.0" customHeight="1">
      <c r="B703" s="15"/>
      <c r="C703" s="15"/>
      <c r="F703" s="59"/>
      <c r="H703" s="5"/>
      <c r="M703" s="4"/>
    </row>
    <row r="704" ht="12.0" customHeight="1">
      <c r="B704" s="15"/>
      <c r="C704" s="15"/>
      <c r="F704" s="59"/>
      <c r="H704" s="5"/>
      <c r="M704" s="4"/>
    </row>
    <row r="705" ht="12.0" customHeight="1">
      <c r="B705" s="15"/>
      <c r="C705" s="15"/>
      <c r="F705" s="59"/>
      <c r="H705" s="5"/>
      <c r="M705" s="4"/>
    </row>
    <row r="706" ht="12.0" customHeight="1">
      <c r="B706" s="15"/>
      <c r="C706" s="15"/>
      <c r="F706" s="59"/>
      <c r="H706" s="5"/>
      <c r="M706" s="4"/>
    </row>
    <row r="707" ht="12.0" customHeight="1">
      <c r="B707" s="15"/>
      <c r="C707" s="15"/>
      <c r="F707" s="59"/>
      <c r="H707" s="5"/>
      <c r="M707" s="4"/>
    </row>
    <row r="708" ht="12.0" customHeight="1">
      <c r="B708" s="15"/>
      <c r="C708" s="15"/>
      <c r="F708" s="59"/>
      <c r="H708" s="5"/>
      <c r="M708" s="4"/>
    </row>
    <row r="709" ht="12.0" customHeight="1">
      <c r="B709" s="15"/>
      <c r="C709" s="15"/>
      <c r="F709" s="59"/>
      <c r="H709" s="5"/>
      <c r="M709" s="4"/>
    </row>
    <row r="710" ht="12.0" customHeight="1">
      <c r="B710" s="15"/>
      <c r="C710" s="15"/>
      <c r="F710" s="59"/>
      <c r="H710" s="5"/>
      <c r="M710" s="4"/>
    </row>
    <row r="711" ht="12.0" customHeight="1">
      <c r="B711" s="15"/>
      <c r="C711" s="15"/>
      <c r="F711" s="59"/>
      <c r="H711" s="5"/>
      <c r="M711" s="4"/>
    </row>
    <row r="712" ht="12.0" customHeight="1">
      <c r="B712" s="15"/>
      <c r="C712" s="15"/>
      <c r="F712" s="59"/>
      <c r="H712" s="5"/>
      <c r="M712" s="4"/>
    </row>
    <row r="713" ht="12.0" customHeight="1">
      <c r="B713" s="15"/>
      <c r="C713" s="15"/>
      <c r="F713" s="59"/>
      <c r="H713" s="5"/>
      <c r="M713" s="4"/>
    </row>
    <row r="714" ht="12.0" customHeight="1">
      <c r="B714" s="15"/>
      <c r="C714" s="15"/>
      <c r="F714" s="59"/>
      <c r="H714" s="5"/>
      <c r="M714" s="4"/>
    </row>
    <row r="715" ht="12.0" customHeight="1">
      <c r="B715" s="15"/>
      <c r="C715" s="15"/>
      <c r="F715" s="59"/>
      <c r="H715" s="5"/>
      <c r="M715" s="4"/>
    </row>
    <row r="716" ht="12.0" customHeight="1">
      <c r="B716" s="15"/>
      <c r="C716" s="15"/>
      <c r="F716" s="59"/>
      <c r="H716" s="5"/>
      <c r="M716" s="4"/>
    </row>
    <row r="717" ht="12.0" customHeight="1">
      <c r="B717" s="15"/>
      <c r="C717" s="15"/>
      <c r="F717" s="59"/>
      <c r="H717" s="5"/>
      <c r="M717" s="4"/>
    </row>
    <row r="718" ht="12.0" customHeight="1">
      <c r="B718" s="15"/>
      <c r="C718" s="15"/>
      <c r="F718" s="59"/>
      <c r="H718" s="5"/>
      <c r="M718" s="4"/>
    </row>
    <row r="719" ht="12.0" customHeight="1">
      <c r="B719" s="15"/>
      <c r="C719" s="15"/>
      <c r="F719" s="59"/>
      <c r="H719" s="5"/>
      <c r="M719" s="4"/>
    </row>
    <row r="720" ht="12.0" customHeight="1">
      <c r="B720" s="15"/>
      <c r="C720" s="15"/>
      <c r="F720" s="59"/>
      <c r="H720" s="5"/>
      <c r="M720" s="4"/>
    </row>
    <row r="721" ht="12.0" customHeight="1">
      <c r="B721" s="15"/>
      <c r="C721" s="15"/>
      <c r="F721" s="59"/>
      <c r="H721" s="5"/>
      <c r="M721" s="4"/>
    </row>
    <row r="722" ht="12.0" customHeight="1">
      <c r="B722" s="15"/>
      <c r="C722" s="15"/>
      <c r="F722" s="59"/>
      <c r="H722" s="5"/>
      <c r="M722" s="4"/>
    </row>
    <row r="723" ht="12.0" customHeight="1">
      <c r="B723" s="15"/>
      <c r="C723" s="15"/>
      <c r="F723" s="59"/>
      <c r="H723" s="5"/>
      <c r="M723" s="4"/>
    </row>
    <row r="724" ht="12.0" customHeight="1">
      <c r="B724" s="15"/>
      <c r="C724" s="15"/>
      <c r="F724" s="59"/>
      <c r="H724" s="5"/>
      <c r="M724" s="4"/>
    </row>
    <row r="725" ht="12.0" customHeight="1">
      <c r="B725" s="15"/>
      <c r="C725" s="15"/>
      <c r="F725" s="59"/>
      <c r="H725" s="5"/>
      <c r="M725" s="4"/>
    </row>
    <row r="726" ht="12.0" customHeight="1">
      <c r="B726" s="15"/>
      <c r="C726" s="15"/>
      <c r="F726" s="59"/>
      <c r="H726" s="5"/>
      <c r="M726" s="4"/>
    </row>
    <row r="727" ht="12.0" customHeight="1">
      <c r="B727" s="15"/>
      <c r="C727" s="15"/>
      <c r="F727" s="59"/>
      <c r="H727" s="5"/>
      <c r="M727" s="4"/>
    </row>
    <row r="728" ht="12.0" customHeight="1">
      <c r="B728" s="15"/>
      <c r="C728" s="15"/>
      <c r="F728" s="59"/>
      <c r="H728" s="5"/>
      <c r="M728" s="4"/>
    </row>
    <row r="729" ht="12.0" customHeight="1">
      <c r="B729" s="15"/>
      <c r="C729" s="15"/>
      <c r="F729" s="59"/>
      <c r="H729" s="5"/>
      <c r="M729" s="4"/>
    </row>
    <row r="730" ht="12.0" customHeight="1">
      <c r="B730" s="15"/>
      <c r="C730" s="15"/>
      <c r="F730" s="59"/>
      <c r="H730" s="5"/>
      <c r="M730" s="4"/>
    </row>
    <row r="731" ht="12.0" customHeight="1">
      <c r="B731" s="15"/>
      <c r="C731" s="15"/>
      <c r="F731" s="59"/>
      <c r="H731" s="5"/>
      <c r="M731" s="4"/>
    </row>
    <row r="732" ht="12.0" customHeight="1">
      <c r="B732" s="15"/>
      <c r="C732" s="15"/>
      <c r="F732" s="59"/>
      <c r="H732" s="5"/>
      <c r="M732" s="4"/>
    </row>
    <row r="733" ht="12.0" customHeight="1">
      <c r="B733" s="15"/>
      <c r="C733" s="15"/>
      <c r="F733" s="59"/>
      <c r="H733" s="5"/>
      <c r="M733" s="4"/>
    </row>
    <row r="734" ht="12.0" customHeight="1">
      <c r="B734" s="15"/>
      <c r="C734" s="15"/>
      <c r="F734" s="59"/>
      <c r="H734" s="5"/>
      <c r="M734" s="4"/>
    </row>
    <row r="735" ht="12.0" customHeight="1">
      <c r="B735" s="15"/>
      <c r="C735" s="15"/>
      <c r="F735" s="59"/>
      <c r="H735" s="5"/>
      <c r="M735" s="4"/>
    </row>
    <row r="736" ht="12.0" customHeight="1">
      <c r="B736" s="15"/>
      <c r="C736" s="15"/>
      <c r="F736" s="59"/>
      <c r="H736" s="5"/>
      <c r="M736" s="4"/>
    </row>
    <row r="737" ht="12.0" customHeight="1">
      <c r="B737" s="15"/>
      <c r="C737" s="15"/>
      <c r="F737" s="59"/>
      <c r="H737" s="5"/>
      <c r="M737" s="4"/>
    </row>
    <row r="738" ht="12.0" customHeight="1">
      <c r="B738" s="15"/>
      <c r="C738" s="15"/>
      <c r="F738" s="59"/>
      <c r="H738" s="5"/>
      <c r="M738" s="4"/>
    </row>
    <row r="739" ht="12.0" customHeight="1">
      <c r="B739" s="15"/>
      <c r="C739" s="15"/>
      <c r="F739" s="59"/>
      <c r="H739" s="5"/>
      <c r="M739" s="4"/>
    </row>
    <row r="740" ht="12.0" customHeight="1">
      <c r="B740" s="15"/>
      <c r="C740" s="15"/>
      <c r="F740" s="59"/>
      <c r="H740" s="5"/>
      <c r="M740" s="4"/>
    </row>
    <row r="741" ht="12.0" customHeight="1">
      <c r="B741" s="15"/>
      <c r="C741" s="15"/>
      <c r="F741" s="59"/>
      <c r="H741" s="5"/>
      <c r="M741" s="4"/>
    </row>
    <row r="742" ht="12.0" customHeight="1">
      <c r="B742" s="15"/>
      <c r="C742" s="15"/>
      <c r="F742" s="59"/>
      <c r="H742" s="5"/>
      <c r="M742" s="4"/>
    </row>
    <row r="743" ht="12.0" customHeight="1">
      <c r="B743" s="15"/>
      <c r="C743" s="15"/>
      <c r="F743" s="59"/>
      <c r="H743" s="5"/>
      <c r="M743" s="4"/>
    </row>
    <row r="744" ht="12.0" customHeight="1">
      <c r="B744" s="15"/>
      <c r="C744" s="15"/>
      <c r="F744" s="59"/>
      <c r="H744" s="5"/>
      <c r="M744" s="4"/>
    </row>
    <row r="745" ht="12.0" customHeight="1">
      <c r="B745" s="15"/>
      <c r="C745" s="15"/>
      <c r="F745" s="59"/>
      <c r="H745" s="5"/>
      <c r="M745" s="4"/>
    </row>
    <row r="746" ht="12.0" customHeight="1">
      <c r="B746" s="15"/>
      <c r="C746" s="15"/>
      <c r="F746" s="59"/>
      <c r="H746" s="5"/>
      <c r="M746" s="4"/>
    </row>
    <row r="747" ht="12.0" customHeight="1">
      <c r="B747" s="15"/>
      <c r="C747" s="15"/>
      <c r="F747" s="59"/>
      <c r="H747" s="5"/>
      <c r="M747" s="4"/>
    </row>
    <row r="748" ht="12.0" customHeight="1">
      <c r="B748" s="15"/>
      <c r="C748" s="15"/>
      <c r="F748" s="59"/>
      <c r="H748" s="5"/>
      <c r="M748" s="4"/>
    </row>
    <row r="749" ht="12.0" customHeight="1">
      <c r="B749" s="15"/>
      <c r="C749" s="15"/>
      <c r="F749" s="59"/>
      <c r="H749" s="5"/>
      <c r="M749" s="4"/>
    </row>
    <row r="750" ht="12.0" customHeight="1">
      <c r="B750" s="15"/>
      <c r="C750" s="15"/>
      <c r="F750" s="59"/>
      <c r="H750" s="5"/>
      <c r="M750" s="4"/>
    </row>
    <row r="751" ht="12.0" customHeight="1">
      <c r="B751" s="15"/>
      <c r="C751" s="15"/>
      <c r="F751" s="59"/>
      <c r="H751" s="5"/>
      <c r="M751" s="4"/>
    </row>
    <row r="752" ht="12.0" customHeight="1">
      <c r="B752" s="15"/>
      <c r="C752" s="15"/>
      <c r="F752" s="59"/>
      <c r="H752" s="5"/>
      <c r="M752" s="4"/>
    </row>
    <row r="753" ht="12.0" customHeight="1">
      <c r="B753" s="15"/>
      <c r="C753" s="15"/>
      <c r="F753" s="59"/>
      <c r="H753" s="5"/>
      <c r="M753" s="4"/>
    </row>
    <row r="754" ht="12.0" customHeight="1">
      <c r="B754" s="15"/>
      <c r="C754" s="15"/>
      <c r="F754" s="59"/>
      <c r="H754" s="5"/>
      <c r="M754" s="4"/>
    </row>
    <row r="755" ht="12.0" customHeight="1">
      <c r="B755" s="15"/>
      <c r="C755" s="15"/>
      <c r="F755" s="59"/>
      <c r="H755" s="5"/>
      <c r="M755" s="4"/>
    </row>
    <row r="756" ht="12.0" customHeight="1">
      <c r="B756" s="15"/>
      <c r="C756" s="15"/>
      <c r="F756" s="59"/>
      <c r="H756" s="5"/>
      <c r="M756" s="4"/>
    </row>
    <row r="757" ht="12.0" customHeight="1">
      <c r="B757" s="15"/>
      <c r="C757" s="15"/>
      <c r="F757" s="59"/>
      <c r="H757" s="5"/>
      <c r="M757" s="4"/>
    </row>
    <row r="758" ht="12.0" customHeight="1">
      <c r="B758" s="15"/>
      <c r="C758" s="15"/>
      <c r="F758" s="59"/>
      <c r="H758" s="5"/>
      <c r="M758" s="4"/>
    </row>
    <row r="759" ht="12.0" customHeight="1">
      <c r="B759" s="15"/>
      <c r="C759" s="15"/>
      <c r="F759" s="59"/>
      <c r="H759" s="5"/>
      <c r="M759" s="4"/>
    </row>
    <row r="760" ht="12.0" customHeight="1">
      <c r="B760" s="15"/>
      <c r="C760" s="15"/>
      <c r="F760" s="59"/>
      <c r="H760" s="5"/>
      <c r="M760" s="4"/>
    </row>
    <row r="761" ht="12.0" customHeight="1">
      <c r="B761" s="15"/>
      <c r="C761" s="15"/>
      <c r="F761" s="59"/>
      <c r="H761" s="5"/>
      <c r="M761" s="4"/>
    </row>
    <row r="762" ht="12.0" customHeight="1">
      <c r="B762" s="15"/>
      <c r="C762" s="15"/>
      <c r="F762" s="59"/>
      <c r="H762" s="5"/>
      <c r="M762" s="4"/>
    </row>
    <row r="763" ht="12.0" customHeight="1">
      <c r="B763" s="15"/>
      <c r="C763" s="15"/>
      <c r="F763" s="59"/>
      <c r="H763" s="5"/>
      <c r="M763" s="4"/>
    </row>
    <row r="764" ht="12.0" customHeight="1">
      <c r="B764" s="15"/>
      <c r="C764" s="15"/>
      <c r="F764" s="59"/>
      <c r="H764" s="5"/>
      <c r="M764" s="4"/>
    </row>
    <row r="765" ht="12.0" customHeight="1">
      <c r="B765" s="15"/>
      <c r="C765" s="15"/>
      <c r="F765" s="59"/>
      <c r="H765" s="5"/>
      <c r="M765" s="4"/>
    </row>
    <row r="766" ht="12.0" customHeight="1">
      <c r="B766" s="15"/>
      <c r="C766" s="15"/>
      <c r="F766" s="59"/>
      <c r="H766" s="5"/>
      <c r="M766" s="4"/>
    </row>
    <row r="767" ht="12.0" customHeight="1">
      <c r="B767" s="15"/>
      <c r="C767" s="15"/>
      <c r="F767" s="59"/>
      <c r="H767" s="5"/>
      <c r="M767" s="4"/>
    </row>
    <row r="768" ht="12.0" customHeight="1">
      <c r="B768" s="15"/>
      <c r="C768" s="15"/>
      <c r="F768" s="59"/>
      <c r="H768" s="5"/>
      <c r="M768" s="4"/>
    </row>
    <row r="769" ht="12.0" customHeight="1">
      <c r="B769" s="15"/>
      <c r="C769" s="15"/>
      <c r="F769" s="59"/>
      <c r="H769" s="5"/>
      <c r="M769" s="4"/>
    </row>
    <row r="770" ht="12.0" customHeight="1">
      <c r="B770" s="15"/>
      <c r="C770" s="15"/>
      <c r="F770" s="59"/>
      <c r="H770" s="5"/>
      <c r="M770" s="4"/>
    </row>
    <row r="771" ht="12.0" customHeight="1">
      <c r="B771" s="15"/>
      <c r="C771" s="15"/>
      <c r="F771" s="59"/>
      <c r="H771" s="5"/>
      <c r="M771" s="4"/>
    </row>
    <row r="772" ht="12.0" customHeight="1">
      <c r="B772" s="15"/>
      <c r="C772" s="15"/>
      <c r="F772" s="59"/>
      <c r="H772" s="5"/>
      <c r="M772" s="4"/>
    </row>
    <row r="773" ht="12.0" customHeight="1">
      <c r="B773" s="15"/>
      <c r="C773" s="15"/>
      <c r="F773" s="59"/>
      <c r="H773" s="5"/>
      <c r="M773" s="4"/>
    </row>
    <row r="774" ht="12.0" customHeight="1">
      <c r="B774" s="15"/>
      <c r="C774" s="15"/>
      <c r="F774" s="59"/>
      <c r="H774" s="5"/>
      <c r="M774" s="4"/>
    </row>
    <row r="775" ht="12.0" customHeight="1">
      <c r="B775" s="15"/>
      <c r="C775" s="15"/>
      <c r="F775" s="59"/>
      <c r="H775" s="5"/>
      <c r="M775" s="4"/>
    </row>
    <row r="776" ht="12.0" customHeight="1">
      <c r="B776" s="15"/>
      <c r="C776" s="15"/>
      <c r="F776" s="59"/>
      <c r="H776" s="5"/>
      <c r="M776" s="4"/>
    </row>
    <row r="777" ht="12.0" customHeight="1">
      <c r="B777" s="15"/>
      <c r="C777" s="15"/>
      <c r="F777" s="59"/>
      <c r="H777" s="5"/>
      <c r="M777" s="4"/>
    </row>
    <row r="778" ht="12.0" customHeight="1">
      <c r="B778" s="15"/>
      <c r="C778" s="15"/>
      <c r="F778" s="59"/>
      <c r="H778" s="5"/>
      <c r="M778" s="4"/>
    </row>
    <row r="779" ht="12.0" customHeight="1">
      <c r="B779" s="15"/>
      <c r="C779" s="15"/>
      <c r="F779" s="59"/>
      <c r="H779" s="5"/>
      <c r="M779" s="4"/>
    </row>
    <row r="780" ht="12.0" customHeight="1">
      <c r="B780" s="15"/>
      <c r="C780" s="15"/>
      <c r="F780" s="59"/>
      <c r="H780" s="5"/>
      <c r="M780" s="4"/>
    </row>
    <row r="781" ht="12.0" customHeight="1">
      <c r="B781" s="15"/>
      <c r="C781" s="15"/>
      <c r="F781" s="59"/>
      <c r="H781" s="5"/>
      <c r="M781" s="4"/>
    </row>
    <row r="782" ht="12.0" customHeight="1">
      <c r="B782" s="15"/>
      <c r="C782" s="15"/>
      <c r="F782" s="59"/>
      <c r="H782" s="5"/>
      <c r="M782" s="4"/>
    </row>
    <row r="783" ht="12.0" customHeight="1">
      <c r="B783" s="15"/>
      <c r="C783" s="15"/>
      <c r="F783" s="59"/>
      <c r="H783" s="5"/>
      <c r="M783" s="4"/>
    </row>
    <row r="784" ht="12.0" customHeight="1">
      <c r="B784" s="15"/>
      <c r="C784" s="15"/>
      <c r="F784" s="59"/>
      <c r="H784" s="5"/>
      <c r="M784" s="4"/>
    </row>
    <row r="785" ht="12.0" customHeight="1">
      <c r="B785" s="15"/>
      <c r="C785" s="15"/>
      <c r="F785" s="59"/>
      <c r="H785" s="5"/>
      <c r="M785" s="4"/>
    </row>
    <row r="786" ht="12.0" customHeight="1">
      <c r="B786" s="15"/>
      <c r="C786" s="15"/>
      <c r="F786" s="59"/>
      <c r="H786" s="5"/>
      <c r="M786" s="4"/>
    </row>
    <row r="787" ht="12.0" customHeight="1">
      <c r="B787" s="15"/>
      <c r="C787" s="15"/>
      <c r="F787" s="59"/>
      <c r="H787" s="5"/>
      <c r="M787" s="4"/>
    </row>
    <row r="788" ht="12.0" customHeight="1">
      <c r="B788" s="15"/>
      <c r="C788" s="15"/>
      <c r="F788" s="59"/>
      <c r="H788" s="5"/>
      <c r="M788" s="4"/>
    </row>
    <row r="789" ht="12.0" customHeight="1">
      <c r="B789" s="15"/>
      <c r="C789" s="15"/>
      <c r="F789" s="59"/>
      <c r="H789" s="5"/>
      <c r="M789" s="4"/>
    </row>
    <row r="790" ht="12.0" customHeight="1">
      <c r="B790" s="15"/>
      <c r="C790" s="15"/>
      <c r="F790" s="59"/>
      <c r="H790" s="5"/>
      <c r="M790" s="4"/>
    </row>
    <row r="791" ht="12.0" customHeight="1">
      <c r="B791" s="15"/>
      <c r="C791" s="15"/>
      <c r="F791" s="59"/>
      <c r="H791" s="5"/>
      <c r="M791" s="4"/>
    </row>
    <row r="792" ht="12.0" customHeight="1">
      <c r="B792" s="15"/>
      <c r="C792" s="15"/>
      <c r="F792" s="59"/>
      <c r="H792" s="5"/>
      <c r="M792" s="4"/>
    </row>
    <row r="793" ht="12.0" customHeight="1">
      <c r="B793" s="15"/>
      <c r="C793" s="15"/>
      <c r="F793" s="59"/>
      <c r="H793" s="5"/>
      <c r="M793" s="4"/>
    </row>
    <row r="794" ht="12.0" customHeight="1">
      <c r="B794" s="15"/>
      <c r="C794" s="15"/>
      <c r="F794" s="59"/>
      <c r="H794" s="5"/>
      <c r="M794" s="4"/>
    </row>
    <row r="795" ht="12.0" customHeight="1">
      <c r="B795" s="15"/>
      <c r="C795" s="15"/>
      <c r="F795" s="59"/>
      <c r="H795" s="5"/>
      <c r="M795" s="4"/>
    </row>
    <row r="796" ht="12.0" customHeight="1">
      <c r="B796" s="15"/>
      <c r="C796" s="15"/>
      <c r="F796" s="59"/>
      <c r="H796" s="5"/>
      <c r="M796" s="4"/>
    </row>
    <row r="797" ht="12.0" customHeight="1">
      <c r="B797" s="15"/>
      <c r="C797" s="15"/>
      <c r="F797" s="59"/>
      <c r="H797" s="5"/>
      <c r="M797" s="4"/>
    </row>
    <row r="798" ht="12.0" customHeight="1">
      <c r="B798" s="15"/>
      <c r="C798" s="15"/>
      <c r="F798" s="59"/>
      <c r="H798" s="5"/>
      <c r="M798" s="4"/>
    </row>
    <row r="799" ht="12.0" customHeight="1">
      <c r="B799" s="15"/>
      <c r="C799" s="15"/>
      <c r="F799" s="59"/>
      <c r="H799" s="5"/>
      <c r="M799" s="4"/>
    </row>
    <row r="800" ht="12.0" customHeight="1">
      <c r="B800" s="15"/>
      <c r="C800" s="15"/>
      <c r="F800" s="59"/>
      <c r="H800" s="5"/>
      <c r="M800" s="4"/>
    </row>
    <row r="801" ht="12.0" customHeight="1">
      <c r="B801" s="15"/>
      <c r="C801" s="15"/>
      <c r="F801" s="59"/>
      <c r="H801" s="5"/>
      <c r="M801" s="4"/>
    </row>
    <row r="802" ht="12.0" customHeight="1">
      <c r="B802" s="15"/>
      <c r="C802" s="15"/>
      <c r="F802" s="59"/>
      <c r="H802" s="5"/>
      <c r="M802" s="4"/>
    </row>
    <row r="803" ht="12.0" customHeight="1">
      <c r="B803" s="15"/>
      <c r="C803" s="15"/>
      <c r="F803" s="59"/>
      <c r="H803" s="5"/>
      <c r="M803" s="4"/>
    </row>
    <row r="804" ht="12.0" customHeight="1">
      <c r="B804" s="15"/>
      <c r="C804" s="15"/>
      <c r="F804" s="59"/>
      <c r="H804" s="5"/>
      <c r="M804" s="4"/>
    </row>
    <row r="805" ht="12.0" customHeight="1">
      <c r="B805" s="15"/>
      <c r="C805" s="15"/>
      <c r="F805" s="59"/>
      <c r="H805" s="5"/>
      <c r="M805" s="4"/>
    </row>
    <row r="806" ht="12.0" customHeight="1">
      <c r="B806" s="15"/>
      <c r="C806" s="15"/>
      <c r="F806" s="59"/>
      <c r="H806" s="5"/>
      <c r="M806" s="4"/>
    </row>
    <row r="807" ht="12.0" customHeight="1">
      <c r="B807" s="15"/>
      <c r="C807" s="15"/>
      <c r="F807" s="59"/>
      <c r="H807" s="5"/>
      <c r="M807" s="4"/>
    </row>
    <row r="808" ht="12.0" customHeight="1">
      <c r="B808" s="15"/>
      <c r="C808" s="15"/>
      <c r="F808" s="59"/>
      <c r="H808" s="5"/>
      <c r="M808" s="4"/>
    </row>
    <row r="809" ht="12.0" customHeight="1">
      <c r="B809" s="15"/>
      <c r="C809" s="15"/>
      <c r="F809" s="59"/>
      <c r="H809" s="5"/>
      <c r="M809" s="4"/>
    </row>
    <row r="810" ht="12.0" customHeight="1">
      <c r="B810" s="15"/>
      <c r="C810" s="15"/>
      <c r="F810" s="59"/>
      <c r="H810" s="5"/>
      <c r="M810" s="4"/>
    </row>
    <row r="811" ht="12.0" customHeight="1">
      <c r="B811" s="15"/>
      <c r="C811" s="15"/>
      <c r="F811" s="59"/>
      <c r="H811" s="5"/>
      <c r="M811" s="4"/>
    </row>
    <row r="812" ht="12.0" customHeight="1">
      <c r="B812" s="15"/>
      <c r="C812" s="15"/>
      <c r="F812" s="59"/>
      <c r="H812" s="5"/>
      <c r="M812" s="4"/>
    </row>
    <row r="813" ht="12.0" customHeight="1">
      <c r="B813" s="15"/>
      <c r="C813" s="15"/>
      <c r="F813" s="59"/>
      <c r="H813" s="5"/>
      <c r="M813" s="4"/>
    </row>
    <row r="814" ht="12.0" customHeight="1">
      <c r="B814" s="15"/>
      <c r="C814" s="15"/>
      <c r="F814" s="59"/>
      <c r="H814" s="5"/>
      <c r="M814" s="4"/>
    </row>
    <row r="815" ht="12.0" customHeight="1">
      <c r="B815" s="15"/>
      <c r="C815" s="15"/>
      <c r="F815" s="59"/>
      <c r="H815" s="5"/>
      <c r="M815" s="4"/>
    </row>
    <row r="816" ht="12.0" customHeight="1">
      <c r="B816" s="15"/>
      <c r="C816" s="15"/>
      <c r="F816" s="59"/>
      <c r="H816" s="5"/>
      <c r="M816" s="4"/>
    </row>
    <row r="817" ht="12.0" customHeight="1">
      <c r="B817" s="15"/>
      <c r="C817" s="15"/>
      <c r="F817" s="59"/>
      <c r="H817" s="5"/>
      <c r="M817" s="4"/>
    </row>
    <row r="818" ht="12.0" customHeight="1">
      <c r="B818" s="15"/>
      <c r="C818" s="15"/>
      <c r="F818" s="59"/>
      <c r="H818" s="5"/>
      <c r="M818" s="4"/>
    </row>
    <row r="819" ht="12.0" customHeight="1">
      <c r="B819" s="15"/>
      <c r="C819" s="15"/>
      <c r="F819" s="59"/>
      <c r="H819" s="5"/>
      <c r="M819" s="4"/>
    </row>
    <row r="820" ht="12.0" customHeight="1">
      <c r="B820" s="15"/>
      <c r="C820" s="15"/>
      <c r="F820" s="59"/>
      <c r="H820" s="5"/>
      <c r="M820" s="4"/>
    </row>
    <row r="821" ht="12.0" customHeight="1">
      <c r="B821" s="15"/>
      <c r="C821" s="15"/>
      <c r="F821" s="59"/>
      <c r="H821" s="5"/>
      <c r="M821" s="4"/>
    </row>
    <row r="822" ht="12.0" customHeight="1">
      <c r="B822" s="15"/>
      <c r="C822" s="15"/>
      <c r="F822" s="59"/>
      <c r="H822" s="5"/>
      <c r="M822" s="4"/>
    </row>
    <row r="823" ht="12.0" customHeight="1">
      <c r="B823" s="15"/>
      <c r="C823" s="15"/>
      <c r="F823" s="59"/>
      <c r="H823" s="5"/>
      <c r="M823" s="4"/>
    </row>
    <row r="824" ht="12.0" customHeight="1">
      <c r="B824" s="15"/>
      <c r="C824" s="15"/>
      <c r="F824" s="59"/>
      <c r="H824" s="5"/>
      <c r="M824" s="4"/>
    </row>
    <row r="825" ht="12.0" customHeight="1">
      <c r="B825" s="15"/>
      <c r="C825" s="15"/>
      <c r="F825" s="59"/>
      <c r="H825" s="5"/>
      <c r="M825" s="4"/>
    </row>
    <row r="826" ht="12.0" customHeight="1">
      <c r="B826" s="15"/>
      <c r="C826" s="15"/>
      <c r="F826" s="59"/>
      <c r="H826" s="5"/>
      <c r="M826" s="4"/>
    </row>
    <row r="827" ht="12.0" customHeight="1">
      <c r="B827" s="15"/>
      <c r="C827" s="15"/>
      <c r="F827" s="59"/>
      <c r="H827" s="5"/>
      <c r="M827" s="4"/>
    </row>
    <row r="828" ht="12.0" customHeight="1">
      <c r="B828" s="15"/>
      <c r="C828" s="15"/>
      <c r="F828" s="59"/>
      <c r="H828" s="5"/>
      <c r="M828" s="4"/>
    </row>
    <row r="829" ht="12.0" customHeight="1">
      <c r="B829" s="15"/>
      <c r="C829" s="15"/>
      <c r="F829" s="59"/>
      <c r="H829" s="5"/>
      <c r="M829" s="4"/>
    </row>
    <row r="830" ht="12.0" customHeight="1">
      <c r="B830" s="15"/>
      <c r="C830" s="15"/>
      <c r="F830" s="59"/>
      <c r="H830" s="5"/>
      <c r="M830" s="4"/>
    </row>
    <row r="831" ht="12.0" customHeight="1">
      <c r="B831" s="15"/>
      <c r="C831" s="15"/>
      <c r="F831" s="59"/>
      <c r="H831" s="5"/>
      <c r="M831" s="4"/>
    </row>
    <row r="832" ht="12.0" customHeight="1">
      <c r="B832" s="15"/>
      <c r="C832" s="15"/>
      <c r="F832" s="59"/>
      <c r="H832" s="5"/>
      <c r="M832" s="4"/>
    </row>
    <row r="833" ht="12.0" customHeight="1">
      <c r="B833" s="15"/>
      <c r="C833" s="15"/>
      <c r="F833" s="59"/>
      <c r="H833" s="5"/>
      <c r="M833" s="4"/>
    </row>
    <row r="834" ht="12.0" customHeight="1">
      <c r="B834" s="15"/>
      <c r="C834" s="15"/>
      <c r="F834" s="59"/>
      <c r="H834" s="5"/>
      <c r="M834" s="4"/>
    </row>
    <row r="835" ht="12.0" customHeight="1">
      <c r="B835" s="15"/>
      <c r="C835" s="15"/>
      <c r="F835" s="59"/>
      <c r="H835" s="5"/>
      <c r="M835" s="4"/>
    </row>
    <row r="836" ht="12.0" customHeight="1">
      <c r="B836" s="15"/>
      <c r="C836" s="15"/>
      <c r="F836" s="59"/>
      <c r="H836" s="5"/>
      <c r="M836" s="4"/>
    </row>
    <row r="837" ht="12.0" customHeight="1">
      <c r="B837" s="15"/>
      <c r="C837" s="15"/>
      <c r="F837" s="59"/>
      <c r="H837" s="5"/>
      <c r="M837" s="4"/>
    </row>
    <row r="838" ht="12.0" customHeight="1">
      <c r="B838" s="15"/>
      <c r="C838" s="15"/>
      <c r="F838" s="59"/>
      <c r="H838" s="5"/>
      <c r="M838" s="4"/>
    </row>
    <row r="839" ht="12.0" customHeight="1">
      <c r="B839" s="15"/>
      <c r="C839" s="15"/>
      <c r="F839" s="59"/>
      <c r="H839" s="5"/>
      <c r="M839" s="4"/>
    </row>
    <row r="840" ht="12.0" customHeight="1">
      <c r="B840" s="15"/>
      <c r="C840" s="15"/>
      <c r="F840" s="59"/>
      <c r="H840" s="5"/>
      <c r="M840" s="4"/>
    </row>
    <row r="841" ht="12.0" customHeight="1">
      <c r="B841" s="15"/>
      <c r="C841" s="15"/>
      <c r="F841" s="59"/>
      <c r="H841" s="5"/>
      <c r="M841" s="4"/>
    </row>
    <row r="842" ht="12.0" customHeight="1">
      <c r="B842" s="15"/>
      <c r="C842" s="15"/>
      <c r="F842" s="59"/>
      <c r="H842" s="5"/>
      <c r="M842" s="4"/>
    </row>
    <row r="843" ht="12.0" customHeight="1">
      <c r="B843" s="15"/>
      <c r="C843" s="15"/>
      <c r="F843" s="59"/>
      <c r="H843" s="5"/>
      <c r="M843" s="4"/>
    </row>
    <row r="844" ht="12.0" customHeight="1">
      <c r="B844" s="15"/>
      <c r="C844" s="15"/>
      <c r="F844" s="59"/>
      <c r="H844" s="5"/>
      <c r="M844" s="4"/>
    </row>
    <row r="845" ht="12.0" customHeight="1">
      <c r="B845" s="15"/>
      <c r="C845" s="15"/>
      <c r="F845" s="59"/>
      <c r="H845" s="5"/>
      <c r="M845" s="4"/>
    </row>
    <row r="846" ht="12.0" customHeight="1">
      <c r="B846" s="15"/>
      <c r="C846" s="15"/>
      <c r="F846" s="59"/>
      <c r="H846" s="5"/>
      <c r="M846" s="4"/>
    </row>
    <row r="847" ht="12.0" customHeight="1">
      <c r="B847" s="15"/>
      <c r="C847" s="15"/>
      <c r="F847" s="59"/>
      <c r="H847" s="5"/>
      <c r="M847" s="4"/>
    </row>
    <row r="848" ht="12.0" customHeight="1">
      <c r="B848" s="15"/>
      <c r="C848" s="15"/>
      <c r="F848" s="59"/>
      <c r="H848" s="5"/>
      <c r="M848" s="4"/>
    </row>
    <row r="849" ht="12.0" customHeight="1">
      <c r="B849" s="15"/>
      <c r="C849" s="15"/>
      <c r="F849" s="59"/>
      <c r="H849" s="5"/>
      <c r="M849" s="4"/>
    </row>
    <row r="850" ht="12.0" customHeight="1">
      <c r="B850" s="15"/>
      <c r="C850" s="15"/>
      <c r="F850" s="59"/>
      <c r="H850" s="5"/>
      <c r="M850" s="4"/>
    </row>
    <row r="851" ht="12.0" customHeight="1">
      <c r="B851" s="15"/>
      <c r="C851" s="15"/>
      <c r="F851" s="59"/>
      <c r="H851" s="5"/>
      <c r="M851" s="4"/>
    </row>
    <row r="852" ht="12.0" customHeight="1">
      <c r="B852" s="15"/>
      <c r="C852" s="15"/>
      <c r="F852" s="59"/>
      <c r="H852" s="5"/>
      <c r="M852" s="4"/>
    </row>
    <row r="853" ht="12.0" customHeight="1">
      <c r="B853" s="15"/>
      <c r="C853" s="15"/>
      <c r="F853" s="59"/>
      <c r="H853" s="5"/>
      <c r="M853" s="4"/>
    </row>
    <row r="854" ht="12.0" customHeight="1">
      <c r="B854" s="15"/>
      <c r="C854" s="15"/>
      <c r="F854" s="59"/>
      <c r="H854" s="5"/>
      <c r="M854" s="4"/>
    </row>
    <row r="855" ht="12.0" customHeight="1">
      <c r="B855" s="15"/>
      <c r="C855" s="15"/>
      <c r="F855" s="59"/>
      <c r="H855" s="5"/>
      <c r="M855" s="4"/>
    </row>
    <row r="856" ht="12.0" customHeight="1">
      <c r="B856" s="15"/>
      <c r="C856" s="15"/>
      <c r="F856" s="59"/>
      <c r="H856" s="5"/>
      <c r="M856" s="4"/>
    </row>
    <row r="857" ht="12.0" customHeight="1">
      <c r="B857" s="15"/>
      <c r="C857" s="15"/>
      <c r="F857" s="59"/>
      <c r="H857" s="5"/>
      <c r="M857" s="4"/>
    </row>
    <row r="858" ht="12.0" customHeight="1">
      <c r="B858" s="15"/>
      <c r="C858" s="15"/>
      <c r="F858" s="59"/>
      <c r="H858" s="5"/>
      <c r="M858" s="4"/>
    </row>
    <row r="859" ht="12.0" customHeight="1">
      <c r="B859" s="15"/>
      <c r="C859" s="15"/>
      <c r="F859" s="59"/>
      <c r="H859" s="5"/>
      <c r="M859" s="4"/>
    </row>
    <row r="860" ht="12.0" customHeight="1">
      <c r="B860" s="15"/>
      <c r="C860" s="15"/>
      <c r="F860" s="59"/>
      <c r="H860" s="5"/>
      <c r="M860" s="4"/>
    </row>
    <row r="861" ht="12.0" customHeight="1">
      <c r="B861" s="15"/>
      <c r="C861" s="15"/>
      <c r="F861" s="59"/>
      <c r="H861" s="5"/>
      <c r="M861" s="4"/>
    </row>
    <row r="862" ht="12.0" customHeight="1">
      <c r="B862" s="15"/>
      <c r="C862" s="15"/>
      <c r="F862" s="59"/>
      <c r="H862" s="5"/>
      <c r="M862" s="4"/>
    </row>
    <row r="863" ht="12.0" customHeight="1">
      <c r="B863" s="15"/>
      <c r="C863" s="15"/>
      <c r="F863" s="59"/>
      <c r="H863" s="5"/>
      <c r="M863" s="4"/>
    </row>
    <row r="864" ht="12.0" customHeight="1">
      <c r="B864" s="15"/>
      <c r="C864" s="15"/>
      <c r="F864" s="59"/>
      <c r="H864" s="5"/>
      <c r="M864" s="4"/>
    </row>
    <row r="865" ht="12.0" customHeight="1">
      <c r="B865" s="15"/>
      <c r="C865" s="15"/>
      <c r="F865" s="59"/>
      <c r="H865" s="5"/>
      <c r="M865" s="4"/>
    </row>
    <row r="866" ht="12.0" customHeight="1">
      <c r="B866" s="15"/>
      <c r="C866" s="15"/>
      <c r="F866" s="59"/>
      <c r="H866" s="5"/>
      <c r="M866" s="4"/>
    </row>
    <row r="867" ht="12.0" customHeight="1">
      <c r="B867" s="15"/>
      <c r="C867" s="15"/>
      <c r="F867" s="59"/>
      <c r="H867" s="5"/>
      <c r="M867" s="4"/>
    </row>
    <row r="868" ht="12.0" customHeight="1">
      <c r="B868" s="15"/>
      <c r="C868" s="15"/>
      <c r="F868" s="59"/>
      <c r="H868" s="5"/>
      <c r="M868" s="4"/>
    </row>
    <row r="869" ht="12.0" customHeight="1">
      <c r="B869" s="15"/>
      <c r="C869" s="15"/>
      <c r="F869" s="59"/>
      <c r="H869" s="5"/>
      <c r="M869" s="4"/>
    </row>
    <row r="870" ht="12.0" customHeight="1">
      <c r="B870" s="15"/>
      <c r="C870" s="15"/>
      <c r="F870" s="59"/>
      <c r="H870" s="5"/>
      <c r="M870" s="4"/>
    </row>
    <row r="871" ht="12.0" customHeight="1">
      <c r="B871" s="15"/>
      <c r="C871" s="15"/>
      <c r="F871" s="59"/>
      <c r="H871" s="5"/>
      <c r="M871" s="4"/>
    </row>
    <row r="872" ht="12.0" customHeight="1">
      <c r="B872" s="15"/>
      <c r="C872" s="15"/>
      <c r="F872" s="59"/>
      <c r="H872" s="5"/>
      <c r="M872" s="4"/>
    </row>
    <row r="873" ht="12.0" customHeight="1">
      <c r="B873" s="15"/>
      <c r="C873" s="15"/>
      <c r="F873" s="59"/>
      <c r="H873" s="5"/>
      <c r="M873" s="4"/>
    </row>
    <row r="874" ht="12.0" customHeight="1">
      <c r="B874" s="15"/>
      <c r="C874" s="15"/>
      <c r="F874" s="59"/>
      <c r="H874" s="5"/>
      <c r="M874" s="4"/>
    </row>
    <row r="875" ht="12.0" customHeight="1">
      <c r="B875" s="15"/>
      <c r="C875" s="15"/>
      <c r="F875" s="59"/>
      <c r="H875" s="5"/>
      <c r="M875" s="4"/>
    </row>
    <row r="876" ht="12.0" customHeight="1">
      <c r="B876" s="15"/>
      <c r="C876" s="15"/>
      <c r="F876" s="59"/>
      <c r="H876" s="5"/>
      <c r="M876" s="4"/>
    </row>
    <row r="877" ht="12.0" customHeight="1">
      <c r="B877" s="15"/>
      <c r="C877" s="15"/>
      <c r="F877" s="59"/>
      <c r="H877" s="5"/>
      <c r="M877" s="4"/>
    </row>
    <row r="878" ht="12.0" customHeight="1">
      <c r="B878" s="15"/>
      <c r="C878" s="15"/>
      <c r="F878" s="59"/>
      <c r="H878" s="5"/>
      <c r="M878" s="4"/>
    </row>
    <row r="879" ht="12.0" customHeight="1">
      <c r="B879" s="15"/>
      <c r="C879" s="15"/>
      <c r="F879" s="59"/>
      <c r="H879" s="5"/>
      <c r="M879" s="4"/>
    </row>
    <row r="880" ht="12.0" customHeight="1">
      <c r="B880" s="15"/>
      <c r="C880" s="15"/>
      <c r="F880" s="59"/>
      <c r="H880" s="5"/>
      <c r="M880" s="4"/>
    </row>
    <row r="881" ht="12.0" customHeight="1">
      <c r="B881" s="15"/>
      <c r="C881" s="15"/>
      <c r="F881" s="59"/>
      <c r="H881" s="5"/>
      <c r="M881" s="4"/>
    </row>
    <row r="882" ht="12.0" customHeight="1">
      <c r="B882" s="15"/>
      <c r="C882" s="15"/>
      <c r="F882" s="59"/>
      <c r="H882" s="5"/>
      <c r="M882" s="4"/>
    </row>
    <row r="883" ht="12.0" customHeight="1">
      <c r="B883" s="15"/>
      <c r="C883" s="15"/>
      <c r="F883" s="59"/>
      <c r="H883" s="5"/>
      <c r="M883" s="4"/>
    </row>
    <row r="884" ht="12.0" customHeight="1">
      <c r="B884" s="15"/>
      <c r="C884" s="15"/>
      <c r="F884" s="59"/>
      <c r="H884" s="5"/>
      <c r="M884" s="4"/>
    </row>
    <row r="885" ht="12.0" customHeight="1">
      <c r="B885" s="15"/>
      <c r="C885" s="15"/>
      <c r="F885" s="59"/>
      <c r="H885" s="5"/>
      <c r="M885" s="4"/>
    </row>
    <row r="886" ht="12.0" customHeight="1">
      <c r="B886" s="15"/>
      <c r="C886" s="15"/>
      <c r="F886" s="59"/>
      <c r="H886" s="5"/>
      <c r="M886" s="4"/>
    </row>
    <row r="887" ht="12.0" customHeight="1">
      <c r="B887" s="15"/>
      <c r="C887" s="15"/>
      <c r="F887" s="59"/>
      <c r="H887" s="5"/>
      <c r="M887" s="4"/>
    </row>
    <row r="888" ht="12.0" customHeight="1">
      <c r="B888" s="15"/>
      <c r="C888" s="15"/>
      <c r="F888" s="59"/>
      <c r="H888" s="5"/>
      <c r="M888" s="4"/>
    </row>
    <row r="889" ht="12.0" customHeight="1">
      <c r="B889" s="15"/>
      <c r="C889" s="15"/>
      <c r="F889" s="59"/>
      <c r="H889" s="5"/>
      <c r="M889" s="4"/>
    </row>
    <row r="890" ht="12.0" customHeight="1">
      <c r="B890" s="15"/>
      <c r="C890" s="15"/>
      <c r="F890" s="59"/>
      <c r="H890" s="5"/>
      <c r="M890" s="4"/>
    </row>
    <row r="891" ht="12.0" customHeight="1">
      <c r="B891" s="15"/>
      <c r="C891" s="15"/>
      <c r="F891" s="59"/>
      <c r="H891" s="5"/>
      <c r="M891" s="4"/>
    </row>
    <row r="892" ht="12.0" customHeight="1">
      <c r="B892" s="15"/>
      <c r="C892" s="15"/>
      <c r="F892" s="59"/>
      <c r="H892" s="5"/>
      <c r="M892" s="4"/>
    </row>
    <row r="893" ht="12.0" customHeight="1">
      <c r="B893" s="15"/>
      <c r="C893" s="15"/>
      <c r="F893" s="59"/>
      <c r="H893" s="5"/>
      <c r="M893" s="4"/>
    </row>
    <row r="894" ht="12.0" customHeight="1">
      <c r="B894" s="15"/>
      <c r="C894" s="15"/>
      <c r="F894" s="59"/>
      <c r="H894" s="5"/>
      <c r="M894" s="4"/>
    </row>
    <row r="895" ht="12.0" customHeight="1">
      <c r="B895" s="15"/>
      <c r="C895" s="15"/>
      <c r="F895" s="59"/>
      <c r="H895" s="5"/>
      <c r="M895" s="4"/>
    </row>
    <row r="896" ht="12.0" customHeight="1">
      <c r="B896" s="15"/>
      <c r="C896" s="15"/>
      <c r="F896" s="59"/>
      <c r="H896" s="5"/>
      <c r="M896" s="4"/>
    </row>
    <row r="897" ht="12.0" customHeight="1">
      <c r="B897" s="15"/>
      <c r="C897" s="15"/>
      <c r="F897" s="59"/>
      <c r="H897" s="5"/>
      <c r="M897" s="4"/>
    </row>
    <row r="898" ht="12.0" customHeight="1">
      <c r="B898" s="15"/>
      <c r="C898" s="15"/>
      <c r="F898" s="59"/>
      <c r="H898" s="5"/>
      <c r="M898" s="4"/>
    </row>
    <row r="899" ht="12.0" customHeight="1">
      <c r="B899" s="15"/>
      <c r="C899" s="15"/>
      <c r="F899" s="59"/>
      <c r="H899" s="5"/>
      <c r="M899" s="4"/>
    </row>
    <row r="900" ht="12.0" customHeight="1">
      <c r="B900" s="15"/>
      <c r="C900" s="15"/>
      <c r="F900" s="59"/>
      <c r="H900" s="5"/>
      <c r="M900" s="4"/>
    </row>
    <row r="901" ht="12.0" customHeight="1">
      <c r="B901" s="15"/>
      <c r="C901" s="15"/>
      <c r="F901" s="59"/>
      <c r="H901" s="5"/>
      <c r="M901" s="4"/>
    </row>
    <row r="902" ht="12.0" customHeight="1">
      <c r="B902" s="15"/>
      <c r="C902" s="15"/>
      <c r="F902" s="59"/>
      <c r="H902" s="5"/>
      <c r="M902" s="4"/>
    </row>
    <row r="903" ht="12.0" customHeight="1">
      <c r="B903" s="15"/>
      <c r="C903" s="15"/>
      <c r="F903" s="59"/>
      <c r="H903" s="5"/>
      <c r="M903" s="4"/>
    </row>
    <row r="904" ht="12.0" customHeight="1">
      <c r="B904" s="15"/>
      <c r="C904" s="15"/>
      <c r="F904" s="59"/>
      <c r="H904" s="5"/>
      <c r="M904" s="4"/>
    </row>
    <row r="905" ht="12.0" customHeight="1">
      <c r="B905" s="15"/>
      <c r="C905" s="15"/>
      <c r="F905" s="59"/>
      <c r="H905" s="5"/>
      <c r="M905" s="4"/>
    </row>
    <row r="906" ht="12.0" customHeight="1">
      <c r="B906" s="15"/>
      <c r="C906" s="15"/>
      <c r="F906" s="59"/>
      <c r="H906" s="5"/>
      <c r="M906" s="4"/>
    </row>
    <row r="907" ht="12.0" customHeight="1">
      <c r="B907" s="15"/>
      <c r="C907" s="15"/>
      <c r="F907" s="59"/>
      <c r="H907" s="5"/>
      <c r="M907" s="4"/>
    </row>
    <row r="908" ht="12.0" customHeight="1">
      <c r="B908" s="15"/>
      <c r="C908" s="15"/>
      <c r="F908" s="59"/>
      <c r="H908" s="5"/>
      <c r="M908" s="4"/>
    </row>
    <row r="909" ht="12.0" customHeight="1">
      <c r="B909" s="15"/>
      <c r="C909" s="15"/>
      <c r="F909" s="59"/>
      <c r="H909" s="5"/>
      <c r="M909" s="4"/>
    </row>
    <row r="910" ht="12.0" customHeight="1">
      <c r="B910" s="15"/>
      <c r="C910" s="15"/>
      <c r="F910" s="59"/>
      <c r="H910" s="5"/>
      <c r="M910" s="4"/>
    </row>
    <row r="911" ht="12.0" customHeight="1">
      <c r="B911" s="15"/>
      <c r="C911" s="15"/>
      <c r="F911" s="59"/>
      <c r="H911" s="5"/>
      <c r="M911" s="4"/>
    </row>
    <row r="912" ht="12.0" customHeight="1">
      <c r="B912" s="15"/>
      <c r="C912" s="15"/>
      <c r="F912" s="59"/>
      <c r="H912" s="5"/>
      <c r="M912" s="4"/>
    </row>
    <row r="913" ht="12.0" customHeight="1">
      <c r="B913" s="15"/>
      <c r="C913" s="15"/>
      <c r="F913" s="59"/>
      <c r="H913" s="5"/>
      <c r="M913" s="4"/>
    </row>
    <row r="914" ht="12.0" customHeight="1">
      <c r="B914" s="15"/>
      <c r="C914" s="15"/>
      <c r="F914" s="59"/>
      <c r="H914" s="5"/>
      <c r="M914" s="4"/>
    </row>
    <row r="915" ht="12.0" customHeight="1">
      <c r="B915" s="15"/>
      <c r="C915" s="15"/>
      <c r="F915" s="59"/>
      <c r="H915" s="5"/>
      <c r="M915" s="4"/>
    </row>
    <row r="916" ht="12.0" customHeight="1">
      <c r="B916" s="15"/>
      <c r="C916" s="15"/>
      <c r="F916" s="59"/>
      <c r="H916" s="5"/>
      <c r="M916" s="4"/>
    </row>
    <row r="917" ht="12.0" customHeight="1">
      <c r="B917" s="15"/>
      <c r="C917" s="15"/>
      <c r="F917" s="59"/>
      <c r="H917" s="5"/>
      <c r="M917" s="4"/>
    </row>
    <row r="918" ht="12.0" customHeight="1">
      <c r="B918" s="15"/>
      <c r="C918" s="15"/>
      <c r="F918" s="59"/>
      <c r="H918" s="5"/>
      <c r="M918" s="4"/>
    </row>
    <row r="919" ht="12.0" customHeight="1">
      <c r="B919" s="15"/>
      <c r="C919" s="15"/>
      <c r="F919" s="59"/>
      <c r="H919" s="5"/>
      <c r="M919" s="4"/>
    </row>
    <row r="920" ht="12.0" customHeight="1">
      <c r="B920" s="15"/>
      <c r="C920" s="15"/>
      <c r="F920" s="59"/>
      <c r="H920" s="5"/>
      <c r="M920" s="4"/>
    </row>
    <row r="921" ht="12.0" customHeight="1">
      <c r="B921" s="15"/>
      <c r="C921" s="15"/>
      <c r="F921" s="59"/>
      <c r="H921" s="5"/>
      <c r="M921" s="4"/>
    </row>
    <row r="922" ht="12.0" customHeight="1">
      <c r="B922" s="15"/>
      <c r="C922" s="15"/>
      <c r="F922" s="59"/>
      <c r="H922" s="5"/>
      <c r="M922" s="4"/>
    </row>
    <row r="923" ht="12.0" customHeight="1">
      <c r="B923" s="15"/>
      <c r="C923" s="15"/>
      <c r="F923" s="59"/>
      <c r="H923" s="5"/>
      <c r="M923" s="4"/>
    </row>
    <row r="924" ht="12.0" customHeight="1">
      <c r="B924" s="15"/>
      <c r="C924" s="15"/>
      <c r="F924" s="59"/>
      <c r="H924" s="5"/>
      <c r="M924" s="4"/>
    </row>
    <row r="925" ht="12.0" customHeight="1">
      <c r="B925" s="15"/>
      <c r="C925" s="15"/>
      <c r="F925" s="59"/>
      <c r="H925" s="5"/>
      <c r="M925" s="4"/>
    </row>
    <row r="926" ht="12.0" customHeight="1">
      <c r="B926" s="15"/>
      <c r="C926" s="15"/>
      <c r="F926" s="59"/>
      <c r="H926" s="5"/>
      <c r="M926" s="4"/>
    </row>
    <row r="927" ht="12.0" customHeight="1">
      <c r="B927" s="15"/>
      <c r="C927" s="15"/>
      <c r="F927" s="59"/>
      <c r="H927" s="5"/>
      <c r="M927" s="4"/>
    </row>
    <row r="928" ht="12.0" customHeight="1">
      <c r="B928" s="15"/>
      <c r="C928" s="15"/>
      <c r="F928" s="59"/>
      <c r="H928" s="5"/>
      <c r="M928" s="4"/>
    </row>
    <row r="929" ht="12.0" customHeight="1">
      <c r="B929" s="15"/>
      <c r="C929" s="15"/>
      <c r="F929" s="59"/>
      <c r="H929" s="5"/>
      <c r="M929" s="4"/>
    </row>
    <row r="930" ht="12.0" customHeight="1">
      <c r="B930" s="15"/>
      <c r="C930" s="15"/>
      <c r="F930" s="59"/>
      <c r="H930" s="5"/>
      <c r="M930" s="4"/>
    </row>
    <row r="931" ht="12.0" customHeight="1">
      <c r="B931" s="15"/>
      <c r="C931" s="15"/>
      <c r="F931" s="59"/>
      <c r="H931" s="5"/>
      <c r="M931" s="4"/>
    </row>
    <row r="932" ht="12.0" customHeight="1">
      <c r="B932" s="15"/>
      <c r="C932" s="15"/>
      <c r="F932" s="59"/>
      <c r="H932" s="5"/>
      <c r="M932" s="4"/>
    </row>
    <row r="933" ht="12.0" customHeight="1">
      <c r="B933" s="15"/>
      <c r="C933" s="15"/>
      <c r="F933" s="59"/>
      <c r="H933" s="5"/>
      <c r="M933" s="4"/>
    </row>
    <row r="934" ht="12.0" customHeight="1">
      <c r="B934" s="15"/>
      <c r="C934" s="15"/>
      <c r="F934" s="59"/>
      <c r="H934" s="5"/>
      <c r="M934" s="4"/>
    </row>
    <row r="935" ht="12.0" customHeight="1">
      <c r="B935" s="15"/>
      <c r="C935" s="15"/>
      <c r="F935" s="59"/>
      <c r="H935" s="5"/>
      <c r="M935" s="4"/>
    </row>
    <row r="936" ht="12.0" customHeight="1">
      <c r="B936" s="15"/>
      <c r="C936" s="15"/>
      <c r="F936" s="59"/>
      <c r="H936" s="5"/>
      <c r="M936" s="4"/>
    </row>
    <row r="937" ht="12.0" customHeight="1">
      <c r="B937" s="15"/>
      <c r="C937" s="15"/>
      <c r="F937" s="59"/>
      <c r="H937" s="5"/>
      <c r="M937" s="4"/>
    </row>
    <row r="938" ht="12.0" customHeight="1">
      <c r="B938" s="15"/>
      <c r="C938" s="15"/>
      <c r="F938" s="59"/>
      <c r="H938" s="5"/>
      <c r="M938" s="4"/>
    </row>
    <row r="939" ht="12.0" customHeight="1">
      <c r="B939" s="15"/>
      <c r="C939" s="15"/>
      <c r="F939" s="59"/>
      <c r="H939" s="5"/>
      <c r="M939" s="4"/>
    </row>
    <row r="940" ht="12.0" customHeight="1">
      <c r="B940" s="15"/>
      <c r="C940" s="15"/>
      <c r="F940" s="59"/>
      <c r="H940" s="5"/>
      <c r="M940" s="4"/>
    </row>
    <row r="941" ht="12.0" customHeight="1">
      <c r="B941" s="15"/>
      <c r="C941" s="15"/>
      <c r="F941" s="59"/>
      <c r="H941" s="5"/>
      <c r="M941" s="4"/>
    </row>
    <row r="942" ht="12.0" customHeight="1">
      <c r="B942" s="15"/>
      <c r="C942" s="15"/>
      <c r="F942" s="59"/>
      <c r="H942" s="5"/>
      <c r="M942" s="4"/>
    </row>
    <row r="943" ht="12.0" customHeight="1">
      <c r="B943" s="15"/>
      <c r="C943" s="15"/>
      <c r="F943" s="59"/>
      <c r="H943" s="5"/>
      <c r="M943" s="4"/>
    </row>
    <row r="944" ht="12.0" customHeight="1">
      <c r="B944" s="15"/>
      <c r="C944" s="15"/>
      <c r="F944" s="59"/>
      <c r="H944" s="5"/>
      <c r="M944" s="4"/>
    </row>
    <row r="945" ht="12.0" customHeight="1">
      <c r="B945" s="15"/>
      <c r="C945" s="15"/>
      <c r="F945" s="59"/>
      <c r="H945" s="5"/>
      <c r="M945" s="4"/>
    </row>
    <row r="946" ht="12.0" customHeight="1">
      <c r="B946" s="15"/>
      <c r="C946" s="15"/>
      <c r="F946" s="59"/>
      <c r="H946" s="5"/>
      <c r="M946" s="4"/>
    </row>
    <row r="947" ht="12.0" customHeight="1">
      <c r="B947" s="15"/>
      <c r="C947" s="15"/>
      <c r="F947" s="59"/>
      <c r="H947" s="5"/>
      <c r="M947" s="4"/>
    </row>
    <row r="948" ht="12.0" customHeight="1">
      <c r="B948" s="15"/>
      <c r="C948" s="15"/>
      <c r="F948" s="59"/>
      <c r="H948" s="5"/>
      <c r="M948" s="4"/>
    </row>
    <row r="949" ht="12.0" customHeight="1">
      <c r="B949" s="15"/>
      <c r="C949" s="15"/>
      <c r="F949" s="59"/>
      <c r="H949" s="5"/>
      <c r="M949" s="4"/>
    </row>
    <row r="950" ht="12.0" customHeight="1">
      <c r="B950" s="15"/>
      <c r="C950" s="15"/>
      <c r="F950" s="59"/>
      <c r="H950" s="5"/>
      <c r="M950" s="4"/>
    </row>
    <row r="951" ht="12.0" customHeight="1">
      <c r="B951" s="15"/>
      <c r="C951" s="15"/>
      <c r="F951" s="59"/>
      <c r="H951" s="5"/>
      <c r="M951" s="4"/>
    </row>
    <row r="952" ht="12.0" customHeight="1">
      <c r="B952" s="15"/>
      <c r="C952" s="15"/>
      <c r="F952" s="59"/>
      <c r="H952" s="5"/>
      <c r="M952" s="4"/>
    </row>
    <row r="953" ht="12.0" customHeight="1">
      <c r="B953" s="15"/>
      <c r="C953" s="15"/>
      <c r="F953" s="59"/>
      <c r="H953" s="5"/>
      <c r="M953" s="4"/>
    </row>
    <row r="954" ht="12.0" customHeight="1">
      <c r="B954" s="15"/>
      <c r="C954" s="15"/>
      <c r="F954" s="59"/>
      <c r="H954" s="5"/>
      <c r="M954" s="4"/>
    </row>
    <row r="955" ht="12.0" customHeight="1">
      <c r="B955" s="15"/>
      <c r="C955" s="15"/>
      <c r="F955" s="59"/>
      <c r="H955" s="5"/>
      <c r="M955" s="4"/>
    </row>
    <row r="956" ht="12.0" customHeight="1">
      <c r="B956" s="15"/>
      <c r="C956" s="15"/>
      <c r="F956" s="59"/>
      <c r="H956" s="5"/>
      <c r="M956" s="4"/>
    </row>
    <row r="957" ht="12.0" customHeight="1">
      <c r="B957" s="15"/>
      <c r="C957" s="15"/>
      <c r="F957" s="59"/>
      <c r="H957" s="5"/>
      <c r="M957" s="4"/>
    </row>
    <row r="958" ht="12.0" customHeight="1">
      <c r="B958" s="15"/>
      <c r="C958" s="15"/>
      <c r="F958" s="59"/>
      <c r="H958" s="5"/>
      <c r="M958" s="4"/>
    </row>
    <row r="959" ht="12.0" customHeight="1">
      <c r="B959" s="15"/>
      <c r="C959" s="15"/>
      <c r="F959" s="59"/>
      <c r="H959" s="5"/>
      <c r="M959" s="4"/>
    </row>
    <row r="960" ht="12.0" customHeight="1">
      <c r="B960" s="15"/>
      <c r="C960" s="15"/>
      <c r="F960" s="59"/>
      <c r="H960" s="5"/>
      <c r="M960" s="4"/>
    </row>
    <row r="961" ht="12.0" customHeight="1">
      <c r="B961" s="15"/>
      <c r="C961" s="15"/>
      <c r="F961" s="59"/>
      <c r="H961" s="5"/>
      <c r="M961" s="4"/>
    </row>
    <row r="962" ht="12.0" customHeight="1">
      <c r="B962" s="15"/>
      <c r="C962" s="15"/>
      <c r="F962" s="59"/>
      <c r="H962" s="5"/>
      <c r="M962" s="4"/>
    </row>
    <row r="963" ht="12.0" customHeight="1">
      <c r="B963" s="15"/>
      <c r="C963" s="15"/>
      <c r="F963" s="59"/>
      <c r="H963" s="5"/>
      <c r="M963" s="4"/>
    </row>
    <row r="964" ht="12.0" customHeight="1">
      <c r="B964" s="15"/>
      <c r="C964" s="15"/>
      <c r="F964" s="59"/>
      <c r="H964" s="5"/>
      <c r="M964" s="4"/>
    </row>
    <row r="965" ht="12.0" customHeight="1">
      <c r="B965" s="15"/>
      <c r="C965" s="15"/>
      <c r="F965" s="59"/>
      <c r="H965" s="5"/>
      <c r="M965" s="4"/>
    </row>
    <row r="966" ht="12.0" customHeight="1">
      <c r="B966" s="15"/>
      <c r="C966" s="15"/>
      <c r="F966" s="59"/>
      <c r="H966" s="5"/>
      <c r="M966" s="4"/>
    </row>
    <row r="967" ht="12.0" customHeight="1">
      <c r="B967" s="15"/>
      <c r="C967" s="15"/>
      <c r="F967" s="59"/>
      <c r="H967" s="5"/>
      <c r="M967" s="4"/>
    </row>
    <row r="968" ht="12.0" customHeight="1">
      <c r="B968" s="15"/>
      <c r="C968" s="15"/>
      <c r="F968" s="59"/>
      <c r="H968" s="5"/>
      <c r="M968" s="4"/>
    </row>
    <row r="969" ht="12.0" customHeight="1">
      <c r="B969" s="15"/>
      <c r="C969" s="15"/>
      <c r="F969" s="59"/>
      <c r="H969" s="5"/>
      <c r="M969" s="4"/>
    </row>
    <row r="970" ht="12.0" customHeight="1">
      <c r="B970" s="15"/>
      <c r="C970" s="15"/>
      <c r="F970" s="59"/>
      <c r="H970" s="5"/>
      <c r="M970" s="4"/>
    </row>
    <row r="971" ht="12.0" customHeight="1">
      <c r="B971" s="15"/>
      <c r="C971" s="15"/>
      <c r="F971" s="59"/>
      <c r="H971" s="5"/>
      <c r="M971" s="4"/>
    </row>
    <row r="972" ht="12.0" customHeight="1">
      <c r="B972" s="15"/>
      <c r="C972" s="15"/>
      <c r="F972" s="59"/>
      <c r="H972" s="5"/>
      <c r="M972" s="4"/>
    </row>
    <row r="973" ht="12.0" customHeight="1">
      <c r="B973" s="15"/>
      <c r="C973" s="15"/>
      <c r="F973" s="59"/>
      <c r="H973" s="5"/>
      <c r="M973" s="4"/>
    </row>
    <row r="974" ht="12.0" customHeight="1">
      <c r="B974" s="15"/>
      <c r="C974" s="15"/>
      <c r="F974" s="59"/>
      <c r="H974" s="5"/>
      <c r="M974" s="4"/>
    </row>
    <row r="975" ht="12.0" customHeight="1">
      <c r="B975" s="15"/>
      <c r="C975" s="15"/>
      <c r="F975" s="59"/>
      <c r="H975" s="5"/>
      <c r="M975" s="4"/>
    </row>
    <row r="976" ht="12.0" customHeight="1">
      <c r="B976" s="15"/>
      <c r="C976" s="15"/>
      <c r="F976" s="59"/>
      <c r="H976" s="5"/>
      <c r="M976" s="4"/>
    </row>
    <row r="977" ht="12.0" customHeight="1">
      <c r="B977" s="15"/>
      <c r="C977" s="15"/>
      <c r="F977" s="59"/>
      <c r="H977" s="5"/>
      <c r="M977" s="4"/>
    </row>
    <row r="978" ht="12.0" customHeight="1">
      <c r="B978" s="15"/>
      <c r="C978" s="15"/>
      <c r="F978" s="59"/>
      <c r="H978" s="5"/>
      <c r="M978" s="4"/>
    </row>
    <row r="979" ht="12.0" customHeight="1">
      <c r="B979" s="15"/>
      <c r="C979" s="15"/>
      <c r="F979" s="59"/>
      <c r="H979" s="5"/>
      <c r="M979" s="4"/>
    </row>
    <row r="980" ht="12.0" customHeight="1">
      <c r="B980" s="15"/>
      <c r="C980" s="15"/>
      <c r="F980" s="59"/>
      <c r="H980" s="5"/>
      <c r="M980" s="4"/>
    </row>
    <row r="981" ht="12.0" customHeight="1">
      <c r="B981" s="15"/>
      <c r="C981" s="15"/>
      <c r="F981" s="59"/>
      <c r="H981" s="5"/>
      <c r="M981" s="4"/>
    </row>
    <row r="982" ht="12.0" customHeight="1">
      <c r="B982" s="15"/>
      <c r="C982" s="15"/>
      <c r="F982" s="59"/>
      <c r="H982" s="5"/>
      <c r="M982" s="4"/>
    </row>
    <row r="983" ht="12.0" customHeight="1">
      <c r="B983" s="15"/>
      <c r="C983" s="15"/>
      <c r="F983" s="59"/>
      <c r="H983" s="5"/>
      <c r="M983" s="4"/>
    </row>
    <row r="984" ht="12.0" customHeight="1">
      <c r="B984" s="15"/>
      <c r="C984" s="15"/>
      <c r="F984" s="59"/>
      <c r="H984" s="5"/>
      <c r="M984" s="4"/>
    </row>
    <row r="985" ht="12.0" customHeight="1">
      <c r="B985" s="15"/>
      <c r="C985" s="15"/>
      <c r="F985" s="59"/>
      <c r="H985" s="5"/>
      <c r="M985" s="4"/>
    </row>
    <row r="986" ht="12.0" customHeight="1">
      <c r="B986" s="15"/>
      <c r="C986" s="15"/>
      <c r="F986" s="59"/>
      <c r="H986" s="5"/>
      <c r="M986" s="4"/>
    </row>
    <row r="987" ht="12.0" customHeight="1">
      <c r="B987" s="15"/>
      <c r="C987" s="15"/>
      <c r="F987" s="59"/>
      <c r="H987" s="5"/>
      <c r="M987" s="4"/>
    </row>
    <row r="988" ht="12.0" customHeight="1">
      <c r="B988" s="15"/>
      <c r="C988" s="15"/>
      <c r="F988" s="59"/>
      <c r="H988" s="5"/>
      <c r="M988" s="4"/>
    </row>
    <row r="989" ht="12.0" customHeight="1">
      <c r="B989" s="15"/>
      <c r="C989" s="15"/>
      <c r="F989" s="59"/>
      <c r="H989" s="5"/>
      <c r="M989" s="4"/>
    </row>
    <row r="990" ht="12.0" customHeight="1">
      <c r="B990" s="15"/>
      <c r="C990" s="15"/>
      <c r="F990" s="59"/>
      <c r="H990" s="5"/>
      <c r="M990" s="4"/>
    </row>
    <row r="991" ht="12.0" customHeight="1">
      <c r="B991" s="15"/>
      <c r="C991" s="15"/>
      <c r="F991" s="59"/>
      <c r="H991" s="5"/>
      <c r="M991" s="4"/>
    </row>
    <row r="992" ht="12.0" customHeight="1">
      <c r="B992" s="15"/>
      <c r="C992" s="15"/>
      <c r="F992" s="59"/>
      <c r="H992" s="5"/>
      <c r="M992" s="4"/>
    </row>
    <row r="993" ht="12.0" customHeight="1">
      <c r="B993" s="15"/>
      <c r="C993" s="15"/>
      <c r="F993" s="59"/>
      <c r="H993" s="5"/>
      <c r="M993" s="4"/>
    </row>
    <row r="994" ht="12.0" customHeight="1">
      <c r="B994" s="15"/>
      <c r="C994" s="15"/>
      <c r="F994" s="59"/>
      <c r="H994" s="5"/>
      <c r="M994" s="4"/>
    </row>
    <row r="995" ht="12.0" customHeight="1">
      <c r="B995" s="15"/>
      <c r="C995" s="15"/>
      <c r="F995" s="59"/>
      <c r="H995" s="5"/>
      <c r="M995" s="4"/>
    </row>
    <row r="996" ht="12.0" customHeight="1">
      <c r="B996" s="15"/>
      <c r="C996" s="15"/>
      <c r="F996" s="59"/>
      <c r="H996" s="5"/>
      <c r="M996" s="4"/>
    </row>
    <row r="997" ht="12.0" customHeight="1">
      <c r="B997" s="15"/>
      <c r="C997" s="15"/>
      <c r="F997" s="59"/>
      <c r="H997" s="5"/>
      <c r="M997" s="4"/>
    </row>
    <row r="998" ht="12.0" customHeight="1">
      <c r="B998" s="15"/>
      <c r="C998" s="15"/>
      <c r="F998" s="59"/>
      <c r="H998" s="5"/>
      <c r="M998" s="4"/>
    </row>
    <row r="999" ht="12.0" customHeight="1">
      <c r="B999" s="15"/>
      <c r="C999" s="15"/>
      <c r="F999" s="59"/>
      <c r="H999" s="5"/>
      <c r="M999" s="4"/>
    </row>
    <row r="1000" ht="12.0" customHeight="1">
      <c r="B1000" s="15"/>
      <c r="C1000" s="15"/>
      <c r="F1000" s="59"/>
      <c r="H1000" s="5"/>
      <c r="M1000" s="4"/>
    </row>
  </sheetData>
  <mergeCells count="1">
    <mergeCell ref="L5:M6"/>
  </mergeCells>
  <conditionalFormatting sqref="G1:G1000 J1:J1000">
    <cfRule type="cellIs" dxfId="4" priority="1" operator="lessThan">
      <formula>0</formula>
    </cfRule>
  </conditionalFormatting>
  <conditionalFormatting sqref="L5">
    <cfRule type="expression" dxfId="5" priority="2">
      <formula>$L$5="BAD!!"</formula>
    </cfRule>
  </conditionalFormatting>
  <conditionalFormatting sqref="L5">
    <cfRule type="expression" dxfId="6" priority="3">
      <formula>$L$5="GOOD!!"</formula>
    </cfRule>
  </conditionalFormatting>
  <printOptions/>
  <pageMargins bottom="0.75" footer="0.0" header="0.0" left="0.7" right="0.7" top="0.75"/>
  <pageSetup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66"/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4.14"/>
    <col customWidth="1" min="3" max="3" width="12.14"/>
    <col customWidth="1" min="4" max="4" width="8.43"/>
    <col customWidth="1" min="5" max="5" width="13.14"/>
    <col customWidth="1" min="6" max="6" width="10.14"/>
    <col customWidth="1" min="7" max="7" width="11.14"/>
    <col customWidth="1" min="8" max="8" width="13.14"/>
    <col customWidth="1" min="9" max="9" width="10.0"/>
    <col customWidth="1" min="10" max="10" width="2.86"/>
    <col customWidth="1" min="11" max="12" width="2.43"/>
    <col customWidth="1" min="13" max="14" width="13.14"/>
    <col customWidth="1" min="15" max="15" width="12.14"/>
    <col customWidth="1" min="16" max="16" width="9.57"/>
    <col customWidth="1" min="17" max="17" width="11.14"/>
    <col customWidth="1" min="18" max="18" width="19.57"/>
    <col customWidth="1" min="19" max="19" width="16.86"/>
    <col customWidth="1" min="20" max="20" width="87.86"/>
    <col customWidth="1" min="21" max="22" width="13.14"/>
    <col customWidth="1" min="23" max="26" width="9.0"/>
  </cols>
  <sheetData>
    <row r="1" ht="12.0" customHeight="1">
      <c r="A1" s="21" t="s">
        <v>86</v>
      </c>
      <c r="B1" s="5" t="s">
        <v>1000</v>
      </c>
      <c r="E1" s="4"/>
      <c r="F1" s="4"/>
      <c r="G1" s="4"/>
      <c r="H1" s="5"/>
      <c r="I1" s="146"/>
      <c r="K1" s="174"/>
      <c r="L1" s="5" t="s">
        <v>1001</v>
      </c>
      <c r="N1" s="175">
        <v>43617.0</v>
      </c>
      <c r="O1" s="176" t="s">
        <v>1002</v>
      </c>
      <c r="Q1" s="175"/>
      <c r="R1" s="177" t="s">
        <v>1003</v>
      </c>
      <c r="S1" s="178">
        <f>S2/INT(NOW()-N1)*365</f>
        <v>22414455.5</v>
      </c>
      <c r="T1" s="179"/>
    </row>
    <row r="2" ht="12.0" customHeight="1">
      <c r="C2" s="180" t="s">
        <v>1004</v>
      </c>
      <c r="D2" s="181"/>
      <c r="E2" s="182">
        <v>2.6E8</v>
      </c>
      <c r="F2" s="183">
        <f>E2</f>
        <v>260000000</v>
      </c>
      <c r="G2" s="183"/>
      <c r="H2" s="5"/>
      <c r="I2" s="146"/>
      <c r="K2" s="174"/>
      <c r="L2" s="5"/>
      <c r="M2" s="184" t="s">
        <v>1004</v>
      </c>
      <c r="N2" s="185">
        <v>2.6E8</v>
      </c>
      <c r="O2" s="186">
        <f>S2/N2</f>
        <v>0.5796108936</v>
      </c>
      <c r="R2" s="187" t="s">
        <v>1005</v>
      </c>
      <c r="S2" s="185">
        <f>SUMIFS($O$9:$O$368,$N$9:$N$368,"&lt;="&amp;DATE(YEAR(NOW()),MONTH(NOW()),1))</f>
        <v>150698832.3</v>
      </c>
      <c r="T2" s="179"/>
    </row>
    <row r="3" ht="12.0" customHeight="1">
      <c r="C3" s="188" t="s">
        <v>1006</v>
      </c>
      <c r="D3" s="189"/>
      <c r="E3" s="190">
        <v>0.0303</v>
      </c>
      <c r="F3" s="171"/>
      <c r="G3" s="171"/>
      <c r="H3" s="5"/>
      <c r="I3" s="146"/>
      <c r="K3" s="174"/>
      <c r="L3" s="5"/>
      <c r="M3" s="191" t="s">
        <v>1006</v>
      </c>
      <c r="N3" s="192">
        <v>0.0303</v>
      </c>
      <c r="R3" s="193" t="s">
        <v>1007</v>
      </c>
      <c r="S3" s="178">
        <f>SUMIFS($P$9:$P$368,$N$9:$N$368,"&lt;="&amp;DATE(YEAR(NOW()),MONTH(NOW()),1))</f>
        <v>33680067.72</v>
      </c>
      <c r="T3" s="179"/>
    </row>
    <row r="4" ht="12.0" customHeight="1">
      <c r="C4" s="188" t="s">
        <v>1008</v>
      </c>
      <c r="D4" s="189"/>
      <c r="E4" s="170">
        <v>30.0</v>
      </c>
      <c r="F4" s="194">
        <f>E4*12</f>
        <v>360</v>
      </c>
      <c r="G4" s="194"/>
      <c r="H4" s="5"/>
      <c r="I4" s="146"/>
      <c r="K4" s="174"/>
      <c r="L4" s="5"/>
      <c r="M4" s="191" t="s">
        <v>1008</v>
      </c>
      <c r="N4" s="195">
        <v>30.0</v>
      </c>
      <c r="R4" s="196" t="s">
        <v>1009</v>
      </c>
      <c r="S4" s="178">
        <f t="shared" ref="S4:S5" si="1">E5-N5</f>
        <v>59341572.14</v>
      </c>
      <c r="T4" s="179"/>
    </row>
    <row r="5" ht="12.0" customHeight="1">
      <c r="C5" s="197" t="s">
        <v>1010</v>
      </c>
      <c r="D5" s="189"/>
      <c r="E5" s="198">
        <f>G9*F4-E2</f>
        <v>136137411.3</v>
      </c>
      <c r="F5" s="171"/>
      <c r="G5" s="171"/>
      <c r="H5" s="5"/>
      <c r="I5" s="146"/>
      <c r="K5" s="174"/>
      <c r="L5" s="5"/>
      <c r="M5" s="193" t="s">
        <v>1010</v>
      </c>
      <c r="N5" s="199">
        <f>SUM(P9:P368)</f>
        <v>76795839.18</v>
      </c>
      <c r="O5" s="38"/>
      <c r="R5" s="196" t="s">
        <v>1011</v>
      </c>
      <c r="S5" s="178">
        <f t="shared" si="1"/>
        <v>554084.4125</v>
      </c>
      <c r="T5" s="179"/>
    </row>
    <row r="6" ht="12.0" customHeight="1">
      <c r="C6" s="200" t="s">
        <v>1012</v>
      </c>
      <c r="D6" s="201"/>
      <c r="E6" s="202">
        <f>G9</f>
        <v>1100381.698</v>
      </c>
      <c r="F6" s="171"/>
      <c r="G6" s="171"/>
      <c r="H6" s="5"/>
      <c r="I6" s="146"/>
      <c r="K6" s="174"/>
      <c r="L6" s="5"/>
      <c r="M6" s="187" t="s">
        <v>1013</v>
      </c>
      <c r="N6" s="162">
        <f>MIN(Q9:Q998)</f>
        <v>546297.2856</v>
      </c>
      <c r="O6" s="38"/>
      <c r="T6" s="179"/>
    </row>
    <row r="7" ht="12.0" customHeight="1">
      <c r="E7" s="4"/>
      <c r="F7" s="4"/>
      <c r="G7" s="4"/>
      <c r="H7" s="5"/>
      <c r="I7" s="146"/>
      <c r="K7" s="174"/>
      <c r="L7" s="5"/>
      <c r="T7" s="179"/>
    </row>
    <row r="8" ht="12.0" customHeight="1">
      <c r="C8" s="203" t="s">
        <v>1014</v>
      </c>
      <c r="D8" s="204" t="s">
        <v>1015</v>
      </c>
      <c r="E8" s="203" t="s">
        <v>1016</v>
      </c>
      <c r="F8" s="205" t="s">
        <v>1017</v>
      </c>
      <c r="G8" s="203" t="s">
        <v>1018</v>
      </c>
      <c r="H8" s="203" t="s">
        <v>11</v>
      </c>
      <c r="I8" s="203" t="s">
        <v>12</v>
      </c>
      <c r="K8" s="174"/>
      <c r="L8" s="5"/>
      <c r="M8" s="206" t="s">
        <v>1014</v>
      </c>
      <c r="N8" s="207" t="s">
        <v>1015</v>
      </c>
      <c r="O8" s="206" t="s">
        <v>1016</v>
      </c>
      <c r="P8" s="208" t="s">
        <v>1017</v>
      </c>
      <c r="Q8" s="206" t="s">
        <v>1018</v>
      </c>
      <c r="R8" s="206" t="s">
        <v>11</v>
      </c>
      <c r="S8" s="206" t="s">
        <v>12</v>
      </c>
      <c r="T8" s="209" t="s">
        <v>8</v>
      </c>
    </row>
    <row r="9" ht="12.0" customHeight="1">
      <c r="C9" s="210">
        <v>1.0</v>
      </c>
      <c r="D9" s="211">
        <v>43617.0</v>
      </c>
      <c r="E9" s="210">
        <f t="shared" ref="E9:E368" si="2">IFERROR(ABS(PPMT($E$3/12,$C9,$F$4,$E$2)),0)</f>
        <v>443881.6981</v>
      </c>
      <c r="F9" s="210">
        <f t="shared" ref="F9:F368" si="3">IF(E9&gt;0,G9-E9,0)</f>
        <v>656500</v>
      </c>
      <c r="G9" s="210">
        <f t="shared" ref="G9:G368" si="4">IF(E9&gt;0,$E$2*$E$3/12*(1+$E$3/12)^$F$4/((1+$E$3/12)^$F$4-1),0)</f>
        <v>1100381.698</v>
      </c>
      <c r="H9" s="170">
        <f>$E$2-E9</f>
        <v>259556118.3</v>
      </c>
      <c r="I9" s="210">
        <f t="shared" ref="I9:I368" si="5">$F$4-C9</f>
        <v>359</v>
      </c>
      <c r="K9" s="174"/>
      <c r="L9" s="5"/>
      <c r="M9" s="212">
        <v>1.0</v>
      </c>
      <c r="N9" s="213">
        <v>43617.0</v>
      </c>
      <c r="O9" s="212">
        <v>443881.69809799077</v>
      </c>
      <c r="P9" s="212">
        <v>656499.9999999728</v>
      </c>
      <c r="Q9" s="212">
        <v>1100381.6980979636</v>
      </c>
      <c r="R9" s="214">
        <v>2.59556118301902E8</v>
      </c>
      <c r="S9" s="212">
        <v>359.0</v>
      </c>
      <c r="T9" s="215"/>
    </row>
    <row r="10" ht="12.0" customHeight="1">
      <c r="C10" s="210">
        <v>2.0</v>
      </c>
      <c r="D10" s="211">
        <v>43647.0</v>
      </c>
      <c r="E10" s="210">
        <f t="shared" si="2"/>
        <v>445002.4994</v>
      </c>
      <c r="F10" s="210">
        <f t="shared" si="3"/>
        <v>655379.1987</v>
      </c>
      <c r="G10" s="210">
        <f t="shared" si="4"/>
        <v>1100381.698</v>
      </c>
      <c r="H10" s="170">
        <f t="shared" ref="H10:H368" si="6">H9-E10</f>
        <v>259111115.8</v>
      </c>
      <c r="I10" s="210">
        <f t="shared" si="5"/>
        <v>358</v>
      </c>
      <c r="K10" s="174"/>
      <c r="L10" s="5"/>
      <c r="M10" s="212">
        <v>2.0</v>
      </c>
      <c r="N10" s="213">
        <v>43647.0</v>
      </c>
      <c r="O10" s="212">
        <v>445002.4993856882</v>
      </c>
      <c r="P10" s="212">
        <v>655379.1987122754</v>
      </c>
      <c r="Q10" s="212">
        <v>1100381.6980979636</v>
      </c>
      <c r="R10" s="214">
        <v>2.591111158025163E8</v>
      </c>
      <c r="S10" s="212">
        <v>358.0</v>
      </c>
      <c r="T10" s="215"/>
    </row>
    <row r="11" ht="12.0" customHeight="1">
      <c r="C11" s="210">
        <v>3.0</v>
      </c>
      <c r="D11" s="211">
        <v>43678.0</v>
      </c>
      <c r="E11" s="210">
        <f t="shared" si="2"/>
        <v>446126.1307</v>
      </c>
      <c r="F11" s="210">
        <f t="shared" si="3"/>
        <v>654255.5674</v>
      </c>
      <c r="G11" s="210">
        <f t="shared" si="4"/>
        <v>1100381.698</v>
      </c>
      <c r="H11" s="170">
        <f t="shared" si="6"/>
        <v>258664989.7</v>
      </c>
      <c r="I11" s="210">
        <f t="shared" si="5"/>
        <v>357</v>
      </c>
      <c r="K11" s="174"/>
      <c r="L11" s="5"/>
      <c r="M11" s="212">
        <v>3.0</v>
      </c>
      <c r="N11" s="213">
        <v>43678.0</v>
      </c>
      <c r="O11" s="212">
        <v>446126.1306966371</v>
      </c>
      <c r="P11" s="212">
        <v>654255.5674013265</v>
      </c>
      <c r="Q11" s="212">
        <v>1100381.6980979636</v>
      </c>
      <c r="R11" s="214">
        <v>2.586649896718197E8</v>
      </c>
      <c r="S11" s="212">
        <v>357.0</v>
      </c>
      <c r="T11" s="215"/>
    </row>
    <row r="12" ht="12.0" customHeight="1">
      <c r="C12" s="210">
        <v>4.0</v>
      </c>
      <c r="D12" s="211">
        <v>43709.0</v>
      </c>
      <c r="E12" s="210">
        <f t="shared" si="2"/>
        <v>447252.5992</v>
      </c>
      <c r="F12" s="210">
        <f t="shared" si="3"/>
        <v>653129.0989</v>
      </c>
      <c r="G12" s="210">
        <f t="shared" si="4"/>
        <v>1100381.698</v>
      </c>
      <c r="H12" s="170">
        <f t="shared" si="6"/>
        <v>258217737.1</v>
      </c>
      <c r="I12" s="210">
        <f t="shared" si="5"/>
        <v>356</v>
      </c>
      <c r="K12" s="174"/>
      <c r="L12" s="5"/>
      <c r="M12" s="212">
        <v>4.0</v>
      </c>
      <c r="N12" s="213">
        <v>43709.0</v>
      </c>
      <c r="O12" s="212">
        <v>447252.59917664615</v>
      </c>
      <c r="P12" s="212">
        <v>653129.0989213174</v>
      </c>
      <c r="Q12" s="212">
        <v>1100381.6980979636</v>
      </c>
      <c r="R12" s="214">
        <v>2.5821773707264304E8</v>
      </c>
      <c r="S12" s="212">
        <v>356.0</v>
      </c>
      <c r="T12" s="215"/>
    </row>
    <row r="13" ht="12.0" customHeight="1">
      <c r="C13" s="210">
        <v>5.0</v>
      </c>
      <c r="D13" s="211">
        <v>43739.0</v>
      </c>
      <c r="E13" s="210">
        <f t="shared" si="2"/>
        <v>448381.912</v>
      </c>
      <c r="F13" s="210">
        <f t="shared" si="3"/>
        <v>651999.7861</v>
      </c>
      <c r="G13" s="210">
        <f t="shared" si="4"/>
        <v>1100381.698</v>
      </c>
      <c r="H13" s="170">
        <f t="shared" si="6"/>
        <v>257769355.2</v>
      </c>
      <c r="I13" s="210">
        <f t="shared" si="5"/>
        <v>355</v>
      </c>
      <c r="K13" s="174"/>
      <c r="L13" s="5"/>
      <c r="M13" s="212">
        <v>5.0</v>
      </c>
      <c r="N13" s="213">
        <v>43739.0</v>
      </c>
      <c r="O13" s="212">
        <v>448381.9119895671</v>
      </c>
      <c r="P13" s="212">
        <v>651999.7861083965</v>
      </c>
      <c r="Q13" s="212">
        <v>1100381.6980979636</v>
      </c>
      <c r="R13" s="214">
        <v>2.5776935516065347E8</v>
      </c>
      <c r="S13" s="212">
        <v>355.0</v>
      </c>
      <c r="T13" s="215"/>
    </row>
    <row r="14" ht="12.0" customHeight="1">
      <c r="C14" s="210">
        <v>6.0</v>
      </c>
      <c r="D14" s="211">
        <v>43770.0</v>
      </c>
      <c r="E14" s="210">
        <f t="shared" si="2"/>
        <v>449514.0763</v>
      </c>
      <c r="F14" s="210">
        <f t="shared" si="3"/>
        <v>650867.6218</v>
      </c>
      <c r="G14" s="210">
        <f t="shared" si="4"/>
        <v>1100381.698</v>
      </c>
      <c r="H14" s="170">
        <f t="shared" si="6"/>
        <v>257319841.1</v>
      </c>
      <c r="I14" s="210">
        <f t="shared" si="5"/>
        <v>354</v>
      </c>
      <c r="K14" s="174"/>
      <c r="L14" s="5"/>
      <c r="M14" s="212">
        <v>6.0</v>
      </c>
      <c r="N14" s="213">
        <v>43770.0</v>
      </c>
      <c r="O14" s="212">
        <v>449514.07631734083</v>
      </c>
      <c r="P14" s="212">
        <v>650867.6217806228</v>
      </c>
      <c r="Q14" s="212">
        <v>1100381.6980979636</v>
      </c>
      <c r="R14" s="214">
        <v>2.5731984108433613E8</v>
      </c>
      <c r="S14" s="212">
        <v>354.0</v>
      </c>
      <c r="T14" s="215"/>
    </row>
    <row r="15" ht="12.0" customHeight="1">
      <c r="C15" s="210">
        <v>7.0</v>
      </c>
      <c r="D15" s="211">
        <v>43800.0</v>
      </c>
      <c r="E15" s="210">
        <f t="shared" si="2"/>
        <v>450649.0994</v>
      </c>
      <c r="F15" s="210">
        <f t="shared" si="3"/>
        <v>649732.5987</v>
      </c>
      <c r="G15" s="210">
        <f t="shared" si="4"/>
        <v>1100381.698</v>
      </c>
      <c r="H15" s="170">
        <f t="shared" si="6"/>
        <v>256869192</v>
      </c>
      <c r="I15" s="210">
        <f t="shared" si="5"/>
        <v>353</v>
      </c>
      <c r="K15" s="174"/>
      <c r="L15" s="5"/>
      <c r="M15" s="212">
        <v>7.0</v>
      </c>
      <c r="N15" s="213">
        <v>43800.0</v>
      </c>
      <c r="O15" s="212">
        <v>450649.099360042</v>
      </c>
      <c r="P15" s="212">
        <v>649732.5987379216</v>
      </c>
      <c r="Q15" s="212">
        <v>1100381.6980979636</v>
      </c>
      <c r="R15" s="214">
        <v>2.5686919198497608E8</v>
      </c>
      <c r="S15" s="212">
        <v>353.0</v>
      </c>
      <c r="T15" s="215"/>
    </row>
    <row r="16" ht="12.0" customHeight="1">
      <c r="C16" s="210">
        <v>8.0</v>
      </c>
      <c r="D16" s="211">
        <v>43831.0</v>
      </c>
      <c r="E16" s="210">
        <f t="shared" si="2"/>
        <v>451786.9883</v>
      </c>
      <c r="F16" s="210">
        <f t="shared" si="3"/>
        <v>648594.7098</v>
      </c>
      <c r="G16" s="210">
        <f t="shared" si="4"/>
        <v>1100381.698</v>
      </c>
      <c r="H16" s="170">
        <f t="shared" si="6"/>
        <v>256417405</v>
      </c>
      <c r="I16" s="210">
        <f t="shared" si="5"/>
        <v>352</v>
      </c>
      <c r="K16" s="174"/>
      <c r="L16" s="5"/>
      <c r="M16" s="212">
        <v>8.0</v>
      </c>
      <c r="N16" s="213">
        <v>43831.0</v>
      </c>
      <c r="O16" s="212">
        <v>451786.98833592614</v>
      </c>
      <c r="P16" s="212">
        <v>648594.7097620375</v>
      </c>
      <c r="Q16" s="212">
        <f t="shared" ref="Q16:Q49" si="7">O16+P16</f>
        <v>1100381.698</v>
      </c>
      <c r="R16" s="214">
        <v>2.5641740499664015E8</v>
      </c>
      <c r="S16" s="212">
        <v>352.0</v>
      </c>
      <c r="T16" s="215"/>
    </row>
    <row r="17" ht="12.0" customHeight="1">
      <c r="C17" s="210">
        <v>9.0</v>
      </c>
      <c r="D17" s="211">
        <v>43862.0</v>
      </c>
      <c r="E17" s="210">
        <f t="shared" si="2"/>
        <v>452927.7505</v>
      </c>
      <c r="F17" s="210">
        <f t="shared" si="3"/>
        <v>647453.9476</v>
      </c>
      <c r="G17" s="210">
        <f t="shared" si="4"/>
        <v>1100381.698</v>
      </c>
      <c r="H17" s="170">
        <f t="shared" si="6"/>
        <v>255964477.2</v>
      </c>
      <c r="I17" s="210">
        <f t="shared" si="5"/>
        <v>351</v>
      </c>
      <c r="K17" s="174"/>
      <c r="L17" s="5"/>
      <c r="M17" s="212">
        <v>9.0</v>
      </c>
      <c r="N17" s="213">
        <v>43862.0</v>
      </c>
      <c r="O17" s="212">
        <v>452927.7504814744</v>
      </c>
      <c r="P17" s="212">
        <v>647453.9476164891</v>
      </c>
      <c r="Q17" s="212">
        <f t="shared" si="7"/>
        <v>1100381.698</v>
      </c>
      <c r="R17" s="214">
        <v>2.5596447724615866E8</v>
      </c>
      <c r="S17" s="212">
        <v>351.0</v>
      </c>
      <c r="T17" s="215"/>
    </row>
    <row r="18" ht="12.0" customHeight="1">
      <c r="C18" s="210">
        <v>10.0</v>
      </c>
      <c r="D18" s="211">
        <v>43891.0</v>
      </c>
      <c r="E18" s="210">
        <f t="shared" si="2"/>
        <v>454071.3931</v>
      </c>
      <c r="F18" s="210">
        <f t="shared" si="3"/>
        <v>646310.305</v>
      </c>
      <c r="G18" s="210">
        <f t="shared" si="4"/>
        <v>1100381.698</v>
      </c>
      <c r="H18" s="170">
        <f t="shared" si="6"/>
        <v>255510405.9</v>
      </c>
      <c r="I18" s="210">
        <f t="shared" si="5"/>
        <v>350</v>
      </c>
      <c r="K18" s="174"/>
      <c r="L18" s="5"/>
      <c r="M18" s="212">
        <v>10.0</v>
      </c>
      <c r="N18" s="213">
        <v>43891.0</v>
      </c>
      <c r="O18" s="212">
        <v>454071.3930514401</v>
      </c>
      <c r="P18" s="212">
        <v>646310.3050465235</v>
      </c>
      <c r="Q18" s="212">
        <f t="shared" si="7"/>
        <v>1100381.698</v>
      </c>
      <c r="R18" s="214">
        <v>2.555104058531072E8</v>
      </c>
      <c r="S18" s="212">
        <v>350.0</v>
      </c>
      <c r="T18" s="215"/>
    </row>
    <row r="19" ht="12.0" customHeight="1">
      <c r="C19" s="210">
        <v>11.0</v>
      </c>
      <c r="D19" s="211">
        <v>43922.0</v>
      </c>
      <c r="E19" s="210">
        <f t="shared" si="2"/>
        <v>455217.9233</v>
      </c>
      <c r="F19" s="210">
        <f t="shared" si="3"/>
        <v>645163.7748</v>
      </c>
      <c r="G19" s="210">
        <f t="shared" si="4"/>
        <v>1100381.698</v>
      </c>
      <c r="H19" s="170">
        <f t="shared" si="6"/>
        <v>255055187.9</v>
      </c>
      <c r="I19" s="210">
        <f t="shared" si="5"/>
        <v>349</v>
      </c>
      <c r="K19" s="174"/>
      <c r="L19" s="5"/>
      <c r="M19" s="212">
        <v>11.0</v>
      </c>
      <c r="N19" s="213">
        <v>43922.0</v>
      </c>
      <c r="O19" s="212">
        <v>455217.92331889505</v>
      </c>
      <c r="P19" s="212">
        <v>645163.7747790685</v>
      </c>
      <c r="Q19" s="212">
        <f t="shared" si="7"/>
        <v>1100381.698</v>
      </c>
      <c r="R19" s="214">
        <v>2.5505518792978832E8</v>
      </c>
      <c r="S19" s="212">
        <v>349.0</v>
      </c>
      <c r="T19" s="215"/>
    </row>
    <row r="20" ht="12.0" customHeight="1">
      <c r="C20" s="210">
        <v>12.0</v>
      </c>
      <c r="D20" s="211">
        <v>43952.0</v>
      </c>
      <c r="E20" s="210">
        <f t="shared" si="2"/>
        <v>456367.3486</v>
      </c>
      <c r="F20" s="210">
        <f t="shared" si="3"/>
        <v>644014.3495</v>
      </c>
      <c r="G20" s="210">
        <f t="shared" si="4"/>
        <v>1100381.698</v>
      </c>
      <c r="H20" s="170">
        <f t="shared" si="6"/>
        <v>254598820.6</v>
      </c>
      <c r="I20" s="210">
        <f t="shared" si="5"/>
        <v>348</v>
      </c>
      <c r="K20" s="174"/>
      <c r="L20" s="5"/>
      <c r="M20" s="212">
        <v>12.0</v>
      </c>
      <c r="N20" s="213">
        <v>43952.0</v>
      </c>
      <c r="O20" s="212">
        <v>456367.34857527516</v>
      </c>
      <c r="P20" s="212">
        <v>644014.3495226884</v>
      </c>
      <c r="Q20" s="212">
        <f t="shared" si="7"/>
        <v>1100381.698</v>
      </c>
      <c r="R20" s="214">
        <v>2.5459882058121306E8</v>
      </c>
      <c r="S20" s="212">
        <v>348.0</v>
      </c>
      <c r="T20" s="215"/>
    </row>
    <row r="21" ht="12.0" customHeight="1">
      <c r="C21" s="210">
        <v>13.0</v>
      </c>
      <c r="D21" s="211">
        <v>43983.0</v>
      </c>
      <c r="E21" s="210">
        <f t="shared" si="2"/>
        <v>457519.6761</v>
      </c>
      <c r="F21" s="210">
        <f t="shared" si="3"/>
        <v>642862.022</v>
      </c>
      <c r="G21" s="210">
        <f t="shared" si="4"/>
        <v>1100381.698</v>
      </c>
      <c r="H21" s="170">
        <f t="shared" si="6"/>
        <v>254141300.9</v>
      </c>
      <c r="I21" s="210">
        <f t="shared" si="5"/>
        <v>347</v>
      </c>
      <c r="K21" s="174"/>
      <c r="L21" s="5"/>
      <c r="M21" s="212">
        <v>13.0</v>
      </c>
      <c r="N21" s="213">
        <v>43983.0</v>
      </c>
      <c r="O21" s="212">
        <v>457519.6761304278</v>
      </c>
      <c r="P21" s="212">
        <v>642862.0219675358</v>
      </c>
      <c r="Q21" s="212">
        <f t="shared" si="7"/>
        <v>1100381.698</v>
      </c>
      <c r="R21" s="214">
        <v>2.5414130090508264E8</v>
      </c>
      <c r="S21" s="212">
        <v>347.0</v>
      </c>
      <c r="T21" s="215"/>
    </row>
    <row r="22" ht="12.0" customHeight="1">
      <c r="C22" s="210">
        <v>14.0</v>
      </c>
      <c r="D22" s="211">
        <v>44013.0</v>
      </c>
      <c r="E22" s="210">
        <f t="shared" si="2"/>
        <v>458674.9133</v>
      </c>
      <c r="F22" s="210">
        <f t="shared" si="3"/>
        <v>641706.7848</v>
      </c>
      <c r="G22" s="210">
        <f t="shared" si="4"/>
        <v>1100381.698</v>
      </c>
      <c r="H22" s="170">
        <f t="shared" si="6"/>
        <v>253682626</v>
      </c>
      <c r="I22" s="210">
        <f t="shared" si="5"/>
        <v>346</v>
      </c>
      <c r="K22" s="174"/>
      <c r="L22" s="5"/>
      <c r="M22" s="212">
        <v>14.0</v>
      </c>
      <c r="N22" s="213">
        <v>44013.0</v>
      </c>
      <c r="O22" s="212">
        <f>458674.913312657+1600000+500000</f>
        <v>2558674.913</v>
      </c>
      <c r="P22" s="212">
        <f>641706.784785307+1986+11509+910+3558</f>
        <v>659669.7848</v>
      </c>
      <c r="Q22" s="212">
        <f t="shared" si="7"/>
        <v>3218344.698</v>
      </c>
      <c r="R22" s="214">
        <f>R21-O22</f>
        <v>251582626</v>
      </c>
      <c r="S22" s="212">
        <v>346.0</v>
      </c>
      <c r="T22" s="215" t="s">
        <v>1019</v>
      </c>
    </row>
    <row r="23" ht="12.0" customHeight="1">
      <c r="C23" s="210">
        <v>15.0</v>
      </c>
      <c r="D23" s="211">
        <v>44044.0</v>
      </c>
      <c r="E23" s="210">
        <f t="shared" si="2"/>
        <v>459833.0675</v>
      </c>
      <c r="F23" s="210">
        <f t="shared" si="3"/>
        <v>640548.6306</v>
      </c>
      <c r="G23" s="210">
        <f t="shared" si="4"/>
        <v>1100381.698</v>
      </c>
      <c r="H23" s="170">
        <f t="shared" si="6"/>
        <v>253222792.9</v>
      </c>
      <c r="I23" s="210">
        <f t="shared" si="5"/>
        <v>345</v>
      </c>
      <c r="K23" s="174"/>
      <c r="L23" s="5"/>
      <c r="M23" s="212">
        <v>15.0</v>
      </c>
      <c r="N23" s="213">
        <v>44044.0</v>
      </c>
      <c r="O23" s="216">
        <f>456026.547197131+1500000+2400000</f>
        <v>4356026.547</v>
      </c>
      <c r="P23" s="212">
        <f>635246.138224972+16344+3775+10198+2483</f>
        <v>668046.1382</v>
      </c>
      <c r="Q23" s="212">
        <f t="shared" si="7"/>
        <v>5024072.685</v>
      </c>
      <c r="R23" s="214">
        <v>2.47226603E8</v>
      </c>
      <c r="S23" s="212">
        <v>345.0</v>
      </c>
      <c r="T23" s="215" t="s">
        <v>1020</v>
      </c>
    </row>
    <row r="24" ht="12.0" customHeight="1">
      <c r="C24" s="210">
        <v>16.0</v>
      </c>
      <c r="D24" s="211">
        <v>44075.0</v>
      </c>
      <c r="E24" s="210">
        <f t="shared" si="2"/>
        <v>460994.146</v>
      </c>
      <c r="F24" s="210">
        <f t="shared" si="3"/>
        <v>639387.5521</v>
      </c>
      <c r="G24" s="210">
        <f t="shared" si="4"/>
        <v>1100381.698</v>
      </c>
      <c r="H24" s="170">
        <f t="shared" si="6"/>
        <v>252761798.8</v>
      </c>
      <c r="I24" s="210">
        <f t="shared" si="5"/>
        <v>344</v>
      </c>
      <c r="K24" s="174"/>
      <c r="L24" s="5"/>
      <c r="M24" s="212">
        <v>16.0</v>
      </c>
      <c r="N24" s="213">
        <v>44075.0</v>
      </c>
      <c r="O24" s="212">
        <f>445527+500000+2000000+2000000+1000000</f>
        <v>5945527</v>
      </c>
      <c r="P24" s="212">
        <f>617934+3355+1159+4636+13423+1986+13094+6448+1738</f>
        <v>663773</v>
      </c>
      <c r="Q24" s="212">
        <f t="shared" si="7"/>
        <v>6609300</v>
      </c>
      <c r="R24" s="214">
        <v>2.41281076E8</v>
      </c>
      <c r="S24" s="212">
        <v>344.0</v>
      </c>
      <c r="T24" s="215" t="s">
        <v>1021</v>
      </c>
      <c r="U24" s="4"/>
    </row>
    <row r="25" ht="12.0" customHeight="1">
      <c r="C25" s="210">
        <v>17.0</v>
      </c>
      <c r="D25" s="211">
        <v>44105.0</v>
      </c>
      <c r="E25" s="210">
        <f t="shared" si="2"/>
        <v>462158.1562</v>
      </c>
      <c r="F25" s="210">
        <f t="shared" si="3"/>
        <v>638223.5419</v>
      </c>
      <c r="G25" s="210">
        <f t="shared" si="4"/>
        <v>1100381.698</v>
      </c>
      <c r="H25" s="170">
        <f t="shared" si="6"/>
        <v>252299640.6</v>
      </c>
      <c r="I25" s="210">
        <f t="shared" si="5"/>
        <v>343</v>
      </c>
      <c r="K25" s="174"/>
      <c r="L25" s="5"/>
      <c r="M25" s="212">
        <v>17.0</v>
      </c>
      <c r="N25" s="213">
        <v>44105.0</v>
      </c>
      <c r="O25" s="216">
        <f>441167+2250000+600000</f>
        <v>3291167</v>
      </c>
      <c r="P25" s="212">
        <f>609234+1142+3659+3911+13770</f>
        <v>631716</v>
      </c>
      <c r="Q25" s="212">
        <f t="shared" si="7"/>
        <v>3922883</v>
      </c>
      <c r="R25" s="217">
        <v>2.37989909E8</v>
      </c>
      <c r="S25" s="212">
        <v>343.0</v>
      </c>
      <c r="T25" s="215" t="s">
        <v>1022</v>
      </c>
    </row>
    <row r="26" ht="12.0" customHeight="1">
      <c r="C26" s="210">
        <v>18.0</v>
      </c>
      <c r="D26" s="211">
        <v>44136.0</v>
      </c>
      <c r="E26" s="210">
        <f t="shared" si="2"/>
        <v>463325.1055</v>
      </c>
      <c r="F26" s="210">
        <f t="shared" si="3"/>
        <v>637056.5926</v>
      </c>
      <c r="G26" s="210">
        <f t="shared" si="4"/>
        <v>1100381.698</v>
      </c>
      <c r="H26" s="170">
        <f t="shared" si="6"/>
        <v>251836315.5</v>
      </c>
      <c r="I26" s="210">
        <f t="shared" si="5"/>
        <v>342</v>
      </c>
      <c r="K26" s="174"/>
      <c r="L26" s="5"/>
      <c r="M26" s="212">
        <v>18.0</v>
      </c>
      <c r="N26" s="213">
        <v>44136.0</v>
      </c>
      <c r="O26" s="216">
        <v>637047.0</v>
      </c>
      <c r="P26" s="212">
        <v>602126.0</v>
      </c>
      <c r="Q26" s="212">
        <f t="shared" si="7"/>
        <v>1239173</v>
      </c>
      <c r="R26" s="214">
        <v>2.37352862E8</v>
      </c>
      <c r="S26" s="212">
        <v>342.0</v>
      </c>
      <c r="T26" s="215" t="s">
        <v>1023</v>
      </c>
    </row>
    <row r="27" ht="12.0" customHeight="1">
      <c r="C27" s="210">
        <v>19.0</v>
      </c>
      <c r="D27" s="211">
        <v>44166.0</v>
      </c>
      <c r="E27" s="210">
        <f t="shared" si="2"/>
        <v>464495.0014</v>
      </c>
      <c r="F27" s="210">
        <f t="shared" si="3"/>
        <v>635886.6967</v>
      </c>
      <c r="G27" s="210">
        <f t="shared" si="4"/>
        <v>1100381.698</v>
      </c>
      <c r="H27" s="170">
        <f t="shared" si="6"/>
        <v>251371820.5</v>
      </c>
      <c r="I27" s="210">
        <f t="shared" si="5"/>
        <v>341</v>
      </c>
      <c r="K27" s="174"/>
      <c r="L27" s="5"/>
      <c r="M27" s="212">
        <v>19.0</v>
      </c>
      <c r="N27" s="213">
        <v>44166.0</v>
      </c>
      <c r="O27" s="212">
        <f>16000000+408271+100000</f>
        <v>16508271</v>
      </c>
      <c r="P27" s="212">
        <f>38413+91094+558915+33+563</f>
        <v>689018</v>
      </c>
      <c r="Q27" s="212">
        <f t="shared" si="7"/>
        <v>17197289</v>
      </c>
      <c r="R27" s="214">
        <f t="shared" ref="R27:R49" si="8">R26-O27</f>
        <v>220844591</v>
      </c>
      <c r="S27" s="212">
        <v>341.0</v>
      </c>
      <c r="T27" s="215" t="s">
        <v>1024</v>
      </c>
    </row>
    <row r="28" ht="12.0" customHeight="1">
      <c r="C28" s="210">
        <v>20.0</v>
      </c>
      <c r="D28" s="211">
        <v>44197.0</v>
      </c>
      <c r="E28" s="210">
        <f t="shared" si="2"/>
        <v>465667.8513</v>
      </c>
      <c r="F28" s="210">
        <f t="shared" si="3"/>
        <v>634713.8468</v>
      </c>
      <c r="G28" s="210">
        <f t="shared" si="4"/>
        <v>1100381.698</v>
      </c>
      <c r="H28" s="170">
        <f t="shared" si="6"/>
        <v>250906152.7</v>
      </c>
      <c r="I28" s="210">
        <f t="shared" si="5"/>
        <v>340</v>
      </c>
      <c r="K28" s="174"/>
      <c r="L28" s="5"/>
      <c r="M28" s="212">
        <v>20.0</v>
      </c>
      <c r="N28" s="213">
        <v>44197.0</v>
      </c>
      <c r="O28" s="212">
        <f>1344591+406625+1500000</f>
        <v>3251216</v>
      </c>
      <c r="P28" s="212">
        <f>554237+3005+7243+1618+7801</f>
        <v>573904</v>
      </c>
      <c r="Q28" s="212">
        <f t="shared" si="7"/>
        <v>3825120</v>
      </c>
      <c r="R28" s="214">
        <f t="shared" si="8"/>
        <v>217593375</v>
      </c>
      <c r="S28" s="212">
        <v>340.0</v>
      </c>
      <c r="T28" s="215" t="s">
        <v>1025</v>
      </c>
    </row>
    <row r="29" ht="12.0" customHeight="1">
      <c r="C29" s="210">
        <v>21.0</v>
      </c>
      <c r="D29" s="211">
        <v>44228.0</v>
      </c>
      <c r="E29" s="210">
        <f t="shared" si="2"/>
        <v>466843.6626</v>
      </c>
      <c r="F29" s="210">
        <f t="shared" si="3"/>
        <v>633538.0355</v>
      </c>
      <c r="G29" s="210">
        <f t="shared" si="4"/>
        <v>1100381.698</v>
      </c>
      <c r="H29" s="170">
        <f t="shared" si="6"/>
        <v>250439309</v>
      </c>
      <c r="I29" s="210">
        <f t="shared" si="5"/>
        <v>339</v>
      </c>
      <c r="K29" s="174"/>
      <c r="L29" s="5"/>
      <c r="M29" s="212">
        <v>21.0</v>
      </c>
      <c r="N29" s="213">
        <v>44228.0</v>
      </c>
      <c r="O29" s="212">
        <f>404860.889494676+1600000+1000000</f>
        <v>3004860.889</v>
      </c>
      <c r="P29" s="212">
        <f>549423.271874975+1195+7848+996+4872</f>
        <v>564334.2719</v>
      </c>
      <c r="Q29" s="212">
        <f t="shared" si="7"/>
        <v>3569195.161</v>
      </c>
      <c r="R29" s="214">
        <f t="shared" si="8"/>
        <v>214588514.1</v>
      </c>
      <c r="S29" s="212">
        <v>339.0</v>
      </c>
      <c r="T29" s="215" t="s">
        <v>1026</v>
      </c>
    </row>
    <row r="30" ht="12.0" customHeight="1">
      <c r="C30" s="210">
        <v>22.0</v>
      </c>
      <c r="D30" s="211">
        <v>44256.0</v>
      </c>
      <c r="E30" s="210">
        <f t="shared" si="2"/>
        <v>468022.4429</v>
      </c>
      <c r="F30" s="210">
        <f t="shared" si="3"/>
        <v>632359.2552</v>
      </c>
      <c r="G30" s="210">
        <f t="shared" si="4"/>
        <v>1100381.698</v>
      </c>
      <c r="H30" s="170">
        <f t="shared" si="6"/>
        <v>249971286.6</v>
      </c>
      <c r="I30" s="210">
        <f t="shared" si="5"/>
        <v>338</v>
      </c>
      <c r="K30" s="174"/>
      <c r="L30" s="5"/>
      <c r="M30" s="212">
        <v>22.0</v>
      </c>
      <c r="N30" s="213">
        <v>44256.0</v>
      </c>
      <c r="O30" s="212">
        <f>401025+1150000+1000000+2000000+2000000+4000000</f>
        <v>10551025</v>
      </c>
      <c r="P30" s="212">
        <f>541835+5401+4913+10835+11267+26282</f>
        <v>600533</v>
      </c>
      <c r="Q30" s="212">
        <f t="shared" si="7"/>
        <v>11151558</v>
      </c>
      <c r="R30" s="214">
        <f t="shared" si="8"/>
        <v>204037489.1</v>
      </c>
      <c r="S30" s="212">
        <v>338.0</v>
      </c>
      <c r="T30" s="215" t="s">
        <v>1027</v>
      </c>
    </row>
    <row r="31" ht="12.0" customHeight="1">
      <c r="C31" s="210">
        <v>23.0</v>
      </c>
      <c r="D31" s="211">
        <v>44287.0</v>
      </c>
      <c r="E31" s="210">
        <f t="shared" si="2"/>
        <v>469204.1995</v>
      </c>
      <c r="F31" s="210">
        <f t="shared" si="3"/>
        <v>631177.4986</v>
      </c>
      <c r="G31" s="210">
        <f t="shared" si="4"/>
        <v>1100381.698</v>
      </c>
      <c r="H31" s="170">
        <f t="shared" si="6"/>
        <v>249502082.4</v>
      </c>
      <c r="I31" s="210">
        <f t="shared" si="5"/>
        <v>337</v>
      </c>
      <c r="K31" s="174"/>
      <c r="L31" s="5"/>
      <c r="M31" s="212">
        <v>23.0</v>
      </c>
      <c r="N31" s="213">
        <v>44287.0</v>
      </c>
      <c r="O31" s="212">
        <f>382985+2000000+2000000+2000000+1154504+500000</f>
        <v>8037489</v>
      </c>
      <c r="P31" s="212">
        <f>515194+9147+10732+12173+7109+3078</f>
        <v>557433</v>
      </c>
      <c r="Q31" s="212">
        <f t="shared" si="7"/>
        <v>8594922</v>
      </c>
      <c r="R31" s="214">
        <f t="shared" si="8"/>
        <v>196000000.1</v>
      </c>
      <c r="S31" s="212">
        <v>337.0</v>
      </c>
      <c r="T31" s="215" t="s">
        <v>1028</v>
      </c>
    </row>
    <row r="32" ht="12.0" customHeight="1">
      <c r="C32" s="210">
        <v>24.0</v>
      </c>
      <c r="D32" s="211">
        <v>44317.0</v>
      </c>
      <c r="E32" s="210">
        <f t="shared" si="2"/>
        <v>470388.9401</v>
      </c>
      <c r="F32" s="210">
        <f t="shared" si="3"/>
        <v>629992.758</v>
      </c>
      <c r="G32" s="210">
        <f t="shared" si="4"/>
        <v>1100381.698</v>
      </c>
      <c r="H32" s="170">
        <f t="shared" si="6"/>
        <v>249031693.4</v>
      </c>
      <c r="I32" s="210">
        <f t="shared" si="5"/>
        <v>336</v>
      </c>
      <c r="K32" s="174"/>
      <c r="L32" s="5"/>
      <c r="M32" s="212">
        <v>24.0</v>
      </c>
      <c r="N32" s="213">
        <v>44317.0</v>
      </c>
      <c r="O32" s="212">
        <f>369520+1100000</f>
        <v>1469520</v>
      </c>
      <c r="P32" s="212">
        <f>494899.999999978+5700</f>
        <v>500600</v>
      </c>
      <c r="Q32" s="212">
        <f t="shared" si="7"/>
        <v>1970120</v>
      </c>
      <c r="R32" s="214">
        <f t="shared" si="8"/>
        <v>194530480.1</v>
      </c>
      <c r="S32" s="212">
        <v>336.0</v>
      </c>
      <c r="T32" s="215" t="s">
        <v>1029</v>
      </c>
    </row>
    <row r="33" ht="12.0" customHeight="1">
      <c r="C33" s="210">
        <v>25.0</v>
      </c>
      <c r="D33" s="211">
        <v>44348.0</v>
      </c>
      <c r="E33" s="210">
        <f t="shared" si="2"/>
        <v>471576.6722</v>
      </c>
      <c r="F33" s="210">
        <f t="shared" si="3"/>
        <v>628805.0259</v>
      </c>
      <c r="G33" s="210">
        <f t="shared" si="4"/>
        <v>1100381.698</v>
      </c>
      <c r="H33" s="170">
        <f t="shared" si="6"/>
        <v>248560116.7</v>
      </c>
      <c r="I33" s="210">
        <f t="shared" si="5"/>
        <v>335</v>
      </c>
      <c r="K33" s="174"/>
      <c r="L33" s="5"/>
      <c r="M33" s="212">
        <v>25.0</v>
      </c>
      <c r="N33" s="213">
        <v>44348.0</v>
      </c>
      <c r="O33" s="212">
        <f>1700000+3000000+368371</f>
        <v>5068371</v>
      </c>
      <c r="P33" s="212">
        <f>491189+1128+6123+2988+10675</f>
        <v>512103</v>
      </c>
      <c r="Q33" s="212">
        <f t="shared" si="7"/>
        <v>5580474</v>
      </c>
      <c r="R33" s="214">
        <f t="shared" si="8"/>
        <v>189462109.1</v>
      </c>
      <c r="S33" s="212">
        <v>335.0</v>
      </c>
      <c r="T33" s="215" t="s">
        <v>1030</v>
      </c>
    </row>
    <row r="34" ht="12.0" customHeight="1">
      <c r="C34" s="210">
        <v>26.0</v>
      </c>
      <c r="D34" s="211">
        <v>44378.0</v>
      </c>
      <c r="E34" s="210">
        <f t="shared" si="2"/>
        <v>472767.4033</v>
      </c>
      <c r="F34" s="210">
        <f t="shared" si="3"/>
        <v>627614.2948</v>
      </c>
      <c r="G34" s="210">
        <f t="shared" si="4"/>
        <v>1100381.698</v>
      </c>
      <c r="H34" s="170">
        <f t="shared" si="6"/>
        <v>248087349.3</v>
      </c>
      <c r="I34" s="210">
        <f t="shared" si="5"/>
        <v>334</v>
      </c>
      <c r="K34" s="174"/>
      <c r="L34" s="5"/>
      <c r="M34" s="212">
        <v>26.0</v>
      </c>
      <c r="N34" s="213">
        <v>44378.0</v>
      </c>
      <c r="O34" s="212">
        <f>1250000+357984+1600000</f>
        <v>3207984</v>
      </c>
      <c r="P34" s="212">
        <f>2697+4256+475235+4940+3320</f>
        <v>490448</v>
      </c>
      <c r="Q34" s="212">
        <f t="shared" si="7"/>
        <v>3698432</v>
      </c>
      <c r="R34" s="214">
        <f t="shared" si="8"/>
        <v>186254125.1</v>
      </c>
      <c r="S34" s="212">
        <v>334.0</v>
      </c>
      <c r="T34" s="215" t="s">
        <v>1031</v>
      </c>
    </row>
    <row r="35" ht="12.0" customHeight="1">
      <c r="C35" s="210">
        <v>27.0</v>
      </c>
      <c r="D35" s="211">
        <v>44409.0</v>
      </c>
      <c r="E35" s="210">
        <f t="shared" si="2"/>
        <v>473961.141</v>
      </c>
      <c r="F35" s="210">
        <f t="shared" si="3"/>
        <v>626420.5571</v>
      </c>
      <c r="G35" s="210">
        <f t="shared" si="4"/>
        <v>1100381.698</v>
      </c>
      <c r="H35" s="170">
        <f t="shared" si="6"/>
        <v>247613388.2</v>
      </c>
      <c r="I35" s="210">
        <f t="shared" si="5"/>
        <v>333</v>
      </c>
      <c r="K35" s="174"/>
      <c r="L35" s="5"/>
      <c r="M35" s="212">
        <v>27.0</v>
      </c>
      <c r="N35" s="213">
        <v>44409.0</v>
      </c>
      <c r="O35" s="212">
        <f>550000+355831+1500000</f>
        <v>2405831</v>
      </c>
      <c r="P35" s="212">
        <f>45+1656+470291+2241+4237</f>
        <v>478470</v>
      </c>
      <c r="Q35" s="212">
        <f t="shared" si="7"/>
        <v>2884301</v>
      </c>
      <c r="R35" s="214">
        <f t="shared" si="8"/>
        <v>183848294.1</v>
      </c>
      <c r="S35" s="212">
        <v>333.0</v>
      </c>
      <c r="T35" s="215" t="s">
        <v>1032</v>
      </c>
    </row>
    <row r="36" ht="12.0" customHeight="1">
      <c r="C36" s="210">
        <v>28.0</v>
      </c>
      <c r="D36" s="211">
        <v>44440.0</v>
      </c>
      <c r="E36" s="210">
        <f t="shared" si="2"/>
        <v>475157.8929</v>
      </c>
      <c r="F36" s="210">
        <f t="shared" si="3"/>
        <v>625223.8052</v>
      </c>
      <c r="G36" s="210">
        <f t="shared" si="4"/>
        <v>1100381.698</v>
      </c>
      <c r="H36" s="170">
        <f t="shared" si="6"/>
        <v>247138230.3</v>
      </c>
      <c r="I36" s="210">
        <f t="shared" si="5"/>
        <v>332</v>
      </c>
      <c r="K36" s="174"/>
      <c r="L36" s="5"/>
      <c r="M36" s="212">
        <v>28.0</v>
      </c>
      <c r="N36" s="213">
        <v>44440.0</v>
      </c>
      <c r="O36" s="212">
        <f>352796+2200000</f>
        <v>2552796</v>
      </c>
      <c r="P36" s="212">
        <f>464216+7962</f>
        <v>472178</v>
      </c>
      <c r="Q36" s="212">
        <f t="shared" si="7"/>
        <v>3024974</v>
      </c>
      <c r="R36" s="214">
        <f t="shared" si="8"/>
        <v>181295498.1</v>
      </c>
      <c r="S36" s="212">
        <v>332.0</v>
      </c>
      <c r="T36" s="215" t="s">
        <v>1033</v>
      </c>
    </row>
    <row r="37" ht="12.0" customHeight="1">
      <c r="C37" s="210">
        <v>29.0</v>
      </c>
      <c r="D37" s="211">
        <v>44470.0</v>
      </c>
      <c r="E37" s="210">
        <f t="shared" si="2"/>
        <v>476357.6666</v>
      </c>
      <c r="F37" s="210">
        <f t="shared" si="3"/>
        <v>624024.0315</v>
      </c>
      <c r="G37" s="210">
        <f t="shared" si="4"/>
        <v>1100381.698</v>
      </c>
      <c r="H37" s="170">
        <f t="shared" si="6"/>
        <v>246661872.6</v>
      </c>
      <c r="I37" s="210">
        <f t="shared" si="5"/>
        <v>331</v>
      </c>
      <c r="K37" s="174"/>
      <c r="L37" s="5"/>
      <c r="M37" s="212">
        <v>29.0</v>
      </c>
      <c r="N37" s="213">
        <v>44470.0</v>
      </c>
      <c r="O37" s="212">
        <f>1700000+346170+2500000</f>
        <v>4546170</v>
      </c>
      <c r="P37" s="212">
        <f>3951+4039+453478+10208</f>
        <v>471676</v>
      </c>
      <c r="Q37" s="212">
        <f t="shared" si="7"/>
        <v>5017846</v>
      </c>
      <c r="R37" s="214">
        <f t="shared" si="8"/>
        <v>176749328.1</v>
      </c>
      <c r="S37" s="212">
        <v>331.0</v>
      </c>
      <c r="T37" s="215" t="s">
        <v>1034</v>
      </c>
    </row>
    <row r="38" ht="12.0" customHeight="1">
      <c r="C38" s="210">
        <v>30.0</v>
      </c>
      <c r="D38" s="211">
        <v>44501.0</v>
      </c>
      <c r="E38" s="210">
        <f t="shared" si="2"/>
        <v>477560.4697</v>
      </c>
      <c r="F38" s="210">
        <f t="shared" si="3"/>
        <v>622821.2284</v>
      </c>
      <c r="G38" s="210">
        <f t="shared" si="4"/>
        <v>1100381.698</v>
      </c>
      <c r="H38" s="170">
        <f t="shared" si="6"/>
        <v>246184312.2</v>
      </c>
      <c r="I38" s="210">
        <f t="shared" si="5"/>
        <v>330</v>
      </c>
      <c r="K38" s="174"/>
      <c r="L38" s="5"/>
      <c r="M38" s="212">
        <v>30.0</v>
      </c>
      <c r="N38" s="213">
        <v>44501.0</v>
      </c>
      <c r="O38" s="212">
        <f>342203+1000000+2000000</f>
        <v>3342203</v>
      </c>
      <c r="P38" s="212">
        <f>446292+2735+5902</f>
        <v>454929</v>
      </c>
      <c r="Q38" s="212">
        <f t="shared" si="7"/>
        <v>3797132</v>
      </c>
      <c r="R38" s="214">
        <f t="shared" si="8"/>
        <v>173407125.1</v>
      </c>
      <c r="S38" s="212">
        <v>330.0</v>
      </c>
      <c r="T38" s="215" t="s">
        <v>1035</v>
      </c>
    </row>
    <row r="39" ht="12.0" customHeight="1">
      <c r="C39" s="210">
        <v>31.0</v>
      </c>
      <c r="D39" s="211">
        <v>44531.0</v>
      </c>
      <c r="E39" s="210">
        <f t="shared" si="2"/>
        <v>478766.3099</v>
      </c>
      <c r="F39" s="210">
        <f t="shared" si="3"/>
        <v>621615.3882</v>
      </c>
      <c r="G39" s="210">
        <f t="shared" si="4"/>
        <v>1100381.698</v>
      </c>
      <c r="H39" s="170">
        <f t="shared" si="6"/>
        <v>245705545.9</v>
      </c>
      <c r="I39" s="210">
        <f t="shared" si="5"/>
        <v>329</v>
      </c>
      <c r="K39" s="174"/>
      <c r="L39" s="5"/>
      <c r="M39" s="212">
        <v>31.0</v>
      </c>
      <c r="N39" s="213">
        <v>44531.0</v>
      </c>
      <c r="O39" s="212">
        <f>2000000+333344+2000000+350000+1000000+2500000</f>
        <v>8183344</v>
      </c>
      <c r="P39" s="212">
        <f>7775+432802+3516+615+21118+6376</f>
        <v>472202</v>
      </c>
      <c r="Q39" s="212">
        <f t="shared" si="7"/>
        <v>8655546</v>
      </c>
      <c r="R39" s="214">
        <f t="shared" si="8"/>
        <v>165223781.1</v>
      </c>
      <c r="S39" s="212">
        <v>329.0</v>
      </c>
      <c r="T39" s="215" t="s">
        <v>1036</v>
      </c>
    </row>
    <row r="40" ht="12.0" customHeight="1">
      <c r="C40" s="210">
        <v>32.0</v>
      </c>
      <c r="D40" s="211">
        <v>44562.0</v>
      </c>
      <c r="E40" s="210">
        <f t="shared" si="2"/>
        <v>479975.1948</v>
      </c>
      <c r="F40" s="210">
        <f t="shared" si="3"/>
        <v>620406.5033</v>
      </c>
      <c r="G40" s="210">
        <f t="shared" si="4"/>
        <v>1100381.698</v>
      </c>
      <c r="H40" s="170">
        <f t="shared" si="6"/>
        <v>245225570.7</v>
      </c>
      <c r="I40" s="210">
        <f t="shared" si="5"/>
        <v>328</v>
      </c>
      <c r="K40" s="174"/>
      <c r="L40" s="5"/>
      <c r="M40" s="218">
        <v>32.0</v>
      </c>
      <c r="N40" s="219">
        <v>44562.0</v>
      </c>
      <c r="O40" s="218">
        <f>2000000+318850+3700000+1800000</f>
        <v>7818850</v>
      </c>
      <c r="P40" s="218">
        <f>7263+412140+8181+5406</f>
        <v>432990</v>
      </c>
      <c r="Q40" s="218">
        <f t="shared" si="7"/>
        <v>8251840</v>
      </c>
      <c r="R40" s="220">
        <f t="shared" si="8"/>
        <v>157404931.1</v>
      </c>
      <c r="S40" s="218">
        <v>328.0</v>
      </c>
      <c r="T40" s="221" t="s">
        <v>1037</v>
      </c>
    </row>
    <row r="41" ht="12.0" customHeight="1">
      <c r="C41" s="210">
        <v>33.0</v>
      </c>
      <c r="D41" s="211">
        <v>44593.0</v>
      </c>
      <c r="E41" s="210">
        <f t="shared" si="2"/>
        <v>481187.1322</v>
      </c>
      <c r="F41" s="210">
        <f t="shared" si="3"/>
        <v>619194.5659</v>
      </c>
      <c r="G41" s="210">
        <f t="shared" si="4"/>
        <v>1100381.698</v>
      </c>
      <c r="H41" s="170">
        <f t="shared" si="6"/>
        <v>244744383.5</v>
      </c>
      <c r="I41" s="210">
        <f t="shared" si="5"/>
        <v>327</v>
      </c>
      <c r="K41" s="174"/>
      <c r="L41" s="5"/>
      <c r="M41" s="218">
        <v>33.0</v>
      </c>
      <c r="N41" s="219">
        <v>44593.0</v>
      </c>
      <c r="O41" s="218">
        <f>308863+1100000+2200000</f>
        <v>3608863</v>
      </c>
      <c r="P41" s="218">
        <f>397447+2534+5862</f>
        <v>405843</v>
      </c>
      <c r="Q41" s="218">
        <f t="shared" si="7"/>
        <v>4014706</v>
      </c>
      <c r="R41" s="220">
        <f t="shared" si="8"/>
        <v>153796068.1</v>
      </c>
      <c r="S41" s="218">
        <v>327.0</v>
      </c>
      <c r="T41" s="221" t="s">
        <v>1038</v>
      </c>
    </row>
    <row r="42" ht="12.0" customHeight="1">
      <c r="C42" s="210">
        <v>34.0</v>
      </c>
      <c r="D42" s="211">
        <v>44621.0</v>
      </c>
      <c r="E42" s="210">
        <f t="shared" si="2"/>
        <v>482402.1297</v>
      </c>
      <c r="F42" s="210">
        <f t="shared" si="3"/>
        <v>617979.5684</v>
      </c>
      <c r="G42" s="210">
        <f t="shared" si="4"/>
        <v>1100381.698</v>
      </c>
      <c r="H42" s="170">
        <f t="shared" si="6"/>
        <v>244261981.4</v>
      </c>
      <c r="I42" s="210">
        <f t="shared" si="5"/>
        <v>326</v>
      </c>
      <c r="K42" s="174"/>
      <c r="L42" s="5"/>
      <c r="M42" s="218">
        <v>34.0</v>
      </c>
      <c r="N42" s="219">
        <v>44621.0</v>
      </c>
      <c r="O42" s="218">
        <f>303139+1100000+6200000</f>
        <v>7603139</v>
      </c>
      <c r="P42" s="218">
        <f>388335+2282+13381</f>
        <v>403998</v>
      </c>
      <c r="Q42" s="218">
        <f t="shared" si="7"/>
        <v>8007137</v>
      </c>
      <c r="R42" s="220">
        <f t="shared" si="8"/>
        <v>146192929.1</v>
      </c>
      <c r="S42" s="218">
        <v>326.0</v>
      </c>
      <c r="T42" s="221" t="s">
        <v>1039</v>
      </c>
    </row>
    <row r="43" ht="12.0" customHeight="1">
      <c r="C43" s="210">
        <v>35.0</v>
      </c>
      <c r="D43" s="211">
        <v>44652.0</v>
      </c>
      <c r="E43" s="210">
        <f t="shared" si="2"/>
        <v>483620.195</v>
      </c>
      <c r="F43" s="210">
        <f t="shared" si="3"/>
        <v>616761.5031</v>
      </c>
      <c r="G43" s="210">
        <f t="shared" si="4"/>
        <v>1100381.698</v>
      </c>
      <c r="H43" s="170">
        <f t="shared" si="6"/>
        <v>243778361.2</v>
      </c>
      <c r="I43" s="210">
        <f t="shared" si="5"/>
        <v>325</v>
      </c>
      <c r="K43" s="174"/>
      <c r="L43" s="5"/>
      <c r="M43" s="218">
        <v>35.0</v>
      </c>
      <c r="N43" s="219">
        <v>44652.0</v>
      </c>
      <c r="O43" s="218">
        <f>289451+200000+1000000+1500000</f>
        <v>2989451</v>
      </c>
      <c r="P43" s="218">
        <f>369137+72+1081+1622</f>
        <v>371912</v>
      </c>
      <c r="Q43" s="218">
        <f t="shared" si="7"/>
        <v>3361363</v>
      </c>
      <c r="R43" s="220">
        <f t="shared" si="8"/>
        <v>143203478.1</v>
      </c>
      <c r="S43" s="218">
        <v>325.0</v>
      </c>
      <c r="T43" s="221" t="s">
        <v>1040</v>
      </c>
    </row>
    <row r="44" ht="12.0" customHeight="1">
      <c r="C44" s="210">
        <v>36.0</v>
      </c>
      <c r="D44" s="211">
        <v>44682.0</v>
      </c>
      <c r="E44" s="210">
        <f t="shared" si="2"/>
        <v>484841.336</v>
      </c>
      <c r="F44" s="210">
        <f t="shared" si="3"/>
        <v>615540.3621</v>
      </c>
      <c r="G44" s="210">
        <f t="shared" si="4"/>
        <v>1100381.698</v>
      </c>
      <c r="H44" s="170">
        <f t="shared" si="6"/>
        <v>243293519.9</v>
      </c>
      <c r="I44" s="210">
        <f t="shared" si="5"/>
        <v>324</v>
      </c>
      <c r="K44" s="174"/>
      <c r="L44" s="5"/>
      <c r="M44" s="218">
        <v>36.0</v>
      </c>
      <c r="N44" s="219">
        <v>44682.0</v>
      </c>
      <c r="O44" s="218">
        <f>2350000+280138+1000000+1200000+1000000</f>
        <v>5830138</v>
      </c>
      <c r="P44" s="218">
        <f>5072+180+355655+83+298+1328</f>
        <v>362616</v>
      </c>
      <c r="Q44" s="218">
        <f t="shared" si="7"/>
        <v>6192754</v>
      </c>
      <c r="R44" s="220">
        <f t="shared" si="8"/>
        <v>137373340.1</v>
      </c>
      <c r="S44" s="218">
        <v>324.0</v>
      </c>
      <c r="T44" s="221" t="s">
        <v>1041</v>
      </c>
      <c r="V44" s="4"/>
    </row>
    <row r="45" ht="12.0" customHeight="1">
      <c r="C45" s="210">
        <v>37.0</v>
      </c>
      <c r="D45" s="211">
        <v>44713.0</v>
      </c>
      <c r="E45" s="210">
        <f t="shared" si="2"/>
        <v>486065.5604</v>
      </c>
      <c r="F45" s="210">
        <f t="shared" si="3"/>
        <v>614316.1377</v>
      </c>
      <c r="G45" s="210">
        <f t="shared" si="4"/>
        <v>1100381.698</v>
      </c>
      <c r="H45" s="170">
        <f t="shared" si="6"/>
        <v>242807454.3</v>
      </c>
      <c r="I45" s="210">
        <f t="shared" si="5"/>
        <v>323</v>
      </c>
      <c r="K45" s="174"/>
      <c r="L45" s="5"/>
      <c r="M45" s="218">
        <v>37.0</v>
      </c>
      <c r="N45" s="219">
        <v>44713.0</v>
      </c>
      <c r="O45" s="218">
        <f>2800000+900000+268858+3000000</f>
        <v>6968858</v>
      </c>
      <c r="P45" s="218">
        <f>6740+448+339797+3735</f>
        <v>350720</v>
      </c>
      <c r="Q45" s="218">
        <f t="shared" si="7"/>
        <v>7319578</v>
      </c>
      <c r="R45" s="220">
        <f t="shared" si="8"/>
        <v>130404482.1</v>
      </c>
      <c r="S45" s="218">
        <v>323.0</v>
      </c>
      <c r="T45" s="221" t="s">
        <v>1042</v>
      </c>
    </row>
    <row r="46" ht="12.0" customHeight="1">
      <c r="C46" s="210">
        <v>38.0</v>
      </c>
      <c r="D46" s="211">
        <v>44743.0</v>
      </c>
      <c r="E46" s="210">
        <f t="shared" si="2"/>
        <v>487292.876</v>
      </c>
      <c r="F46" s="210">
        <f t="shared" si="3"/>
        <v>613088.8221</v>
      </c>
      <c r="G46" s="210">
        <f t="shared" si="4"/>
        <v>1100381.698</v>
      </c>
      <c r="H46" s="170">
        <f t="shared" si="6"/>
        <v>242320161.4</v>
      </c>
      <c r="I46" s="210">
        <f t="shared" si="5"/>
        <v>322</v>
      </c>
      <c r="K46" s="174"/>
      <c r="L46" s="5"/>
      <c r="M46" s="218">
        <v>38.0</v>
      </c>
      <c r="N46" s="219">
        <v>44743.0</v>
      </c>
      <c r="O46" s="218">
        <f>2400000+256893+1007589+740000+1000000</f>
        <v>5404482</v>
      </c>
      <c r="P46" s="218">
        <f>5379+323211+1421</f>
        <v>330011</v>
      </c>
      <c r="Q46" s="218">
        <f t="shared" si="7"/>
        <v>5734493</v>
      </c>
      <c r="R46" s="220">
        <f t="shared" si="8"/>
        <v>125000000.1</v>
      </c>
      <c r="S46" s="218">
        <v>322.0</v>
      </c>
      <c r="T46" s="221" t="s">
        <v>1043</v>
      </c>
    </row>
    <row r="47" ht="12.0" customHeight="1">
      <c r="C47" s="210">
        <v>39.0</v>
      </c>
      <c r="D47" s="211">
        <v>44774.0</v>
      </c>
      <c r="E47" s="210">
        <f t="shared" si="2"/>
        <v>488523.2905</v>
      </c>
      <c r="F47" s="210">
        <f t="shared" si="3"/>
        <v>611858.4076</v>
      </c>
      <c r="G47" s="210">
        <f t="shared" si="4"/>
        <v>1100381.698</v>
      </c>
      <c r="H47" s="170">
        <f t="shared" si="6"/>
        <v>241831638.1</v>
      </c>
      <c r="I47" s="210">
        <f t="shared" si="5"/>
        <v>321</v>
      </c>
      <c r="K47" s="174"/>
      <c r="L47" s="5"/>
      <c r="M47" s="218">
        <v>39.0</v>
      </c>
      <c r="N47" s="219">
        <v>44774.0</v>
      </c>
      <c r="O47" s="218">
        <f>1000000+249986+1750014</f>
        <v>3000000</v>
      </c>
      <c r="P47" s="218">
        <f>2324+313100+2469</f>
        <v>317893</v>
      </c>
      <c r="Q47" s="218">
        <f t="shared" si="7"/>
        <v>3317893</v>
      </c>
      <c r="R47" s="220">
        <f t="shared" si="8"/>
        <v>122000000.1</v>
      </c>
      <c r="S47" s="218">
        <v>321.0</v>
      </c>
      <c r="T47" s="221" t="s">
        <v>1044</v>
      </c>
    </row>
    <row r="48" ht="12.0" customHeight="1">
      <c r="C48" s="210">
        <v>40.0</v>
      </c>
      <c r="D48" s="211">
        <v>44805.0</v>
      </c>
      <c r="E48" s="210">
        <f t="shared" si="2"/>
        <v>489756.8118</v>
      </c>
      <c r="F48" s="210">
        <f t="shared" si="3"/>
        <v>610624.8863</v>
      </c>
      <c r="G48" s="210">
        <f t="shared" si="4"/>
        <v>1100381.698</v>
      </c>
      <c r="H48" s="170">
        <f t="shared" si="6"/>
        <v>241341881.3</v>
      </c>
      <c r="I48" s="210">
        <f t="shared" si="5"/>
        <v>320</v>
      </c>
      <c r="K48" s="174"/>
      <c r="L48" s="5"/>
      <c r="M48" s="218">
        <v>40.0</v>
      </c>
      <c r="N48" s="219">
        <v>44805.0</v>
      </c>
      <c r="O48" s="218">
        <f>247074+452926</f>
        <v>700000</v>
      </c>
      <c r="P48" s="218">
        <v>308050.0</v>
      </c>
      <c r="Q48" s="218">
        <f t="shared" si="7"/>
        <v>1008050</v>
      </c>
      <c r="R48" s="220">
        <f t="shared" si="8"/>
        <v>121300000.1</v>
      </c>
      <c r="S48" s="218">
        <v>320.0</v>
      </c>
      <c r="T48" s="221" t="s">
        <v>1045</v>
      </c>
    </row>
    <row r="49" ht="12.0" customHeight="1">
      <c r="C49" s="210">
        <v>41.0</v>
      </c>
      <c r="D49" s="211">
        <v>44835.0</v>
      </c>
      <c r="E49" s="210">
        <f t="shared" si="2"/>
        <v>490993.4477</v>
      </c>
      <c r="F49" s="210">
        <f t="shared" si="3"/>
        <v>609388.2504</v>
      </c>
      <c r="G49" s="210">
        <f t="shared" si="4"/>
        <v>1100381.698</v>
      </c>
      <c r="H49" s="170">
        <f t="shared" si="6"/>
        <v>240850887.9</v>
      </c>
      <c r="I49" s="210">
        <f t="shared" si="5"/>
        <v>319</v>
      </c>
      <c r="K49" s="174"/>
      <c r="L49" s="5"/>
      <c r="M49" s="218">
        <v>41.0</v>
      </c>
      <c r="N49" s="219">
        <v>44835.0</v>
      </c>
      <c r="O49" s="218">
        <f>246777+1480000</f>
        <v>1726777</v>
      </c>
      <c r="P49" s="218">
        <f>306282+491</f>
        <v>306773</v>
      </c>
      <c r="Q49" s="218">
        <f t="shared" si="7"/>
        <v>2033550</v>
      </c>
      <c r="R49" s="220">
        <f t="shared" si="8"/>
        <v>119573223.1</v>
      </c>
      <c r="S49" s="218">
        <v>319.0</v>
      </c>
      <c r="T49" s="221" t="s">
        <v>1046</v>
      </c>
    </row>
    <row r="50" ht="12.0" customHeight="1">
      <c r="C50" s="210">
        <v>42.0</v>
      </c>
      <c r="D50" s="211">
        <v>44866.0</v>
      </c>
      <c r="E50" s="210">
        <f t="shared" si="2"/>
        <v>492233.2062</v>
      </c>
      <c r="F50" s="210">
        <f t="shared" si="3"/>
        <v>608148.4919</v>
      </c>
      <c r="G50" s="210">
        <f t="shared" si="4"/>
        <v>1100381.698</v>
      </c>
      <c r="H50" s="170">
        <f t="shared" si="6"/>
        <v>240358654.7</v>
      </c>
      <c r="I50" s="210">
        <f t="shared" si="5"/>
        <v>318</v>
      </c>
      <c r="K50" s="174"/>
      <c r="L50" s="5"/>
      <c r="M50" s="218">
        <v>42.0</v>
      </c>
      <c r="N50" s="219">
        <v>44866.0</v>
      </c>
      <c r="O50" s="218">
        <v>244374.89726746792</v>
      </c>
      <c r="P50" s="218">
        <v>301922.3883540116</v>
      </c>
      <c r="Q50" s="218">
        <v>546297.2856214795</v>
      </c>
      <c r="R50" s="220">
        <v>1.1932884821323785E8</v>
      </c>
      <c r="S50" s="218">
        <v>318.0</v>
      </c>
      <c r="T50" s="221"/>
    </row>
    <row r="51" ht="12.0" customHeight="1">
      <c r="C51" s="210">
        <v>43.0</v>
      </c>
      <c r="D51" s="211">
        <v>44896.0</v>
      </c>
      <c r="E51" s="210">
        <f t="shared" si="2"/>
        <v>493476.095</v>
      </c>
      <c r="F51" s="210">
        <f t="shared" si="3"/>
        <v>606905.6031</v>
      </c>
      <c r="G51" s="210">
        <f t="shared" si="4"/>
        <v>1100381.698</v>
      </c>
      <c r="H51" s="170">
        <f t="shared" si="6"/>
        <v>239865178.6</v>
      </c>
      <c r="I51" s="210">
        <f t="shared" si="5"/>
        <v>317</v>
      </c>
      <c r="K51" s="174"/>
      <c r="L51" s="5"/>
      <c r="M51" s="218">
        <v>43.0</v>
      </c>
      <c r="N51" s="219">
        <v>44896.0</v>
      </c>
      <c r="O51" s="218">
        <v>244991.9438830683</v>
      </c>
      <c r="P51" s="218">
        <v>301305.3417384112</v>
      </c>
      <c r="Q51" s="218">
        <v>546297.2856214795</v>
      </c>
      <c r="R51" s="220">
        <v>1.1908385626935479E8</v>
      </c>
      <c r="S51" s="218">
        <v>317.0</v>
      </c>
      <c r="T51" s="221"/>
    </row>
    <row r="52" ht="12.0" customHeight="1">
      <c r="C52" s="210">
        <v>44.0</v>
      </c>
      <c r="D52" s="211">
        <v>44927.0</v>
      </c>
      <c r="E52" s="210">
        <f t="shared" si="2"/>
        <v>494722.1222</v>
      </c>
      <c r="F52" s="210">
        <f t="shared" si="3"/>
        <v>605659.5759</v>
      </c>
      <c r="G52" s="210">
        <f t="shared" si="4"/>
        <v>1100381.698</v>
      </c>
      <c r="H52" s="170">
        <f t="shared" si="6"/>
        <v>239370456.5</v>
      </c>
      <c r="I52" s="210">
        <f t="shared" si="5"/>
        <v>316</v>
      </c>
      <c r="K52" s="174"/>
      <c r="L52" s="5"/>
      <c r="M52" s="222">
        <v>44.0</v>
      </c>
      <c r="N52" s="223">
        <v>44927.0</v>
      </c>
      <c r="O52" s="222">
        <v>245610.54854137302</v>
      </c>
      <c r="P52" s="222">
        <v>300686.7370801065</v>
      </c>
      <c r="Q52" s="222">
        <v>546297.2856214795</v>
      </c>
      <c r="R52" s="224">
        <v>1.1883824572081342E8</v>
      </c>
      <c r="S52" s="222">
        <v>316.0</v>
      </c>
      <c r="T52" s="225"/>
    </row>
    <row r="53" ht="12.0" customHeight="1">
      <c r="C53" s="210">
        <v>45.0</v>
      </c>
      <c r="D53" s="211">
        <v>44958.0</v>
      </c>
      <c r="E53" s="210">
        <f t="shared" si="2"/>
        <v>495971.2955</v>
      </c>
      <c r="F53" s="210">
        <f t="shared" si="3"/>
        <v>604410.4026</v>
      </c>
      <c r="G53" s="210">
        <f t="shared" si="4"/>
        <v>1100381.698</v>
      </c>
      <c r="H53" s="170">
        <f t="shared" si="6"/>
        <v>238874485.2</v>
      </c>
      <c r="I53" s="210">
        <f t="shared" si="5"/>
        <v>315</v>
      </c>
      <c r="K53" s="174"/>
      <c r="L53" s="5"/>
      <c r="M53" s="222">
        <v>45.0</v>
      </c>
      <c r="N53" s="223">
        <v>44958.0</v>
      </c>
      <c r="O53" s="222">
        <v>246230.71517644</v>
      </c>
      <c r="P53" s="222">
        <v>300066.57044503954</v>
      </c>
      <c r="Q53" s="222">
        <v>546297.2856214795</v>
      </c>
      <c r="R53" s="224">
        <v>1.1859201500563699E8</v>
      </c>
      <c r="S53" s="222">
        <v>315.0</v>
      </c>
      <c r="T53" s="225"/>
    </row>
    <row r="54" ht="12.0" customHeight="1">
      <c r="C54" s="210">
        <v>46.0</v>
      </c>
      <c r="D54" s="211">
        <v>44986.0</v>
      </c>
      <c r="E54" s="210">
        <f t="shared" si="2"/>
        <v>497223.623</v>
      </c>
      <c r="F54" s="210">
        <f t="shared" si="3"/>
        <v>603158.0751</v>
      </c>
      <c r="G54" s="210">
        <f t="shared" si="4"/>
        <v>1100381.698</v>
      </c>
      <c r="H54" s="170">
        <f t="shared" si="6"/>
        <v>238377261.5</v>
      </c>
      <c r="I54" s="210">
        <f t="shared" si="5"/>
        <v>314</v>
      </c>
      <c r="K54" s="174"/>
      <c r="L54" s="5"/>
      <c r="M54" s="222">
        <v>46.0</v>
      </c>
      <c r="N54" s="223">
        <v>44986.0</v>
      </c>
      <c r="O54" s="222">
        <v>246852.4477322605</v>
      </c>
      <c r="P54" s="222">
        <v>299444.837889219</v>
      </c>
      <c r="Q54" s="222">
        <v>546297.2856214795</v>
      </c>
      <c r="R54" s="224">
        <v>1.1834516255790474E8</v>
      </c>
      <c r="S54" s="222">
        <v>314.0</v>
      </c>
      <c r="T54" s="225"/>
    </row>
    <row r="55" ht="12.0" customHeight="1">
      <c r="C55" s="210">
        <v>47.0</v>
      </c>
      <c r="D55" s="211">
        <v>45017.0</v>
      </c>
      <c r="E55" s="210">
        <f t="shared" si="2"/>
        <v>498479.1127</v>
      </c>
      <c r="F55" s="210">
        <f t="shared" si="3"/>
        <v>601902.5854</v>
      </c>
      <c r="G55" s="210">
        <f t="shared" si="4"/>
        <v>1100381.698</v>
      </c>
      <c r="H55" s="170">
        <f t="shared" si="6"/>
        <v>237878782.4</v>
      </c>
      <c r="I55" s="210">
        <f t="shared" si="5"/>
        <v>313</v>
      </c>
      <c r="K55" s="174"/>
      <c r="L55" s="5"/>
      <c r="M55" s="222">
        <v>47.0</v>
      </c>
      <c r="N55" s="223">
        <v>45017.0</v>
      </c>
      <c r="O55" s="222">
        <v>247475.75016278445</v>
      </c>
      <c r="P55" s="222">
        <v>298821.535458695</v>
      </c>
      <c r="Q55" s="222">
        <v>546297.2856214795</v>
      </c>
      <c r="R55" s="224">
        <v>1.1809768680774195E8</v>
      </c>
      <c r="S55" s="222">
        <v>313.0</v>
      </c>
      <c r="T55" s="225"/>
    </row>
    <row r="56" ht="12.0" customHeight="1">
      <c r="C56" s="210">
        <v>48.0</v>
      </c>
      <c r="D56" s="211">
        <v>45047.0</v>
      </c>
      <c r="E56" s="210">
        <f t="shared" si="2"/>
        <v>499737.7725</v>
      </c>
      <c r="F56" s="210">
        <f t="shared" si="3"/>
        <v>600643.9256</v>
      </c>
      <c r="G56" s="210">
        <f t="shared" si="4"/>
        <v>1100381.698</v>
      </c>
      <c r="H56" s="170">
        <f t="shared" si="6"/>
        <v>237379044.7</v>
      </c>
      <c r="I56" s="210">
        <f t="shared" si="5"/>
        <v>312</v>
      </c>
      <c r="K56" s="174"/>
      <c r="L56" s="5"/>
      <c r="M56" s="222">
        <v>48.0</v>
      </c>
      <c r="N56" s="223">
        <v>45047.0</v>
      </c>
      <c r="O56" s="222">
        <v>248100.6264319455</v>
      </c>
      <c r="P56" s="222">
        <v>298196.659189534</v>
      </c>
      <c r="Q56" s="222">
        <v>546297.2856214795</v>
      </c>
      <c r="R56" s="224">
        <v>1.1784958618131001E8</v>
      </c>
      <c r="S56" s="222">
        <v>312.0</v>
      </c>
      <c r="T56" s="225"/>
    </row>
    <row r="57" ht="12.0" customHeight="1">
      <c r="C57" s="210">
        <v>49.0</v>
      </c>
      <c r="D57" s="211">
        <v>45078.0</v>
      </c>
      <c r="E57" s="210">
        <f t="shared" si="2"/>
        <v>500999.6103</v>
      </c>
      <c r="F57" s="210">
        <f t="shared" si="3"/>
        <v>599382.0878</v>
      </c>
      <c r="G57" s="210">
        <f t="shared" si="4"/>
        <v>1100381.698</v>
      </c>
      <c r="H57" s="170">
        <f t="shared" si="6"/>
        <v>236878045.1</v>
      </c>
      <c r="I57" s="210">
        <f t="shared" si="5"/>
        <v>311</v>
      </c>
      <c r="K57" s="174"/>
      <c r="L57" s="5"/>
      <c r="M57" s="222">
        <v>49.0</v>
      </c>
      <c r="N57" s="223">
        <v>45078.0</v>
      </c>
      <c r="O57" s="222">
        <v>248727.08051368617</v>
      </c>
      <c r="P57" s="222">
        <v>297570.2051077933</v>
      </c>
      <c r="Q57" s="222">
        <v>546297.2856214795</v>
      </c>
      <c r="R57" s="224">
        <v>1.1760085910079633E8</v>
      </c>
      <c r="S57" s="222">
        <v>311.0</v>
      </c>
      <c r="T57" s="225"/>
    </row>
    <row r="58" ht="12.0" customHeight="1">
      <c r="C58" s="210">
        <v>50.0</v>
      </c>
      <c r="D58" s="211">
        <v>45108.0</v>
      </c>
      <c r="E58" s="210">
        <f t="shared" si="2"/>
        <v>502264.6343</v>
      </c>
      <c r="F58" s="210">
        <f t="shared" si="3"/>
        <v>598117.0638</v>
      </c>
      <c r="G58" s="210">
        <f t="shared" si="4"/>
        <v>1100381.698</v>
      </c>
      <c r="H58" s="170">
        <f t="shared" si="6"/>
        <v>236375780.4</v>
      </c>
      <c r="I58" s="210">
        <f t="shared" si="5"/>
        <v>310</v>
      </c>
      <c r="K58" s="174"/>
      <c r="L58" s="5"/>
      <c r="M58" s="222">
        <v>50.0</v>
      </c>
      <c r="N58" s="223">
        <v>45108.0</v>
      </c>
      <c r="O58" s="222">
        <v>249355.11639198323</v>
      </c>
      <c r="P58" s="222">
        <v>296942.16922949627</v>
      </c>
      <c r="Q58" s="222">
        <v>546297.2856214795</v>
      </c>
      <c r="R58" s="224">
        <v>1.1735150398440434E8</v>
      </c>
      <c r="S58" s="222">
        <v>310.0</v>
      </c>
      <c r="T58" s="225"/>
    </row>
    <row r="59" ht="12.0" customHeight="1">
      <c r="C59" s="210">
        <v>51.0</v>
      </c>
      <c r="D59" s="211">
        <v>45139.0</v>
      </c>
      <c r="E59" s="210">
        <f t="shared" si="2"/>
        <v>503532.8525</v>
      </c>
      <c r="F59" s="210">
        <f t="shared" si="3"/>
        <v>596848.8456</v>
      </c>
      <c r="G59" s="210">
        <f t="shared" si="4"/>
        <v>1100381.698</v>
      </c>
      <c r="H59" s="170">
        <f t="shared" si="6"/>
        <v>235872247.6</v>
      </c>
      <c r="I59" s="210">
        <f t="shared" si="5"/>
        <v>309</v>
      </c>
      <c r="K59" s="174"/>
      <c r="L59" s="5"/>
      <c r="M59" s="222">
        <v>51.0</v>
      </c>
      <c r="N59" s="223">
        <v>45139.0</v>
      </c>
      <c r="O59" s="222">
        <v>249984.73806087297</v>
      </c>
      <c r="P59" s="222">
        <v>296312.5475606065</v>
      </c>
      <c r="Q59" s="222">
        <v>546297.2856214795</v>
      </c>
      <c r="R59" s="224">
        <v>1.1710151924634346E8</v>
      </c>
      <c r="S59" s="222">
        <v>309.0</v>
      </c>
      <c r="T59" s="225"/>
    </row>
    <row r="60" ht="12.0" customHeight="1">
      <c r="C60" s="210">
        <v>52.0</v>
      </c>
      <c r="D60" s="211">
        <v>45170.0</v>
      </c>
      <c r="E60" s="210">
        <f t="shared" si="2"/>
        <v>504804.273</v>
      </c>
      <c r="F60" s="210">
        <f t="shared" si="3"/>
        <v>595577.4251</v>
      </c>
      <c r="G60" s="210">
        <f t="shared" si="4"/>
        <v>1100381.698</v>
      </c>
      <c r="H60" s="170">
        <f t="shared" si="6"/>
        <v>235367443.3</v>
      </c>
      <c r="I60" s="210">
        <f t="shared" si="5"/>
        <v>308</v>
      </c>
      <c r="K60" s="174"/>
      <c r="L60" s="5"/>
      <c r="M60" s="222">
        <v>52.0</v>
      </c>
      <c r="N60" s="223">
        <v>45170.0</v>
      </c>
      <c r="O60" s="222">
        <v>250615.94952447666</v>
      </c>
      <c r="P60" s="222">
        <v>295681.33609700284</v>
      </c>
      <c r="Q60" s="222">
        <v>546297.2856214795</v>
      </c>
      <c r="R60" s="224">
        <v>1.1685090329681899E8</v>
      </c>
      <c r="S60" s="222">
        <v>308.0</v>
      </c>
      <c r="T60" s="225"/>
    </row>
    <row r="61" ht="12.0" customHeight="1">
      <c r="C61" s="210">
        <v>53.0</v>
      </c>
      <c r="D61" s="211">
        <v>45200.0</v>
      </c>
      <c r="E61" s="210">
        <f t="shared" si="2"/>
        <v>506078.9038</v>
      </c>
      <c r="F61" s="210">
        <f t="shared" si="3"/>
        <v>594302.7943</v>
      </c>
      <c r="G61" s="210">
        <f t="shared" si="4"/>
        <v>1100381.698</v>
      </c>
      <c r="H61" s="170">
        <f t="shared" si="6"/>
        <v>234861364.4</v>
      </c>
      <c r="I61" s="210">
        <f t="shared" si="5"/>
        <v>307</v>
      </c>
      <c r="K61" s="174"/>
      <c r="L61" s="5"/>
      <c r="M61" s="222">
        <v>53.0</v>
      </c>
      <c r="N61" s="223">
        <v>45200.0</v>
      </c>
      <c r="O61" s="222">
        <v>251248.75479702596</v>
      </c>
      <c r="P61" s="222">
        <v>295048.53082445357</v>
      </c>
      <c r="Q61" s="222">
        <v>546297.2856214795</v>
      </c>
      <c r="R61" s="224">
        <v>1.1659965454202196E8</v>
      </c>
      <c r="S61" s="222">
        <v>307.0</v>
      </c>
      <c r="T61" s="225"/>
    </row>
    <row r="62" ht="12.0" customHeight="1">
      <c r="C62" s="210">
        <v>54.0</v>
      </c>
      <c r="D62" s="211">
        <v>45231.0</v>
      </c>
      <c r="E62" s="210">
        <f t="shared" si="2"/>
        <v>507356.753</v>
      </c>
      <c r="F62" s="210">
        <f t="shared" si="3"/>
        <v>593024.9451</v>
      </c>
      <c r="G62" s="210">
        <f t="shared" si="4"/>
        <v>1100381.698</v>
      </c>
      <c r="H62" s="170">
        <f t="shared" si="6"/>
        <v>234354007.6</v>
      </c>
      <c r="I62" s="210">
        <f t="shared" si="5"/>
        <v>306</v>
      </c>
      <c r="K62" s="174"/>
      <c r="L62" s="5"/>
      <c r="M62" s="222">
        <v>54.0</v>
      </c>
      <c r="N62" s="223">
        <v>45231.0</v>
      </c>
      <c r="O62" s="222">
        <v>251883.15790288846</v>
      </c>
      <c r="P62" s="222">
        <v>294414.127718591</v>
      </c>
      <c r="Q62" s="222">
        <v>546297.2856214795</v>
      </c>
      <c r="R62" s="224">
        <v>1.1634777138411908E8</v>
      </c>
      <c r="S62" s="222">
        <v>306.0</v>
      </c>
      <c r="T62" s="225"/>
    </row>
    <row r="63" ht="12.0" customHeight="1">
      <c r="C63" s="210">
        <v>55.0</v>
      </c>
      <c r="D63" s="211">
        <v>45261.0</v>
      </c>
      <c r="E63" s="210">
        <f t="shared" si="2"/>
        <v>508637.8288</v>
      </c>
      <c r="F63" s="210">
        <f t="shared" si="3"/>
        <v>591743.8693</v>
      </c>
      <c r="G63" s="210">
        <f t="shared" si="4"/>
        <v>1100381.698</v>
      </c>
      <c r="H63" s="170">
        <f t="shared" si="6"/>
        <v>233845369.8</v>
      </c>
      <c r="I63" s="210">
        <f t="shared" si="5"/>
        <v>305</v>
      </c>
      <c r="K63" s="174"/>
      <c r="L63" s="5"/>
      <c r="M63" s="222">
        <v>55.0</v>
      </c>
      <c r="N63" s="223">
        <v>45261.0</v>
      </c>
      <c r="O63" s="222">
        <v>252519.16287659327</v>
      </c>
      <c r="P63" s="222">
        <v>293778.1227448862</v>
      </c>
      <c r="Q63" s="222">
        <v>546297.2856214795</v>
      </c>
      <c r="R63" s="224">
        <v>1.1609525222124249E8</v>
      </c>
      <c r="S63" s="222">
        <v>305.0</v>
      </c>
      <c r="T63" s="225"/>
    </row>
    <row r="64" ht="12.0" customHeight="1">
      <c r="C64" s="210">
        <v>56.0</v>
      </c>
      <c r="D64" s="211">
        <v>45292.0</v>
      </c>
      <c r="E64" s="210">
        <f t="shared" si="2"/>
        <v>509922.1393</v>
      </c>
      <c r="F64" s="210">
        <f t="shared" si="3"/>
        <v>590459.5588</v>
      </c>
      <c r="G64" s="210">
        <f t="shared" si="4"/>
        <v>1100381.698</v>
      </c>
      <c r="H64" s="170">
        <f t="shared" si="6"/>
        <v>233335447.7</v>
      </c>
      <c r="I64" s="210">
        <f t="shared" si="5"/>
        <v>304</v>
      </c>
      <c r="K64" s="174"/>
      <c r="L64" s="5"/>
      <c r="M64" s="222">
        <v>56.0</v>
      </c>
      <c r="N64" s="223">
        <v>45292.0</v>
      </c>
      <c r="O64" s="222">
        <v>253156.77376285667</v>
      </c>
      <c r="P64" s="222">
        <v>293140.51185862283</v>
      </c>
      <c r="Q64" s="222">
        <v>546297.2856214795</v>
      </c>
      <c r="R64" s="224">
        <v>1.1584209544747964E8</v>
      </c>
      <c r="S64" s="222">
        <v>304.0</v>
      </c>
      <c r="T64" s="225"/>
    </row>
    <row r="65" ht="12.0" customHeight="1">
      <c r="C65" s="210">
        <v>57.0</v>
      </c>
      <c r="D65" s="211">
        <v>45323.0</v>
      </c>
      <c r="E65" s="210">
        <f t="shared" si="2"/>
        <v>511209.6927</v>
      </c>
      <c r="F65" s="210">
        <f t="shared" si="3"/>
        <v>589172.0054</v>
      </c>
      <c r="G65" s="210">
        <f t="shared" si="4"/>
        <v>1100381.698</v>
      </c>
      <c r="H65" s="170">
        <f t="shared" si="6"/>
        <v>232824238</v>
      </c>
      <c r="I65" s="210">
        <f t="shared" si="5"/>
        <v>303</v>
      </c>
      <c r="K65" s="174"/>
      <c r="L65" s="5"/>
      <c r="M65" s="222">
        <v>57.0</v>
      </c>
      <c r="N65" s="223">
        <v>45323.0</v>
      </c>
      <c r="O65" s="222">
        <v>253795.9946166079</v>
      </c>
      <c r="P65" s="222">
        <v>292501.2910048716</v>
      </c>
      <c r="Q65" s="222">
        <v>546297.2856214795</v>
      </c>
      <c r="R65" s="224">
        <v>1.1558829945286302E8</v>
      </c>
      <c r="S65" s="222">
        <v>303.0</v>
      </c>
      <c r="T65" s="225"/>
    </row>
    <row r="66" ht="12.0" customHeight="1">
      <c r="C66" s="210">
        <v>58.0</v>
      </c>
      <c r="D66" s="211">
        <v>45352.0</v>
      </c>
      <c r="E66" s="210">
        <f t="shared" si="2"/>
        <v>512500.4972</v>
      </c>
      <c r="F66" s="210">
        <f t="shared" si="3"/>
        <v>587881.2009</v>
      </c>
      <c r="G66" s="210">
        <f t="shared" si="4"/>
        <v>1100381.698</v>
      </c>
      <c r="H66" s="170">
        <f t="shared" si="6"/>
        <v>232311737.5</v>
      </c>
      <c r="I66" s="210">
        <f t="shared" si="5"/>
        <v>302</v>
      </c>
      <c r="K66" s="174"/>
      <c r="L66" s="5"/>
      <c r="M66" s="222">
        <v>58.0</v>
      </c>
      <c r="N66" s="223">
        <v>45352.0</v>
      </c>
      <c r="O66" s="222">
        <v>254436.8295030148</v>
      </c>
      <c r="P66" s="222">
        <v>291860.4561184647</v>
      </c>
      <c r="Q66" s="222">
        <v>546297.2856214795</v>
      </c>
      <c r="R66" s="224">
        <v>1.1533386262336001E8</v>
      </c>
      <c r="S66" s="222">
        <v>302.0</v>
      </c>
      <c r="T66" s="225"/>
    </row>
    <row r="67" ht="12.0" customHeight="1">
      <c r="C67" s="210">
        <v>59.0</v>
      </c>
      <c r="D67" s="211">
        <v>45383.0</v>
      </c>
      <c r="E67" s="210">
        <f t="shared" si="2"/>
        <v>513794.561</v>
      </c>
      <c r="F67" s="210">
        <f t="shared" si="3"/>
        <v>586587.1371</v>
      </c>
      <c r="G67" s="210">
        <f t="shared" si="4"/>
        <v>1100381.698</v>
      </c>
      <c r="H67" s="170">
        <f t="shared" si="6"/>
        <v>231797942.9</v>
      </c>
      <c r="I67" s="210">
        <f t="shared" si="5"/>
        <v>301</v>
      </c>
      <c r="K67" s="174"/>
      <c r="L67" s="5"/>
      <c r="M67" s="222">
        <v>59.0</v>
      </c>
      <c r="N67" s="223">
        <v>45383.0</v>
      </c>
      <c r="O67" s="222">
        <v>255079.28249750988</v>
      </c>
      <c r="P67" s="222">
        <v>291218.00312396965</v>
      </c>
      <c r="Q67" s="222">
        <v>546297.2856214795</v>
      </c>
      <c r="R67" s="224">
        <v>1.150787833408625E8</v>
      </c>
      <c r="S67" s="222">
        <v>301.0</v>
      </c>
      <c r="T67" s="225"/>
    </row>
    <row r="68" ht="12.0" customHeight="1">
      <c r="C68" s="210">
        <v>60.0</v>
      </c>
      <c r="D68" s="211">
        <v>45413.0</v>
      </c>
      <c r="E68" s="210">
        <f t="shared" si="2"/>
        <v>515091.8922</v>
      </c>
      <c r="F68" s="210">
        <f t="shared" si="3"/>
        <v>585289.8059</v>
      </c>
      <c r="G68" s="210">
        <f t="shared" si="4"/>
        <v>1100381.698</v>
      </c>
      <c r="H68" s="170">
        <f t="shared" si="6"/>
        <v>231282851</v>
      </c>
      <c r="I68" s="210">
        <f t="shared" si="5"/>
        <v>300</v>
      </c>
      <c r="K68" s="174"/>
      <c r="L68" s="5"/>
      <c r="M68" s="222">
        <v>60.0</v>
      </c>
      <c r="N68" s="223">
        <v>45413.0</v>
      </c>
      <c r="O68" s="222">
        <v>255723.35768581613</v>
      </c>
      <c r="P68" s="222">
        <v>290573.9279356634</v>
      </c>
      <c r="Q68" s="222">
        <v>546297.2856214795</v>
      </c>
      <c r="R68" s="224">
        <v>1.1482305998317668E8</v>
      </c>
      <c r="S68" s="222">
        <v>300.0</v>
      </c>
      <c r="T68" s="225"/>
    </row>
    <row r="69" ht="12.0" customHeight="1">
      <c r="C69" s="210">
        <v>61.0</v>
      </c>
      <c r="D69" s="211">
        <v>45444.0</v>
      </c>
      <c r="E69" s="210">
        <f t="shared" si="2"/>
        <v>516392.4993</v>
      </c>
      <c r="F69" s="210">
        <f t="shared" si="3"/>
        <v>583989.1988</v>
      </c>
      <c r="G69" s="210">
        <f t="shared" si="4"/>
        <v>1100381.698</v>
      </c>
      <c r="H69" s="170">
        <f t="shared" si="6"/>
        <v>230766458.5</v>
      </c>
      <c r="I69" s="210">
        <f t="shared" si="5"/>
        <v>299</v>
      </c>
      <c r="K69" s="174"/>
      <c r="L69" s="5"/>
      <c r="M69" s="222">
        <v>61.0</v>
      </c>
      <c r="N69" s="223">
        <v>45444.0</v>
      </c>
      <c r="O69" s="222">
        <v>256369.05916397282</v>
      </c>
      <c r="P69" s="222">
        <v>289928.22645750665</v>
      </c>
      <c r="Q69" s="222">
        <v>546297.2856214795</v>
      </c>
      <c r="R69" s="224">
        <v>1.145666909240127E8</v>
      </c>
      <c r="S69" s="222">
        <v>299.0</v>
      </c>
      <c r="T69" s="225"/>
    </row>
    <row r="70" ht="12.0" customHeight="1">
      <c r="C70" s="210">
        <v>62.0</v>
      </c>
      <c r="D70" s="211">
        <v>45474.0</v>
      </c>
      <c r="E70" s="210">
        <f t="shared" si="2"/>
        <v>517696.3903</v>
      </c>
      <c r="F70" s="210">
        <f t="shared" si="3"/>
        <v>582685.3078</v>
      </c>
      <c r="G70" s="210">
        <f t="shared" si="4"/>
        <v>1100381.698</v>
      </c>
      <c r="H70" s="170">
        <f t="shared" si="6"/>
        <v>230248762.1</v>
      </c>
      <c r="I70" s="210">
        <f t="shared" si="5"/>
        <v>298</v>
      </c>
      <c r="K70" s="174"/>
      <c r="L70" s="5"/>
      <c r="M70" s="222">
        <v>62.0</v>
      </c>
      <c r="N70" s="223">
        <v>45474.0</v>
      </c>
      <c r="O70" s="222">
        <v>257016.39103836185</v>
      </c>
      <c r="P70" s="222">
        <v>289280.8945831177</v>
      </c>
      <c r="Q70" s="222">
        <v>546297.2856214795</v>
      </c>
      <c r="R70" s="224">
        <v>1.1430967453297435E8</v>
      </c>
      <c r="S70" s="222">
        <v>298.0</v>
      </c>
      <c r="T70" s="225"/>
    </row>
    <row r="71" ht="12.0" customHeight="1">
      <c r="C71" s="210">
        <v>63.0</v>
      </c>
      <c r="D71" s="211">
        <v>45505.0</v>
      </c>
      <c r="E71" s="210">
        <f t="shared" si="2"/>
        <v>519003.5737</v>
      </c>
      <c r="F71" s="210">
        <f t="shared" si="3"/>
        <v>581378.1244</v>
      </c>
      <c r="G71" s="210">
        <f t="shared" si="4"/>
        <v>1100381.698</v>
      </c>
      <c r="H71" s="170">
        <f t="shared" si="6"/>
        <v>229729758.6</v>
      </c>
      <c r="I71" s="210">
        <f t="shared" si="5"/>
        <v>297</v>
      </c>
      <c r="K71" s="174"/>
      <c r="L71" s="5"/>
      <c r="M71" s="222">
        <v>63.0</v>
      </c>
      <c r="N71" s="223">
        <v>45505.0</v>
      </c>
      <c r="O71" s="222">
        <v>257665.3574257337</v>
      </c>
      <c r="P71" s="222">
        <v>288631.9281957458</v>
      </c>
      <c r="Q71" s="222">
        <v>546297.2856214795</v>
      </c>
      <c r="R71" s="224">
        <v>1.1405200917554861E8</v>
      </c>
      <c r="S71" s="222">
        <v>297.0</v>
      </c>
      <c r="T71" s="225"/>
    </row>
    <row r="72" ht="12.0" customHeight="1">
      <c r="C72" s="210">
        <v>64.0</v>
      </c>
      <c r="D72" s="211">
        <v>45536.0</v>
      </c>
      <c r="E72" s="210">
        <f t="shared" si="2"/>
        <v>520314.0577</v>
      </c>
      <c r="F72" s="210">
        <f t="shared" si="3"/>
        <v>580067.6404</v>
      </c>
      <c r="G72" s="210">
        <f t="shared" si="4"/>
        <v>1100381.698</v>
      </c>
      <c r="H72" s="170">
        <f t="shared" si="6"/>
        <v>229209444.5</v>
      </c>
      <c r="I72" s="210">
        <f t="shared" si="5"/>
        <v>296</v>
      </c>
      <c r="K72" s="174"/>
      <c r="L72" s="5"/>
      <c r="M72" s="222">
        <v>64.0</v>
      </c>
      <c r="N72" s="223">
        <v>45536.0</v>
      </c>
      <c r="O72" s="222">
        <v>258315.9624532337</v>
      </c>
      <c r="P72" s="222">
        <v>287981.32316824584</v>
      </c>
      <c r="Q72" s="222">
        <v>546297.2856214795</v>
      </c>
      <c r="R72" s="224">
        <v>1.1379369321309538E8</v>
      </c>
      <c r="S72" s="222">
        <v>296.0</v>
      </c>
      <c r="T72" s="225"/>
    </row>
    <row r="73" ht="12.0" customHeight="1">
      <c r="C73" s="210">
        <v>65.0</v>
      </c>
      <c r="D73" s="211">
        <v>45566.0</v>
      </c>
      <c r="E73" s="210">
        <f t="shared" si="2"/>
        <v>521627.8507</v>
      </c>
      <c r="F73" s="210">
        <f t="shared" si="3"/>
        <v>578753.8474</v>
      </c>
      <c r="G73" s="210">
        <f t="shared" si="4"/>
        <v>1100381.698</v>
      </c>
      <c r="H73" s="170">
        <f t="shared" si="6"/>
        <v>228687816.7</v>
      </c>
      <c r="I73" s="210">
        <f t="shared" si="5"/>
        <v>295</v>
      </c>
      <c r="K73" s="174"/>
      <c r="L73" s="5"/>
      <c r="M73" s="222">
        <v>65.0</v>
      </c>
      <c r="N73" s="223">
        <v>45566.0</v>
      </c>
      <c r="O73" s="222">
        <v>258968.2102584281</v>
      </c>
      <c r="P73" s="222">
        <v>287329.0753630514</v>
      </c>
      <c r="Q73" s="222">
        <v>546297.2856214795</v>
      </c>
      <c r="R73" s="224">
        <v>1.1353472500283696E8</v>
      </c>
      <c r="S73" s="222">
        <v>295.0</v>
      </c>
      <c r="T73" s="225"/>
    </row>
    <row r="74" ht="12.0" customHeight="1">
      <c r="C74" s="210">
        <v>66.0</v>
      </c>
      <c r="D74" s="211">
        <v>45597.0</v>
      </c>
      <c r="E74" s="210">
        <f t="shared" si="2"/>
        <v>522944.9611</v>
      </c>
      <c r="F74" s="210">
        <f t="shared" si="3"/>
        <v>577436.737</v>
      </c>
      <c r="G74" s="210">
        <f t="shared" si="4"/>
        <v>1100381.698</v>
      </c>
      <c r="H74" s="170">
        <f t="shared" si="6"/>
        <v>228164871.7</v>
      </c>
      <c r="I74" s="210">
        <f t="shared" si="5"/>
        <v>294</v>
      </c>
      <c r="K74" s="174"/>
      <c r="L74" s="5"/>
      <c r="M74" s="222">
        <v>66.0</v>
      </c>
      <c r="N74" s="223">
        <v>45597.0</v>
      </c>
      <c r="O74" s="222">
        <v>259622.10498933063</v>
      </c>
      <c r="P74" s="222">
        <v>286675.18063214887</v>
      </c>
      <c r="Q74" s="222">
        <v>546297.2856214795</v>
      </c>
      <c r="R74" s="224">
        <v>1.1327510289784762E8</v>
      </c>
      <c r="S74" s="222">
        <v>294.0</v>
      </c>
      <c r="T74" s="225"/>
    </row>
    <row r="75" ht="12.0" customHeight="1">
      <c r="C75" s="210">
        <v>67.0</v>
      </c>
      <c r="D75" s="211">
        <v>45627.0</v>
      </c>
      <c r="E75" s="210">
        <f t="shared" si="2"/>
        <v>524265.3971</v>
      </c>
      <c r="F75" s="210">
        <f t="shared" si="3"/>
        <v>576116.301</v>
      </c>
      <c r="G75" s="210">
        <f t="shared" si="4"/>
        <v>1100381.698</v>
      </c>
      <c r="H75" s="170">
        <f t="shared" si="6"/>
        <v>227640606.3</v>
      </c>
      <c r="I75" s="210">
        <f t="shared" si="5"/>
        <v>293</v>
      </c>
      <c r="K75" s="174"/>
      <c r="L75" s="5"/>
      <c r="M75" s="222">
        <v>67.0</v>
      </c>
      <c r="N75" s="223">
        <v>45627.0</v>
      </c>
      <c r="O75" s="222">
        <v>260277.6508044287</v>
      </c>
      <c r="P75" s="222">
        <v>286019.63481705077</v>
      </c>
      <c r="Q75" s="222">
        <v>546297.2856214795</v>
      </c>
      <c r="R75" s="224">
        <v>1.1301482524704319E8</v>
      </c>
      <c r="S75" s="222">
        <v>293.0</v>
      </c>
      <c r="T75" s="225"/>
    </row>
    <row r="76" ht="12.0" customHeight="1">
      <c r="C76" s="210">
        <v>68.0</v>
      </c>
      <c r="D76" s="211">
        <v>45658.0</v>
      </c>
      <c r="E76" s="210">
        <f t="shared" si="2"/>
        <v>525589.1672</v>
      </c>
      <c r="F76" s="210">
        <f t="shared" si="3"/>
        <v>574792.5309</v>
      </c>
      <c r="G76" s="210">
        <f t="shared" si="4"/>
        <v>1100381.698</v>
      </c>
      <c r="H76" s="170">
        <f t="shared" si="6"/>
        <v>227115017.1</v>
      </c>
      <c r="I76" s="210">
        <f t="shared" si="5"/>
        <v>292</v>
      </c>
      <c r="K76" s="174"/>
      <c r="L76" s="5"/>
      <c r="M76" s="222">
        <v>68.0</v>
      </c>
      <c r="N76" s="223">
        <v>45658.0</v>
      </c>
      <c r="O76" s="222">
        <v>260934.85187270987</v>
      </c>
      <c r="P76" s="222">
        <v>285362.43374876963</v>
      </c>
      <c r="Q76" s="222">
        <v>546297.2856214795</v>
      </c>
      <c r="R76" s="224">
        <v>1.1275389039517048E8</v>
      </c>
      <c r="S76" s="222">
        <v>292.0</v>
      </c>
      <c r="T76" s="225"/>
    </row>
    <row r="77" ht="12.0" customHeight="1">
      <c r="C77" s="210">
        <v>69.0</v>
      </c>
      <c r="D77" s="211">
        <v>45689.0</v>
      </c>
      <c r="E77" s="210">
        <f t="shared" si="2"/>
        <v>526916.2799</v>
      </c>
      <c r="F77" s="210">
        <f t="shared" si="3"/>
        <v>573465.4182</v>
      </c>
      <c r="G77" s="210">
        <f t="shared" si="4"/>
        <v>1100381.698</v>
      </c>
      <c r="H77" s="170">
        <f t="shared" si="6"/>
        <v>226588100.8</v>
      </c>
      <c r="I77" s="210">
        <f t="shared" si="5"/>
        <v>291</v>
      </c>
      <c r="K77" s="174"/>
      <c r="L77" s="5"/>
      <c r="M77" s="222">
        <v>69.0</v>
      </c>
      <c r="N77" s="223">
        <v>45689.0</v>
      </c>
      <c r="O77" s="222">
        <v>261593.71237368847</v>
      </c>
      <c r="P77" s="222">
        <v>284703.57324779104</v>
      </c>
      <c r="Q77" s="222">
        <v>546297.2856214795</v>
      </c>
      <c r="R77" s="224">
        <v>1.1249229668279679E8</v>
      </c>
      <c r="S77" s="222">
        <v>291.0</v>
      </c>
      <c r="T77" s="225"/>
    </row>
    <row r="78" ht="12.0" customHeight="1">
      <c r="C78" s="210">
        <v>70.0</v>
      </c>
      <c r="D78" s="211">
        <v>45717.0</v>
      </c>
      <c r="E78" s="210">
        <f t="shared" si="2"/>
        <v>528246.7435</v>
      </c>
      <c r="F78" s="210">
        <f t="shared" si="3"/>
        <v>572134.9546</v>
      </c>
      <c r="G78" s="210">
        <f t="shared" si="4"/>
        <v>1100381.698</v>
      </c>
      <c r="H78" s="170">
        <f t="shared" si="6"/>
        <v>226059854.1</v>
      </c>
      <c r="I78" s="210">
        <f t="shared" si="5"/>
        <v>290</v>
      </c>
      <c r="K78" s="174"/>
      <c r="L78" s="5"/>
      <c r="M78" s="222">
        <v>70.0</v>
      </c>
      <c r="N78" s="223">
        <v>45717.0</v>
      </c>
      <c r="O78" s="222">
        <v>262254.23649743205</v>
      </c>
      <c r="P78" s="222">
        <v>284043.04912404745</v>
      </c>
      <c r="Q78" s="222">
        <v>546297.2856214795</v>
      </c>
      <c r="R78" s="224">
        <v>1.1223004244629936E8</v>
      </c>
      <c r="S78" s="222">
        <v>290.0</v>
      </c>
      <c r="T78" s="225"/>
    </row>
    <row r="79" ht="12.0" customHeight="1">
      <c r="C79" s="210">
        <v>71.0</v>
      </c>
      <c r="D79" s="211">
        <v>45748.0</v>
      </c>
      <c r="E79" s="210">
        <f t="shared" si="2"/>
        <v>529580.5665</v>
      </c>
      <c r="F79" s="210">
        <f t="shared" si="3"/>
        <v>570801.1316</v>
      </c>
      <c r="G79" s="210">
        <f t="shared" si="4"/>
        <v>1100381.698</v>
      </c>
      <c r="H79" s="170">
        <f t="shared" si="6"/>
        <v>225530273.5</v>
      </c>
      <c r="I79" s="210">
        <f t="shared" si="5"/>
        <v>289</v>
      </c>
      <c r="K79" s="174"/>
      <c r="L79" s="5"/>
      <c r="M79" s="222">
        <v>71.0</v>
      </c>
      <c r="N79" s="223">
        <v>45748.0</v>
      </c>
      <c r="O79" s="222">
        <v>262916.42844458803</v>
      </c>
      <c r="P79" s="222">
        <v>283380.85717689147</v>
      </c>
      <c r="Q79" s="222">
        <v>546297.2856214795</v>
      </c>
      <c r="R79" s="224">
        <v>1.1196712601785477E8</v>
      </c>
      <c r="S79" s="222">
        <v>289.0</v>
      </c>
      <c r="T79" s="225"/>
    </row>
    <row r="80" ht="12.0" customHeight="1">
      <c r="C80" s="210">
        <v>72.0</v>
      </c>
      <c r="D80" s="211">
        <v>45778.0</v>
      </c>
      <c r="E80" s="210">
        <f t="shared" si="2"/>
        <v>530917.7574</v>
      </c>
      <c r="F80" s="210">
        <f t="shared" si="3"/>
        <v>569463.9407</v>
      </c>
      <c r="G80" s="210">
        <f t="shared" si="4"/>
        <v>1100381.698</v>
      </c>
      <c r="H80" s="170">
        <f t="shared" si="6"/>
        <v>224999355.8</v>
      </c>
      <c r="I80" s="210">
        <f t="shared" si="5"/>
        <v>288</v>
      </c>
      <c r="K80" s="174"/>
      <c r="L80" s="5"/>
      <c r="M80" s="222">
        <v>72.0</v>
      </c>
      <c r="N80" s="223">
        <v>45778.0</v>
      </c>
      <c r="O80" s="222">
        <v>263580.29242641066</v>
      </c>
      <c r="P80" s="222">
        <v>282716.99319506885</v>
      </c>
      <c r="Q80" s="222">
        <v>546297.2856214795</v>
      </c>
      <c r="R80" s="224">
        <v>1.1170354572542836E8</v>
      </c>
      <c r="S80" s="222">
        <v>288.0</v>
      </c>
      <c r="T80" s="225"/>
    </row>
    <row r="81" ht="12.0" customHeight="1">
      <c r="C81" s="210">
        <v>73.0</v>
      </c>
      <c r="D81" s="211">
        <v>45809.0</v>
      </c>
      <c r="E81" s="210">
        <f t="shared" si="2"/>
        <v>532258.3248</v>
      </c>
      <c r="F81" s="210">
        <f t="shared" si="3"/>
        <v>568123.3733</v>
      </c>
      <c r="G81" s="210">
        <f t="shared" si="4"/>
        <v>1100381.698</v>
      </c>
      <c r="H81" s="170">
        <f t="shared" si="6"/>
        <v>224467097.5</v>
      </c>
      <c r="I81" s="210">
        <f t="shared" si="5"/>
        <v>287</v>
      </c>
      <c r="K81" s="174"/>
      <c r="L81" s="5"/>
      <c r="M81" s="222">
        <v>73.0</v>
      </c>
      <c r="N81" s="223">
        <v>45809.0</v>
      </c>
      <c r="O81" s="222">
        <v>264245.8326647873</v>
      </c>
      <c r="P81" s="222">
        <v>282051.4529566922</v>
      </c>
      <c r="Q81" s="222">
        <v>546297.2856214795</v>
      </c>
      <c r="R81" s="224">
        <v>1.1143929989276357E8</v>
      </c>
      <c r="S81" s="222">
        <v>287.0</v>
      </c>
      <c r="T81" s="225"/>
    </row>
    <row r="82" ht="12.0" customHeight="1">
      <c r="C82" s="210">
        <v>74.0</v>
      </c>
      <c r="D82" s="211">
        <v>45839.0</v>
      </c>
      <c r="E82" s="210">
        <f t="shared" si="2"/>
        <v>533602.277</v>
      </c>
      <c r="F82" s="210">
        <f t="shared" si="3"/>
        <v>566779.4211</v>
      </c>
      <c r="G82" s="210">
        <f t="shared" si="4"/>
        <v>1100381.698</v>
      </c>
      <c r="H82" s="170">
        <f t="shared" si="6"/>
        <v>223933495.2</v>
      </c>
      <c r="I82" s="210">
        <f t="shared" si="5"/>
        <v>286</v>
      </c>
      <c r="K82" s="174"/>
      <c r="L82" s="5"/>
      <c r="M82" s="222">
        <v>74.0</v>
      </c>
      <c r="N82" s="223">
        <v>45839.0</v>
      </c>
      <c r="O82" s="222">
        <v>264913.0533922659</v>
      </c>
      <c r="P82" s="222">
        <v>281384.2322292136</v>
      </c>
      <c r="Q82" s="222">
        <v>546297.2856214795</v>
      </c>
      <c r="R82" s="224">
        <v>1.1117438683937131E8</v>
      </c>
      <c r="S82" s="222">
        <v>286.0</v>
      </c>
      <c r="T82" s="225"/>
    </row>
    <row r="83" ht="12.0" customHeight="1">
      <c r="C83" s="210">
        <v>75.0</v>
      </c>
      <c r="D83" s="211">
        <v>45870.0</v>
      </c>
      <c r="E83" s="210">
        <f t="shared" si="2"/>
        <v>534949.6228</v>
      </c>
      <c r="F83" s="210">
        <f t="shared" si="3"/>
        <v>565432.0753</v>
      </c>
      <c r="G83" s="210">
        <f t="shared" si="4"/>
        <v>1100381.698</v>
      </c>
      <c r="H83" s="170">
        <f t="shared" si="6"/>
        <v>223398545.6</v>
      </c>
      <c r="I83" s="210">
        <f t="shared" si="5"/>
        <v>285</v>
      </c>
      <c r="K83" s="174"/>
      <c r="L83" s="5"/>
      <c r="M83" s="222">
        <v>75.0</v>
      </c>
      <c r="N83" s="223">
        <v>45870.0</v>
      </c>
      <c r="O83" s="222">
        <v>265581.9588520814</v>
      </c>
      <c r="P83" s="222">
        <v>280715.3267693981</v>
      </c>
      <c r="Q83" s="222">
        <v>546297.2856214795</v>
      </c>
      <c r="R83" s="224">
        <v>1.1090880488051923E8</v>
      </c>
      <c r="S83" s="222">
        <v>285.0</v>
      </c>
      <c r="T83" s="225"/>
    </row>
    <row r="84" ht="12.0" customHeight="1">
      <c r="C84" s="210">
        <v>76.0</v>
      </c>
      <c r="D84" s="211">
        <v>45901.0</v>
      </c>
      <c r="E84" s="210">
        <f t="shared" si="2"/>
        <v>536300.3706</v>
      </c>
      <c r="F84" s="210">
        <f t="shared" si="3"/>
        <v>564081.3275</v>
      </c>
      <c r="G84" s="210">
        <f t="shared" si="4"/>
        <v>1100381.698</v>
      </c>
      <c r="H84" s="170">
        <f t="shared" si="6"/>
        <v>222862245.2</v>
      </c>
      <c r="I84" s="210">
        <f t="shared" si="5"/>
        <v>284</v>
      </c>
      <c r="K84" s="174"/>
      <c r="L84" s="5"/>
      <c r="M84" s="222">
        <v>76.0</v>
      </c>
      <c r="N84" s="223">
        <v>45901.0</v>
      </c>
      <c r="O84" s="222">
        <v>266252.5532981829</v>
      </c>
      <c r="P84" s="222">
        <v>280044.7323232966</v>
      </c>
      <c r="Q84" s="222">
        <v>546297.2856214795</v>
      </c>
      <c r="R84" s="224">
        <v>1.1064255232722104E8</v>
      </c>
      <c r="S84" s="222">
        <v>284.0</v>
      </c>
      <c r="T84" s="225"/>
    </row>
    <row r="85" ht="12.0" customHeight="1">
      <c r="C85" s="210">
        <v>77.0</v>
      </c>
      <c r="D85" s="211">
        <v>45931.0</v>
      </c>
      <c r="E85" s="210">
        <f t="shared" si="2"/>
        <v>537654.529</v>
      </c>
      <c r="F85" s="210">
        <f t="shared" si="3"/>
        <v>562727.1691</v>
      </c>
      <c r="G85" s="210">
        <f t="shared" si="4"/>
        <v>1100381.698</v>
      </c>
      <c r="H85" s="170">
        <f t="shared" si="6"/>
        <v>222324590.7</v>
      </c>
      <c r="I85" s="210">
        <f t="shared" si="5"/>
        <v>283</v>
      </c>
      <c r="K85" s="174"/>
      <c r="L85" s="5"/>
      <c r="M85" s="222">
        <v>77.0</v>
      </c>
      <c r="N85" s="223">
        <v>45931.0</v>
      </c>
      <c r="O85" s="222">
        <v>266924.8409952608</v>
      </c>
      <c r="P85" s="222">
        <v>279372.4446262187</v>
      </c>
      <c r="Q85" s="222">
        <v>546297.2856214795</v>
      </c>
      <c r="R85" s="224">
        <v>1.1037562748622577E8</v>
      </c>
      <c r="S85" s="222">
        <v>283.0</v>
      </c>
      <c r="T85" s="225"/>
    </row>
    <row r="86" ht="12.0" customHeight="1">
      <c r="C86" s="210">
        <v>78.0</v>
      </c>
      <c r="D86" s="211">
        <v>45962.0</v>
      </c>
      <c r="E86" s="210">
        <f t="shared" si="2"/>
        <v>539012.1067</v>
      </c>
      <c r="F86" s="210">
        <f t="shared" si="3"/>
        <v>561369.5914</v>
      </c>
      <c r="G86" s="210">
        <f t="shared" si="4"/>
        <v>1100381.698</v>
      </c>
      <c r="H86" s="170">
        <f t="shared" si="6"/>
        <v>221785578.5</v>
      </c>
      <c r="I86" s="210">
        <f t="shared" si="5"/>
        <v>282</v>
      </c>
      <c r="K86" s="174"/>
      <c r="L86" s="5"/>
      <c r="M86" s="222">
        <v>78.0</v>
      </c>
      <c r="N86" s="223">
        <v>45962.0</v>
      </c>
      <c r="O86" s="222">
        <v>267598.82621877384</v>
      </c>
      <c r="P86" s="222">
        <v>278698.45940270566</v>
      </c>
      <c r="Q86" s="222">
        <v>546297.2856214795</v>
      </c>
      <c r="R86" s="224">
        <v>1.10108028660007E8</v>
      </c>
      <c r="S86" s="222">
        <v>282.0</v>
      </c>
      <c r="T86" s="225"/>
    </row>
    <row r="87" ht="12.0" customHeight="1">
      <c r="C87" s="210">
        <v>79.0</v>
      </c>
      <c r="D87" s="211">
        <v>45992.0</v>
      </c>
      <c r="E87" s="210">
        <f t="shared" si="2"/>
        <v>540373.1123</v>
      </c>
      <c r="F87" s="210">
        <f t="shared" si="3"/>
        <v>560008.5858</v>
      </c>
      <c r="G87" s="210">
        <f t="shared" si="4"/>
        <v>1100381.698</v>
      </c>
      <c r="H87" s="170">
        <f t="shared" si="6"/>
        <v>221245205.4</v>
      </c>
      <c r="I87" s="210">
        <f t="shared" si="5"/>
        <v>281</v>
      </c>
      <c r="K87" s="174"/>
      <c r="L87" s="5"/>
      <c r="M87" s="222">
        <v>79.0</v>
      </c>
      <c r="N87" s="223">
        <v>45992.0</v>
      </c>
      <c r="O87" s="222">
        <v>268274.51325497625</v>
      </c>
      <c r="P87" s="222">
        <v>278022.77236650325</v>
      </c>
      <c r="Q87" s="222">
        <v>546297.2856214795</v>
      </c>
      <c r="R87" s="224">
        <v>1.0983975414675203E8</v>
      </c>
      <c r="S87" s="222">
        <v>281.0</v>
      </c>
      <c r="T87" s="225"/>
    </row>
    <row r="88" ht="12.0" customHeight="1">
      <c r="C88" s="210">
        <v>80.0</v>
      </c>
      <c r="D88" s="211">
        <v>46023.0</v>
      </c>
      <c r="E88" s="210">
        <f t="shared" si="2"/>
        <v>541737.5544</v>
      </c>
      <c r="F88" s="210">
        <f t="shared" si="3"/>
        <v>558644.1437</v>
      </c>
      <c r="G88" s="210">
        <f t="shared" si="4"/>
        <v>1100381.698</v>
      </c>
      <c r="H88" s="170">
        <f t="shared" si="6"/>
        <v>220703467.9</v>
      </c>
      <c r="I88" s="210">
        <f t="shared" si="5"/>
        <v>280</v>
      </c>
      <c r="K88" s="174"/>
      <c r="L88" s="5"/>
      <c r="M88" s="222">
        <v>80.0</v>
      </c>
      <c r="N88" s="223">
        <v>46023.0</v>
      </c>
      <c r="O88" s="222">
        <v>268951.90640094504</v>
      </c>
      <c r="P88" s="222">
        <v>277345.37922053447</v>
      </c>
      <c r="Q88" s="222">
        <v>546297.2856214795</v>
      </c>
      <c r="R88" s="224">
        <v>1.0957080224035108E8</v>
      </c>
      <c r="S88" s="222">
        <v>280.0</v>
      </c>
      <c r="T88" s="225"/>
    </row>
    <row r="89" ht="12.0" customHeight="1">
      <c r="C89" s="210">
        <v>81.0</v>
      </c>
      <c r="D89" s="211">
        <v>46054.0</v>
      </c>
      <c r="E89" s="210">
        <f t="shared" si="2"/>
        <v>543105.4417</v>
      </c>
      <c r="F89" s="210">
        <f t="shared" si="3"/>
        <v>557276.2564</v>
      </c>
      <c r="G89" s="210">
        <f t="shared" si="4"/>
        <v>1100381.698</v>
      </c>
      <c r="H89" s="170">
        <f t="shared" si="6"/>
        <v>220160362.4</v>
      </c>
      <c r="I89" s="210">
        <f t="shared" si="5"/>
        <v>279</v>
      </c>
      <c r="K89" s="174"/>
      <c r="L89" s="5"/>
      <c r="M89" s="222">
        <v>81.0</v>
      </c>
      <c r="N89" s="223">
        <v>46054.0</v>
      </c>
      <c r="O89" s="222">
        <v>269631.0099646075</v>
      </c>
      <c r="P89" s="222">
        <v>276666.275656872</v>
      </c>
      <c r="Q89" s="222">
        <v>546297.2856214795</v>
      </c>
      <c r="R89" s="224">
        <v>1.0930117123038648E8</v>
      </c>
      <c r="S89" s="222">
        <v>279.0</v>
      </c>
      <c r="T89" s="225"/>
    </row>
    <row r="90" ht="12.0" customHeight="1">
      <c r="C90" s="210">
        <v>82.0</v>
      </c>
      <c r="D90" s="211">
        <v>46082.0</v>
      </c>
      <c r="E90" s="210">
        <f t="shared" si="2"/>
        <v>544476.7829</v>
      </c>
      <c r="F90" s="210">
        <f t="shared" si="3"/>
        <v>555904.9152</v>
      </c>
      <c r="G90" s="210">
        <f t="shared" si="4"/>
        <v>1100381.698</v>
      </c>
      <c r="H90" s="170">
        <f t="shared" si="6"/>
        <v>219615885.7</v>
      </c>
      <c r="I90" s="210">
        <f t="shared" si="5"/>
        <v>278</v>
      </c>
      <c r="K90" s="174"/>
      <c r="L90" s="5"/>
      <c r="M90" s="222">
        <v>82.0</v>
      </c>
      <c r="N90" s="223">
        <v>46082.0</v>
      </c>
      <c r="O90" s="222">
        <v>270311.82826476806</v>
      </c>
      <c r="P90" s="222">
        <v>275985.45735671144</v>
      </c>
      <c r="Q90" s="222">
        <v>546297.2856214795</v>
      </c>
      <c r="R90" s="224">
        <v>1.0903085940212171E8</v>
      </c>
      <c r="S90" s="222">
        <v>278.0</v>
      </c>
      <c r="T90" s="225"/>
    </row>
    <row r="91" ht="12.0" customHeight="1">
      <c r="C91" s="210">
        <v>83.0</v>
      </c>
      <c r="D91" s="211">
        <v>46113.0</v>
      </c>
      <c r="E91" s="210">
        <f t="shared" si="2"/>
        <v>545851.5868</v>
      </c>
      <c r="F91" s="210">
        <f t="shared" si="3"/>
        <v>554530.1113</v>
      </c>
      <c r="G91" s="210">
        <f t="shared" si="4"/>
        <v>1100381.698</v>
      </c>
      <c r="H91" s="170">
        <f t="shared" si="6"/>
        <v>219070034.1</v>
      </c>
      <c r="I91" s="210">
        <f t="shared" si="5"/>
        <v>277</v>
      </c>
      <c r="K91" s="174"/>
      <c r="L91" s="5"/>
      <c r="M91" s="222">
        <v>83.0</v>
      </c>
      <c r="N91" s="223">
        <v>46113.0</v>
      </c>
      <c r="O91" s="222">
        <v>270994.36563113664</v>
      </c>
      <c r="P91" s="222">
        <v>275302.91999034287</v>
      </c>
      <c r="Q91" s="222">
        <v>546297.2856214795</v>
      </c>
      <c r="R91" s="224">
        <v>1.0875986503649057E8</v>
      </c>
      <c r="S91" s="222">
        <v>277.0</v>
      </c>
      <c r="T91" s="225"/>
    </row>
    <row r="92" ht="12.0" customHeight="1">
      <c r="C92" s="210">
        <v>84.0</v>
      </c>
      <c r="D92" s="211">
        <v>46143.0</v>
      </c>
      <c r="E92" s="210">
        <f t="shared" si="2"/>
        <v>547229.8621</v>
      </c>
      <c r="F92" s="210">
        <f t="shared" si="3"/>
        <v>553151.836</v>
      </c>
      <c r="G92" s="210">
        <f t="shared" si="4"/>
        <v>1100381.698</v>
      </c>
      <c r="H92" s="170">
        <f t="shared" si="6"/>
        <v>218522804.2</v>
      </c>
      <c r="I92" s="210">
        <f t="shared" si="5"/>
        <v>276</v>
      </c>
      <c r="K92" s="174"/>
      <c r="L92" s="5"/>
      <c r="M92" s="222">
        <v>84.0</v>
      </c>
      <c r="N92" s="223">
        <v>46143.0</v>
      </c>
      <c r="O92" s="222">
        <v>271678.6264043552</v>
      </c>
      <c r="P92" s="222">
        <v>274618.6592171243</v>
      </c>
      <c r="Q92" s="222">
        <v>546297.2856214795</v>
      </c>
      <c r="R92" s="224">
        <v>1.0848818641008621E8</v>
      </c>
      <c r="S92" s="222">
        <v>276.0</v>
      </c>
      <c r="T92" s="225"/>
    </row>
    <row r="93" ht="12.0" customHeight="1">
      <c r="C93" s="210">
        <v>85.0</v>
      </c>
      <c r="D93" s="211">
        <v>46174.0</v>
      </c>
      <c r="E93" s="210">
        <f t="shared" si="2"/>
        <v>548611.6175</v>
      </c>
      <c r="F93" s="210">
        <f t="shared" si="3"/>
        <v>551770.0806</v>
      </c>
      <c r="G93" s="210">
        <f t="shared" si="4"/>
        <v>1100381.698</v>
      </c>
      <c r="H93" s="170">
        <f t="shared" si="6"/>
        <v>217974192.6</v>
      </c>
      <c r="I93" s="210">
        <f t="shared" si="5"/>
        <v>275</v>
      </c>
      <c r="K93" s="174"/>
      <c r="L93" s="5"/>
      <c r="M93" s="222">
        <v>85.0</v>
      </c>
      <c r="N93" s="223">
        <v>46174.0</v>
      </c>
      <c r="O93" s="222">
        <v>272364.6149360262</v>
      </c>
      <c r="P93" s="222">
        <v>273932.6706854533</v>
      </c>
      <c r="Q93" s="222">
        <v>546297.2856214795</v>
      </c>
      <c r="R93" s="224">
        <v>1.0821582179515019E8</v>
      </c>
      <c r="S93" s="222">
        <v>275.0</v>
      </c>
      <c r="T93" s="225"/>
    </row>
    <row r="94" ht="12.0" customHeight="1">
      <c r="C94" s="210">
        <v>86.0</v>
      </c>
      <c r="D94" s="211">
        <v>46204.0</v>
      </c>
      <c r="E94" s="210">
        <f t="shared" si="2"/>
        <v>549996.8618</v>
      </c>
      <c r="F94" s="210">
        <f t="shared" si="3"/>
        <v>550384.8363</v>
      </c>
      <c r="G94" s="210">
        <f t="shared" si="4"/>
        <v>1100381.698</v>
      </c>
      <c r="H94" s="170">
        <f t="shared" si="6"/>
        <v>217424195.7</v>
      </c>
      <c r="I94" s="210">
        <f t="shared" si="5"/>
        <v>274</v>
      </c>
      <c r="K94" s="174"/>
      <c r="L94" s="5"/>
      <c r="M94" s="222">
        <v>86.0</v>
      </c>
      <c r="N94" s="223">
        <v>46204.0</v>
      </c>
      <c r="O94" s="222">
        <v>273052.33558873966</v>
      </c>
      <c r="P94" s="222">
        <v>273244.95003273984</v>
      </c>
      <c r="Q94" s="222">
        <v>546297.2856214795</v>
      </c>
      <c r="R94" s="224">
        <v>1.0794276945956145E8</v>
      </c>
      <c r="S94" s="222">
        <v>274.0</v>
      </c>
      <c r="T94" s="225"/>
    </row>
    <row r="95" ht="12.0" customHeight="1">
      <c r="C95" s="210">
        <v>87.0</v>
      </c>
      <c r="D95" s="211">
        <v>46235.0</v>
      </c>
      <c r="E95" s="210">
        <f t="shared" si="2"/>
        <v>551385.6039</v>
      </c>
      <c r="F95" s="210">
        <f t="shared" si="3"/>
        <v>548996.0942</v>
      </c>
      <c r="G95" s="210">
        <f t="shared" si="4"/>
        <v>1100381.698</v>
      </c>
      <c r="H95" s="170">
        <f t="shared" si="6"/>
        <v>216872810.1</v>
      </c>
      <c r="I95" s="210">
        <f t="shared" si="5"/>
        <v>273</v>
      </c>
      <c r="K95" s="174"/>
      <c r="L95" s="5"/>
      <c r="M95" s="222">
        <v>87.0</v>
      </c>
      <c r="N95" s="223">
        <v>46235.0</v>
      </c>
      <c r="O95" s="222">
        <v>273741.79273610126</v>
      </c>
      <c r="P95" s="222">
        <v>272555.49288537825</v>
      </c>
      <c r="Q95" s="222">
        <v>546297.2856214795</v>
      </c>
      <c r="R95" s="224">
        <v>1.0766902766682535E8</v>
      </c>
      <c r="S95" s="222">
        <v>273.0</v>
      </c>
      <c r="T95" s="225"/>
    </row>
    <row r="96" ht="12.0" customHeight="1">
      <c r="C96" s="210">
        <v>88.0</v>
      </c>
      <c r="D96" s="211">
        <v>46266.0</v>
      </c>
      <c r="E96" s="210">
        <f t="shared" si="2"/>
        <v>552777.8525</v>
      </c>
      <c r="F96" s="210">
        <f t="shared" si="3"/>
        <v>547603.8456</v>
      </c>
      <c r="G96" s="210">
        <f t="shared" si="4"/>
        <v>1100381.698</v>
      </c>
      <c r="H96" s="170">
        <f t="shared" si="6"/>
        <v>216320032.3</v>
      </c>
      <c r="I96" s="210">
        <f t="shared" si="5"/>
        <v>272</v>
      </c>
      <c r="K96" s="174"/>
      <c r="L96" s="5"/>
      <c r="M96" s="222">
        <v>88.0</v>
      </c>
      <c r="N96" s="223">
        <v>46266.0</v>
      </c>
      <c r="O96" s="222">
        <v>274432.99076275993</v>
      </c>
      <c r="P96" s="222">
        <v>271864.2948587196</v>
      </c>
      <c r="Q96" s="222">
        <v>546297.2856214795</v>
      </c>
      <c r="R96" s="224">
        <v>1.073945946760626E8</v>
      </c>
      <c r="S96" s="222">
        <v>272.0</v>
      </c>
      <c r="T96" s="225"/>
    </row>
    <row r="97" ht="12.0" customHeight="1">
      <c r="C97" s="210">
        <v>89.0</v>
      </c>
      <c r="D97" s="211">
        <v>46296.0</v>
      </c>
      <c r="E97" s="210">
        <f t="shared" si="2"/>
        <v>554173.6166</v>
      </c>
      <c r="F97" s="210">
        <f t="shared" si="3"/>
        <v>546208.0815</v>
      </c>
      <c r="G97" s="210">
        <f t="shared" si="4"/>
        <v>1100381.698</v>
      </c>
      <c r="H97" s="170">
        <f t="shared" si="6"/>
        <v>215765858.7</v>
      </c>
      <c r="I97" s="210">
        <f t="shared" si="5"/>
        <v>271</v>
      </c>
      <c r="K97" s="174"/>
      <c r="L97" s="5"/>
      <c r="M97" s="222">
        <v>89.0</v>
      </c>
      <c r="N97" s="223">
        <v>46296.0</v>
      </c>
      <c r="O97" s="222">
        <v>275125.9340644359</v>
      </c>
      <c r="P97" s="222">
        <v>271171.3515570436</v>
      </c>
      <c r="Q97" s="222">
        <v>546297.2856214795</v>
      </c>
      <c r="R97" s="224">
        <v>1.0711946874199817E8</v>
      </c>
      <c r="S97" s="222">
        <v>271.0</v>
      </c>
      <c r="T97" s="225"/>
    </row>
    <row r="98" ht="12.0" customHeight="1">
      <c r="C98" s="210">
        <v>90.0</v>
      </c>
      <c r="D98" s="211">
        <v>46327.0</v>
      </c>
      <c r="E98" s="210">
        <f t="shared" si="2"/>
        <v>555572.905</v>
      </c>
      <c r="F98" s="210">
        <f t="shared" si="3"/>
        <v>544808.7931</v>
      </c>
      <c r="G98" s="210">
        <f t="shared" si="4"/>
        <v>1100381.698</v>
      </c>
      <c r="H98" s="170">
        <f t="shared" si="6"/>
        <v>215210285.8</v>
      </c>
      <c r="I98" s="210">
        <f t="shared" si="5"/>
        <v>270</v>
      </c>
      <c r="K98" s="174"/>
      <c r="L98" s="5"/>
      <c r="M98" s="222">
        <v>90.0</v>
      </c>
      <c r="N98" s="223">
        <v>46327.0</v>
      </c>
      <c r="O98" s="222">
        <v>275820.6270479486</v>
      </c>
      <c r="P98" s="222">
        <v>270476.6585735309</v>
      </c>
      <c r="Q98" s="222">
        <v>546297.2856214795</v>
      </c>
      <c r="R98" s="224">
        <v>1.0684364811495021E8</v>
      </c>
      <c r="S98" s="222">
        <v>270.0</v>
      </c>
      <c r="T98" s="225"/>
    </row>
    <row r="99" ht="12.0" customHeight="1">
      <c r="C99" s="210">
        <v>91.0</v>
      </c>
      <c r="D99" s="211">
        <v>46357.0</v>
      </c>
      <c r="E99" s="210">
        <f t="shared" si="2"/>
        <v>556975.7266</v>
      </c>
      <c r="F99" s="210">
        <f t="shared" si="3"/>
        <v>543405.9715</v>
      </c>
      <c r="G99" s="210">
        <f t="shared" si="4"/>
        <v>1100381.698</v>
      </c>
      <c r="H99" s="170">
        <f t="shared" si="6"/>
        <v>214653310</v>
      </c>
      <c r="I99" s="210">
        <f t="shared" si="5"/>
        <v>269</v>
      </c>
      <c r="K99" s="174"/>
      <c r="L99" s="5"/>
      <c r="M99" s="222">
        <v>91.0</v>
      </c>
      <c r="N99" s="223">
        <v>46357.0</v>
      </c>
      <c r="O99" s="222">
        <v>276517.0741312446</v>
      </c>
      <c r="P99" s="222">
        <v>269780.2114902349</v>
      </c>
      <c r="Q99" s="222">
        <v>546297.2856214795</v>
      </c>
      <c r="R99" s="224">
        <v>1.0656713104081896E8</v>
      </c>
      <c r="S99" s="222">
        <v>269.0</v>
      </c>
      <c r="T99" s="225"/>
    </row>
    <row r="100" ht="12.0" customHeight="1">
      <c r="C100" s="210">
        <v>92.0</v>
      </c>
      <c r="D100" s="211">
        <v>46388.0</v>
      </c>
      <c r="E100" s="210">
        <f t="shared" si="2"/>
        <v>558382.0903</v>
      </c>
      <c r="F100" s="210">
        <f t="shared" si="3"/>
        <v>541999.6078</v>
      </c>
      <c r="G100" s="210">
        <f t="shared" si="4"/>
        <v>1100381.698</v>
      </c>
      <c r="H100" s="170">
        <f t="shared" si="6"/>
        <v>214094927.9</v>
      </c>
      <c r="I100" s="210">
        <f t="shared" si="5"/>
        <v>268</v>
      </c>
      <c r="K100" s="174"/>
      <c r="L100" s="5"/>
      <c r="M100" s="222">
        <v>92.0</v>
      </c>
      <c r="N100" s="223">
        <v>46388.0</v>
      </c>
      <c r="O100" s="222">
        <v>277215.279743426</v>
      </c>
      <c r="P100" s="222">
        <v>269082.0058780535</v>
      </c>
      <c r="Q100" s="222">
        <v>546297.2856214795</v>
      </c>
      <c r="R100" s="224">
        <v>1.0628991576107553E8</v>
      </c>
      <c r="S100" s="222">
        <v>268.0</v>
      </c>
      <c r="T100" s="225"/>
    </row>
    <row r="101" ht="12.0" customHeight="1">
      <c r="C101" s="210">
        <v>93.0</v>
      </c>
      <c r="D101" s="211">
        <v>46419.0</v>
      </c>
      <c r="E101" s="210">
        <f t="shared" si="2"/>
        <v>559792.0051</v>
      </c>
      <c r="F101" s="210">
        <f t="shared" si="3"/>
        <v>540589.693</v>
      </c>
      <c r="G101" s="210">
        <f t="shared" si="4"/>
        <v>1100381.698</v>
      </c>
      <c r="H101" s="170">
        <f t="shared" si="6"/>
        <v>213535135.9</v>
      </c>
      <c r="I101" s="210">
        <f t="shared" si="5"/>
        <v>267</v>
      </c>
      <c r="K101" s="174"/>
      <c r="L101" s="5"/>
      <c r="M101" s="222">
        <v>93.0</v>
      </c>
      <c r="N101" s="223">
        <v>46419.0</v>
      </c>
      <c r="O101" s="222">
        <v>277915.24832477816</v>
      </c>
      <c r="P101" s="222">
        <v>268382.03729670134</v>
      </c>
      <c r="Q101" s="222">
        <v>546297.2856214795</v>
      </c>
      <c r="R101" s="224">
        <v>1.0601200051275074E8</v>
      </c>
      <c r="S101" s="222">
        <v>267.0</v>
      </c>
      <c r="T101" s="225"/>
    </row>
    <row r="102" ht="12.0" customHeight="1">
      <c r="C102" s="210">
        <v>94.0</v>
      </c>
      <c r="D102" s="211">
        <v>46447.0</v>
      </c>
      <c r="E102" s="210">
        <f t="shared" si="2"/>
        <v>561205.4799</v>
      </c>
      <c r="F102" s="210">
        <f t="shared" si="3"/>
        <v>539176.2182</v>
      </c>
      <c r="G102" s="210">
        <f t="shared" si="4"/>
        <v>1100381.698</v>
      </c>
      <c r="H102" s="170">
        <f t="shared" si="6"/>
        <v>212973930.4</v>
      </c>
      <c r="I102" s="210">
        <f t="shared" si="5"/>
        <v>266</v>
      </c>
      <c r="K102" s="174"/>
      <c r="L102" s="5"/>
      <c r="M102" s="222">
        <v>94.0</v>
      </c>
      <c r="N102" s="223">
        <v>46447.0</v>
      </c>
      <c r="O102" s="222">
        <v>278616.9843267983</v>
      </c>
      <c r="P102" s="222">
        <v>267680.3012946812</v>
      </c>
      <c r="Q102" s="222">
        <v>546297.2856214795</v>
      </c>
      <c r="R102" s="224">
        <v>1.0573338352842395E8</v>
      </c>
      <c r="S102" s="222">
        <v>266.0</v>
      </c>
      <c r="T102" s="225"/>
    </row>
    <row r="103" ht="12.0" customHeight="1">
      <c r="C103" s="210">
        <v>95.0</v>
      </c>
      <c r="D103" s="211">
        <v>46478.0</v>
      </c>
      <c r="E103" s="210">
        <f t="shared" si="2"/>
        <v>562622.5237</v>
      </c>
      <c r="F103" s="210">
        <f t="shared" si="3"/>
        <v>537759.1744</v>
      </c>
      <c r="G103" s="210">
        <f t="shared" si="4"/>
        <v>1100381.698</v>
      </c>
      <c r="H103" s="170">
        <f t="shared" si="6"/>
        <v>212411307.9</v>
      </c>
      <c r="I103" s="210">
        <f t="shared" si="5"/>
        <v>265</v>
      </c>
      <c r="K103" s="174"/>
      <c r="L103" s="5"/>
      <c r="M103" s="222">
        <v>95.0</v>
      </c>
      <c r="N103" s="223">
        <v>46478.0</v>
      </c>
      <c r="O103" s="222">
        <v>279320.4922122234</v>
      </c>
      <c r="P103" s="222">
        <v>266976.7934092561</v>
      </c>
      <c r="Q103" s="222">
        <v>546297.2856214795</v>
      </c>
      <c r="R103" s="224">
        <v>1.0545406303621173E8</v>
      </c>
      <c r="S103" s="222">
        <v>265.0</v>
      </c>
      <c r="T103" s="225"/>
    </row>
    <row r="104" ht="12.0" customHeight="1">
      <c r="C104" s="210">
        <v>96.0</v>
      </c>
      <c r="D104" s="211">
        <v>46508.0</v>
      </c>
      <c r="E104" s="210">
        <f t="shared" si="2"/>
        <v>564043.1456</v>
      </c>
      <c r="F104" s="210">
        <f t="shared" si="3"/>
        <v>536338.5525</v>
      </c>
      <c r="G104" s="210">
        <f t="shared" si="4"/>
        <v>1100381.698</v>
      </c>
      <c r="H104" s="170">
        <f t="shared" si="6"/>
        <v>211847264.8</v>
      </c>
      <c r="I104" s="210">
        <f t="shared" si="5"/>
        <v>264</v>
      </c>
      <c r="K104" s="174"/>
      <c r="L104" s="5"/>
      <c r="M104" s="222">
        <v>96.0</v>
      </c>
      <c r="N104" s="223">
        <v>46508.0</v>
      </c>
      <c r="O104" s="222">
        <v>280025.7764550593</v>
      </c>
      <c r="P104" s="222">
        <v>266271.5091664202</v>
      </c>
      <c r="Q104" s="222">
        <v>546297.2856214795</v>
      </c>
      <c r="R104" s="224">
        <v>1.0517403725975667E8</v>
      </c>
      <c r="S104" s="222">
        <v>264.0</v>
      </c>
      <c r="T104" s="225"/>
    </row>
    <row r="105" ht="12.0" customHeight="1">
      <c r="C105" s="210">
        <v>97.0</v>
      </c>
      <c r="D105" s="211">
        <v>46539.0</v>
      </c>
      <c r="E105" s="210">
        <f t="shared" si="2"/>
        <v>565467.3545</v>
      </c>
      <c r="F105" s="210">
        <f t="shared" si="3"/>
        <v>534914.3436</v>
      </c>
      <c r="G105" s="210">
        <f t="shared" si="4"/>
        <v>1100381.698</v>
      </c>
      <c r="H105" s="170">
        <f t="shared" si="6"/>
        <v>211281797.4</v>
      </c>
      <c r="I105" s="210">
        <f t="shared" si="5"/>
        <v>263</v>
      </c>
      <c r="K105" s="174"/>
      <c r="L105" s="5"/>
      <c r="M105" s="222">
        <v>97.0</v>
      </c>
      <c r="N105" s="223">
        <v>46539.0</v>
      </c>
      <c r="O105" s="222">
        <v>280732.8415406084</v>
      </c>
      <c r="P105" s="222">
        <v>265564.4440808711</v>
      </c>
      <c r="Q105" s="222">
        <v>546297.2856214795</v>
      </c>
      <c r="R105" s="224">
        <v>1.0489330441821606E8</v>
      </c>
      <c r="S105" s="222">
        <v>263.0</v>
      </c>
      <c r="T105" s="225"/>
    </row>
    <row r="106" ht="12.0" customHeight="1">
      <c r="C106" s="210">
        <v>98.0</v>
      </c>
      <c r="D106" s="211">
        <v>46569.0</v>
      </c>
      <c r="E106" s="210">
        <f t="shared" si="2"/>
        <v>566895.1596</v>
      </c>
      <c r="F106" s="210">
        <f t="shared" si="3"/>
        <v>533486.5385</v>
      </c>
      <c r="G106" s="210">
        <f t="shared" si="4"/>
        <v>1100381.698</v>
      </c>
      <c r="H106" s="170">
        <f t="shared" si="6"/>
        <v>210714902.3</v>
      </c>
      <c r="I106" s="210">
        <f t="shared" si="5"/>
        <v>262</v>
      </c>
      <c r="K106" s="174"/>
      <c r="L106" s="5"/>
      <c r="M106" s="222">
        <v>98.0</v>
      </c>
      <c r="N106" s="223">
        <v>46569.0</v>
      </c>
      <c r="O106" s="222">
        <v>281441.6919654984</v>
      </c>
      <c r="P106" s="222">
        <v>264855.5936559811</v>
      </c>
      <c r="Q106" s="222">
        <v>546297.2856214795</v>
      </c>
      <c r="R106" s="224">
        <v>1.0461186272625056E8</v>
      </c>
      <c r="S106" s="222">
        <v>262.0</v>
      </c>
      <c r="T106" s="225"/>
    </row>
    <row r="107" ht="12.0" customHeight="1">
      <c r="C107" s="210">
        <v>99.0</v>
      </c>
      <c r="D107" s="211">
        <v>46600.0</v>
      </c>
      <c r="E107" s="210">
        <f t="shared" si="2"/>
        <v>568326.5699</v>
      </c>
      <c r="F107" s="210">
        <f t="shared" si="3"/>
        <v>532055.1282</v>
      </c>
      <c r="G107" s="210">
        <f t="shared" si="4"/>
        <v>1100381.698</v>
      </c>
      <c r="H107" s="170">
        <f t="shared" si="6"/>
        <v>210146575.7</v>
      </c>
      <c r="I107" s="210">
        <f t="shared" si="5"/>
        <v>261</v>
      </c>
      <c r="K107" s="174"/>
      <c r="L107" s="5"/>
      <c r="M107" s="222">
        <v>99.0</v>
      </c>
      <c r="N107" s="223">
        <v>46600.0</v>
      </c>
      <c r="O107" s="222">
        <v>282152.33223771123</v>
      </c>
      <c r="P107" s="222">
        <v>264144.95338376827</v>
      </c>
      <c r="Q107" s="222">
        <v>546297.2856214795</v>
      </c>
      <c r="R107" s="224">
        <v>1.0432971039401285E8</v>
      </c>
      <c r="S107" s="222">
        <v>261.0</v>
      </c>
      <c r="T107" s="225"/>
    </row>
    <row r="108" ht="12.0" customHeight="1">
      <c r="C108" s="210">
        <v>100.0</v>
      </c>
      <c r="D108" s="211">
        <v>46631.0</v>
      </c>
      <c r="E108" s="210">
        <f t="shared" si="2"/>
        <v>569761.5945</v>
      </c>
      <c r="F108" s="210">
        <f t="shared" si="3"/>
        <v>530620.1036</v>
      </c>
      <c r="G108" s="210">
        <f t="shared" si="4"/>
        <v>1100381.698</v>
      </c>
      <c r="H108" s="170">
        <f t="shared" si="6"/>
        <v>209576814.1</v>
      </c>
      <c r="I108" s="210">
        <f t="shared" si="5"/>
        <v>260</v>
      </c>
      <c r="K108" s="174"/>
      <c r="L108" s="5"/>
      <c r="M108" s="222">
        <v>100.0</v>
      </c>
      <c r="N108" s="223">
        <v>46631.0</v>
      </c>
      <c r="O108" s="222">
        <v>282864.7668766115</v>
      </c>
      <c r="P108" s="222">
        <v>263432.518744868</v>
      </c>
      <c r="Q108" s="222">
        <v>546297.2856214795</v>
      </c>
      <c r="R108" s="224">
        <v>1.0404684562713625E8</v>
      </c>
      <c r="S108" s="222">
        <v>260.0</v>
      </c>
      <c r="T108" s="225"/>
    </row>
    <row r="109" ht="12.0" customHeight="1">
      <c r="C109" s="210">
        <v>101.0</v>
      </c>
      <c r="D109" s="211">
        <v>46661.0</v>
      </c>
      <c r="E109" s="210">
        <f t="shared" si="2"/>
        <v>571200.2425</v>
      </c>
      <c r="F109" s="210">
        <f t="shared" si="3"/>
        <v>529181.4556</v>
      </c>
      <c r="G109" s="210">
        <f t="shared" si="4"/>
        <v>1100381.698</v>
      </c>
      <c r="H109" s="170">
        <f t="shared" si="6"/>
        <v>209005613.9</v>
      </c>
      <c r="I109" s="210">
        <f t="shared" si="5"/>
        <v>259</v>
      </c>
      <c r="K109" s="174"/>
      <c r="L109" s="5"/>
      <c r="M109" s="222">
        <v>101.0</v>
      </c>
      <c r="N109" s="223">
        <v>46661.0</v>
      </c>
      <c r="O109" s="222">
        <v>283579.0004129749</v>
      </c>
      <c r="P109" s="222">
        <v>262718.2852085046</v>
      </c>
      <c r="Q109" s="222">
        <v>546297.2856214795</v>
      </c>
      <c r="R109" s="224">
        <v>1.0376326662672327E8</v>
      </c>
      <c r="S109" s="222">
        <v>259.0</v>
      </c>
      <c r="T109" s="225"/>
    </row>
    <row r="110" ht="12.0" customHeight="1">
      <c r="C110" s="210">
        <v>102.0</v>
      </c>
      <c r="D110" s="211">
        <v>46692.0</v>
      </c>
      <c r="E110" s="210">
        <f t="shared" si="2"/>
        <v>572642.5231</v>
      </c>
      <c r="F110" s="210">
        <f t="shared" si="3"/>
        <v>527739.175</v>
      </c>
      <c r="G110" s="210">
        <f t="shared" si="4"/>
        <v>1100381.698</v>
      </c>
      <c r="H110" s="170">
        <f t="shared" si="6"/>
        <v>208432971.3</v>
      </c>
      <c r="I110" s="210">
        <f t="shared" si="5"/>
        <v>258</v>
      </c>
      <c r="K110" s="174"/>
      <c r="L110" s="5"/>
      <c r="M110" s="222">
        <v>102.0</v>
      </c>
      <c r="N110" s="223">
        <v>46692.0</v>
      </c>
      <c r="O110" s="222">
        <v>284295.0373890177</v>
      </c>
      <c r="P110" s="222">
        <v>262002.2482324618</v>
      </c>
      <c r="Q110" s="222">
        <v>546297.2856214795</v>
      </c>
      <c r="R110" s="224">
        <v>1.0347897158933425E8</v>
      </c>
      <c r="S110" s="222">
        <v>258.0</v>
      </c>
      <c r="T110" s="225"/>
    </row>
    <row r="111" ht="12.0" customHeight="1">
      <c r="C111" s="210">
        <v>103.0</v>
      </c>
      <c r="D111" s="211">
        <v>46722.0</v>
      </c>
      <c r="E111" s="210">
        <f t="shared" si="2"/>
        <v>574088.4455</v>
      </c>
      <c r="F111" s="210">
        <f t="shared" si="3"/>
        <v>526293.2526</v>
      </c>
      <c r="G111" s="210">
        <f t="shared" si="4"/>
        <v>1100381.698</v>
      </c>
      <c r="H111" s="170">
        <f t="shared" si="6"/>
        <v>207858882.9</v>
      </c>
      <c r="I111" s="210">
        <f t="shared" si="5"/>
        <v>257</v>
      </c>
      <c r="K111" s="174"/>
      <c r="L111" s="5"/>
      <c r="M111" s="222">
        <v>103.0</v>
      </c>
      <c r="N111" s="223">
        <v>46722.0</v>
      </c>
      <c r="O111" s="222">
        <v>285012.88235842495</v>
      </c>
      <c r="P111" s="222">
        <v>261284.40326305456</v>
      </c>
      <c r="Q111" s="222">
        <v>546297.2856214795</v>
      </c>
      <c r="R111" s="224">
        <v>1.0319395870697582E8</v>
      </c>
      <c r="S111" s="222">
        <v>257.0</v>
      </c>
      <c r="T111" s="225"/>
    </row>
    <row r="112" ht="12.0" customHeight="1">
      <c r="C112" s="210">
        <v>104.0</v>
      </c>
      <c r="D112" s="211">
        <v>46753.0</v>
      </c>
      <c r="E112" s="210">
        <f t="shared" si="2"/>
        <v>575538.0188</v>
      </c>
      <c r="F112" s="210">
        <f t="shared" si="3"/>
        <v>524843.6793</v>
      </c>
      <c r="G112" s="210">
        <f t="shared" si="4"/>
        <v>1100381.698</v>
      </c>
      <c r="H112" s="170">
        <f t="shared" si="6"/>
        <v>207283344.9</v>
      </c>
      <c r="I112" s="210">
        <f t="shared" si="5"/>
        <v>256</v>
      </c>
      <c r="K112" s="174"/>
      <c r="L112" s="5"/>
      <c r="M112" s="222">
        <v>104.0</v>
      </c>
      <c r="N112" s="223">
        <v>46753.0</v>
      </c>
      <c r="O112" s="222">
        <v>285732.53988637996</v>
      </c>
      <c r="P112" s="222">
        <v>260564.74573509954</v>
      </c>
      <c r="Q112" s="222">
        <v>546297.2856214795</v>
      </c>
      <c r="R112" s="224">
        <v>1.0290822616708943E8</v>
      </c>
      <c r="S112" s="222">
        <v>256.0</v>
      </c>
      <c r="T112" s="225"/>
    </row>
    <row r="113" ht="12.0" customHeight="1">
      <c r="C113" s="210">
        <v>105.0</v>
      </c>
      <c r="D113" s="211">
        <v>46784.0</v>
      </c>
      <c r="E113" s="210">
        <f t="shared" si="2"/>
        <v>576991.2523</v>
      </c>
      <c r="F113" s="210">
        <f t="shared" si="3"/>
        <v>523390.4458</v>
      </c>
      <c r="G113" s="210">
        <f t="shared" si="4"/>
        <v>1100381.698</v>
      </c>
      <c r="H113" s="170">
        <f t="shared" si="6"/>
        <v>206706353.6</v>
      </c>
      <c r="I113" s="210">
        <f t="shared" si="5"/>
        <v>255</v>
      </c>
      <c r="K113" s="174"/>
      <c r="L113" s="5"/>
      <c r="M113" s="222">
        <v>105.0</v>
      </c>
      <c r="N113" s="223">
        <v>46784.0</v>
      </c>
      <c r="O113" s="222">
        <v>286454.01454959303</v>
      </c>
      <c r="P113" s="222">
        <v>259843.27107188647</v>
      </c>
      <c r="Q113" s="222">
        <v>546297.2856214795</v>
      </c>
      <c r="R113" s="224">
        <v>1.0262177215253983E8</v>
      </c>
      <c r="S113" s="222">
        <v>255.0</v>
      </c>
      <c r="T113" s="225"/>
    </row>
    <row r="114" ht="12.0" customHeight="1">
      <c r="C114" s="210">
        <v>106.0</v>
      </c>
      <c r="D114" s="211">
        <v>46813.0</v>
      </c>
      <c r="E114" s="210">
        <f t="shared" si="2"/>
        <v>578448.1552</v>
      </c>
      <c r="F114" s="210">
        <f t="shared" si="3"/>
        <v>521933.5429</v>
      </c>
      <c r="G114" s="210">
        <f t="shared" si="4"/>
        <v>1100381.698</v>
      </c>
      <c r="H114" s="170">
        <f t="shared" si="6"/>
        <v>206127905.5</v>
      </c>
      <c r="I114" s="210">
        <f t="shared" si="5"/>
        <v>254</v>
      </c>
      <c r="K114" s="174"/>
      <c r="L114" s="5"/>
      <c r="M114" s="222">
        <v>106.0</v>
      </c>
      <c r="N114" s="223">
        <v>46813.0</v>
      </c>
      <c r="O114" s="222">
        <v>287177.31093633076</v>
      </c>
      <c r="P114" s="222">
        <v>259119.97468514874</v>
      </c>
      <c r="Q114" s="222">
        <v>546297.2856214795</v>
      </c>
      <c r="R114" s="224">
        <v>1.023345948416035E8</v>
      </c>
      <c r="S114" s="222">
        <v>254.0</v>
      </c>
      <c r="T114" s="225"/>
    </row>
    <row r="115" ht="12.0" customHeight="1">
      <c r="C115" s="210">
        <v>107.0</v>
      </c>
      <c r="D115" s="211">
        <v>46844.0</v>
      </c>
      <c r="E115" s="210">
        <f t="shared" si="2"/>
        <v>579908.7368</v>
      </c>
      <c r="F115" s="210">
        <f t="shared" si="3"/>
        <v>520472.9613</v>
      </c>
      <c r="G115" s="210">
        <f t="shared" si="4"/>
        <v>1100381.698</v>
      </c>
      <c r="H115" s="170">
        <f t="shared" si="6"/>
        <v>205547996.7</v>
      </c>
      <c r="I115" s="210">
        <f t="shared" si="5"/>
        <v>253</v>
      </c>
      <c r="K115" s="174"/>
      <c r="L115" s="5"/>
      <c r="M115" s="222">
        <v>107.0</v>
      </c>
      <c r="N115" s="223">
        <v>46844.0</v>
      </c>
      <c r="O115" s="222">
        <v>287902.433646445</v>
      </c>
      <c r="P115" s="222">
        <v>258394.85197503451</v>
      </c>
      <c r="Q115" s="222">
        <v>546297.2856214795</v>
      </c>
      <c r="R115" s="224">
        <v>1.0204669240795706E8</v>
      </c>
      <c r="S115" s="222">
        <v>253.0</v>
      </c>
      <c r="T115" s="225"/>
    </row>
    <row r="116" ht="12.0" customHeight="1">
      <c r="C116" s="210">
        <v>108.0</v>
      </c>
      <c r="D116" s="211">
        <v>46874.0</v>
      </c>
      <c r="E116" s="210">
        <f t="shared" si="2"/>
        <v>581373.0064</v>
      </c>
      <c r="F116" s="210">
        <f t="shared" si="3"/>
        <v>519008.6917</v>
      </c>
      <c r="G116" s="210">
        <f t="shared" si="4"/>
        <v>1100381.698</v>
      </c>
      <c r="H116" s="170">
        <f t="shared" si="6"/>
        <v>204966623.7</v>
      </c>
      <c r="I116" s="210">
        <f t="shared" si="5"/>
        <v>252</v>
      </c>
      <c r="K116" s="174"/>
      <c r="L116" s="5"/>
      <c r="M116" s="222">
        <v>108.0</v>
      </c>
      <c r="N116" s="223">
        <v>46874.0</v>
      </c>
      <c r="O116" s="222">
        <v>288629.38729140226</v>
      </c>
      <c r="P116" s="222">
        <v>257667.89833007724</v>
      </c>
      <c r="Q116" s="222">
        <v>546297.2856214795</v>
      </c>
      <c r="R116" s="224">
        <v>1.0175806302066566E8</v>
      </c>
      <c r="S116" s="222">
        <v>252.0</v>
      </c>
      <c r="T116" s="225"/>
    </row>
    <row r="117" ht="12.0" customHeight="1">
      <c r="C117" s="210">
        <v>109.0</v>
      </c>
      <c r="D117" s="211">
        <v>46905.0</v>
      </c>
      <c r="E117" s="210">
        <f t="shared" si="2"/>
        <v>582840.9732</v>
      </c>
      <c r="F117" s="210">
        <f t="shared" si="3"/>
        <v>517540.7249</v>
      </c>
      <c r="G117" s="210">
        <f t="shared" si="4"/>
        <v>1100381.698</v>
      </c>
      <c r="H117" s="170">
        <f t="shared" si="6"/>
        <v>204383782.7</v>
      </c>
      <c r="I117" s="210">
        <f t="shared" si="5"/>
        <v>251</v>
      </c>
      <c r="K117" s="174"/>
      <c r="L117" s="5"/>
      <c r="M117" s="222">
        <v>109.0</v>
      </c>
      <c r="N117" s="223">
        <v>46905.0</v>
      </c>
      <c r="O117" s="222">
        <v>289358.1764943131</v>
      </c>
      <c r="P117" s="222">
        <v>256939.1091271664</v>
      </c>
      <c r="Q117" s="222">
        <v>546297.2856214795</v>
      </c>
      <c r="R117" s="224">
        <v>1.0146870484417135E8</v>
      </c>
      <c r="S117" s="222">
        <v>251.0</v>
      </c>
      <c r="T117" s="225"/>
    </row>
    <row r="118" ht="12.0" customHeight="1">
      <c r="C118" s="210">
        <v>110.0</v>
      </c>
      <c r="D118" s="211">
        <v>46935.0</v>
      </c>
      <c r="E118" s="210">
        <f t="shared" si="2"/>
        <v>584312.6467</v>
      </c>
      <c r="F118" s="210">
        <f t="shared" si="3"/>
        <v>516069.0514</v>
      </c>
      <c r="G118" s="210">
        <f t="shared" si="4"/>
        <v>1100381.698</v>
      </c>
      <c r="H118" s="170">
        <f t="shared" si="6"/>
        <v>203799470.1</v>
      </c>
      <c r="I118" s="210">
        <f t="shared" si="5"/>
        <v>250</v>
      </c>
      <c r="K118" s="174"/>
      <c r="L118" s="5"/>
      <c r="M118" s="222">
        <v>110.0</v>
      </c>
      <c r="N118" s="223">
        <v>46935.0</v>
      </c>
      <c r="O118" s="222">
        <v>290088.8058899612</v>
      </c>
      <c r="P118" s="222">
        <v>256208.4797315183</v>
      </c>
      <c r="Q118" s="222">
        <v>546297.2856214795</v>
      </c>
      <c r="R118" s="224">
        <v>1.0117861603828138E8</v>
      </c>
      <c r="S118" s="222">
        <v>250.0</v>
      </c>
      <c r="T118" s="225"/>
    </row>
    <row r="119" ht="12.0" customHeight="1">
      <c r="C119" s="210">
        <v>111.0</v>
      </c>
      <c r="D119" s="211">
        <v>46966.0</v>
      </c>
      <c r="E119" s="210">
        <f t="shared" si="2"/>
        <v>585788.0361</v>
      </c>
      <c r="F119" s="210">
        <f t="shared" si="3"/>
        <v>514593.662</v>
      </c>
      <c r="G119" s="210">
        <f t="shared" si="4"/>
        <v>1100381.698</v>
      </c>
      <c r="H119" s="170">
        <f t="shared" si="6"/>
        <v>203213682.1</v>
      </c>
      <c r="I119" s="210">
        <f t="shared" si="5"/>
        <v>249</v>
      </c>
      <c r="K119" s="174"/>
      <c r="L119" s="5"/>
      <c r="M119" s="222">
        <v>111.0</v>
      </c>
      <c r="N119" s="223">
        <v>46966.0</v>
      </c>
      <c r="O119" s="222">
        <v>290821.2801248334</v>
      </c>
      <c r="P119" s="222">
        <v>255476.0054966461</v>
      </c>
      <c r="Q119" s="222">
        <v>546297.2856214795</v>
      </c>
      <c r="R119" s="224">
        <v>1.0088779475815655E8</v>
      </c>
      <c r="S119" s="222">
        <v>249.0</v>
      </c>
      <c r="T119" s="225"/>
    </row>
    <row r="120" ht="12.0" customHeight="1">
      <c r="C120" s="210">
        <v>112.0</v>
      </c>
      <c r="D120" s="211">
        <v>46997.0</v>
      </c>
      <c r="E120" s="210">
        <f t="shared" si="2"/>
        <v>587267.1509</v>
      </c>
      <c r="F120" s="210">
        <f t="shared" si="3"/>
        <v>513114.5472</v>
      </c>
      <c r="G120" s="210">
        <f t="shared" si="4"/>
        <v>1100381.698</v>
      </c>
      <c r="H120" s="170">
        <f t="shared" si="6"/>
        <v>202626414.9</v>
      </c>
      <c r="I120" s="210">
        <f t="shared" si="5"/>
        <v>248</v>
      </c>
      <c r="K120" s="174"/>
      <c r="L120" s="5"/>
      <c r="M120" s="222">
        <v>112.0</v>
      </c>
      <c r="N120" s="223">
        <v>46997.0</v>
      </c>
      <c r="O120" s="222">
        <v>291555.60385714856</v>
      </c>
      <c r="P120" s="222">
        <v>254741.68176433095</v>
      </c>
      <c r="Q120" s="222">
        <v>546297.2856214795</v>
      </c>
      <c r="R120" s="224">
        <v>1.0059623915429941E8</v>
      </c>
      <c r="S120" s="222">
        <v>248.0</v>
      </c>
      <c r="T120" s="225"/>
    </row>
    <row r="121" ht="12.0" customHeight="1">
      <c r="C121" s="210">
        <v>113.0</v>
      </c>
      <c r="D121" s="211">
        <v>47027.0</v>
      </c>
      <c r="E121" s="210">
        <f t="shared" si="2"/>
        <v>588750.0004</v>
      </c>
      <c r="F121" s="210">
        <f t="shared" si="3"/>
        <v>511631.6977</v>
      </c>
      <c r="G121" s="210">
        <f t="shared" si="4"/>
        <v>1100381.698</v>
      </c>
      <c r="H121" s="170">
        <f t="shared" si="6"/>
        <v>202037664.9</v>
      </c>
      <c r="I121" s="210">
        <f t="shared" si="5"/>
        <v>247</v>
      </c>
      <c r="K121" s="174"/>
      <c r="L121" s="5"/>
      <c r="M121" s="222">
        <v>113.0</v>
      </c>
      <c r="N121" s="223">
        <v>47027.0</v>
      </c>
      <c r="O121" s="222">
        <v>292291.78175688785</v>
      </c>
      <c r="P121" s="222">
        <v>254005.50386459165</v>
      </c>
      <c r="Q121" s="222">
        <v>546297.2856214795</v>
      </c>
      <c r="R121" s="224">
        <v>1.0030394737254252E8</v>
      </c>
      <c r="S121" s="222">
        <v>247.0</v>
      </c>
      <c r="T121" s="225"/>
    </row>
    <row r="122" ht="12.0" customHeight="1">
      <c r="C122" s="210">
        <v>114.0</v>
      </c>
      <c r="D122" s="211">
        <v>47058.0</v>
      </c>
      <c r="E122" s="210">
        <f t="shared" si="2"/>
        <v>590236.5942</v>
      </c>
      <c r="F122" s="210">
        <f t="shared" si="3"/>
        <v>510145.1039</v>
      </c>
      <c r="G122" s="210">
        <f t="shared" si="4"/>
        <v>1100381.698</v>
      </c>
      <c r="H122" s="170">
        <f t="shared" si="6"/>
        <v>201447428.3</v>
      </c>
      <c r="I122" s="210">
        <f t="shared" si="5"/>
        <v>246</v>
      </c>
      <c r="K122" s="174"/>
      <c r="L122" s="5"/>
      <c r="M122" s="222">
        <v>114.0</v>
      </c>
      <c r="N122" s="223">
        <v>47058.0</v>
      </c>
      <c r="O122" s="222">
        <v>293029.8185058241</v>
      </c>
      <c r="P122" s="222">
        <v>253267.46711565543</v>
      </c>
      <c r="Q122" s="222">
        <v>546297.2856214795</v>
      </c>
      <c r="R122" s="224">
        <v>1.0001091755403669E8</v>
      </c>
      <c r="S122" s="222">
        <v>246.0</v>
      </c>
      <c r="T122" s="225"/>
    </row>
    <row r="123" ht="12.0" customHeight="1">
      <c r="C123" s="210">
        <v>115.0</v>
      </c>
      <c r="D123" s="211">
        <v>47088.0</v>
      </c>
      <c r="E123" s="210">
        <f t="shared" si="2"/>
        <v>591726.9416</v>
      </c>
      <c r="F123" s="210">
        <f t="shared" si="3"/>
        <v>508654.7565</v>
      </c>
      <c r="G123" s="210">
        <f t="shared" si="4"/>
        <v>1100381.698</v>
      </c>
      <c r="H123" s="170">
        <f t="shared" si="6"/>
        <v>200855701.4</v>
      </c>
      <c r="I123" s="210">
        <f t="shared" si="5"/>
        <v>245</v>
      </c>
      <c r="K123" s="174"/>
      <c r="L123" s="5"/>
      <c r="M123" s="222">
        <v>115.0</v>
      </c>
      <c r="N123" s="223">
        <v>47088.0</v>
      </c>
      <c r="O123" s="222">
        <v>293769.71879755124</v>
      </c>
      <c r="P123" s="222">
        <v>252527.56682392827</v>
      </c>
      <c r="Q123" s="222">
        <v>546297.2856214795</v>
      </c>
      <c r="R123" s="224">
        <v>9.971714783523914E7</v>
      </c>
      <c r="S123" s="222">
        <v>245.0</v>
      </c>
      <c r="T123" s="225"/>
    </row>
    <row r="124" ht="12.0" customHeight="1">
      <c r="C124" s="210">
        <v>116.0</v>
      </c>
      <c r="D124" s="211">
        <v>47119.0</v>
      </c>
      <c r="E124" s="210">
        <f t="shared" si="2"/>
        <v>593221.0521</v>
      </c>
      <c r="F124" s="210">
        <f t="shared" si="3"/>
        <v>507160.646</v>
      </c>
      <c r="G124" s="210">
        <f t="shared" si="4"/>
        <v>1100381.698</v>
      </c>
      <c r="H124" s="170">
        <f t="shared" si="6"/>
        <v>200262480.3</v>
      </c>
      <c r="I124" s="210">
        <f t="shared" si="5"/>
        <v>244</v>
      </c>
      <c r="K124" s="174"/>
      <c r="L124" s="5"/>
      <c r="M124" s="222">
        <v>116.0</v>
      </c>
      <c r="N124" s="223">
        <v>47119.0</v>
      </c>
      <c r="O124" s="222">
        <v>294511.48733751505</v>
      </c>
      <c r="P124" s="222">
        <v>251785.79828396445</v>
      </c>
      <c r="Q124" s="222">
        <v>546297.2856214795</v>
      </c>
      <c r="R124" s="224">
        <v>9.942263634790163E7</v>
      </c>
      <c r="S124" s="222">
        <v>244.0</v>
      </c>
      <c r="T124" s="225"/>
    </row>
    <row r="125" ht="12.0" customHeight="1">
      <c r="C125" s="210">
        <v>117.0</v>
      </c>
      <c r="D125" s="211">
        <v>47150.0</v>
      </c>
      <c r="E125" s="210">
        <f t="shared" si="2"/>
        <v>594718.9353</v>
      </c>
      <c r="F125" s="210">
        <f t="shared" si="3"/>
        <v>505662.7628</v>
      </c>
      <c r="G125" s="210">
        <f t="shared" si="4"/>
        <v>1100381.698</v>
      </c>
      <c r="H125" s="170">
        <f t="shared" si="6"/>
        <v>199667761.4</v>
      </c>
      <c r="I125" s="210">
        <f t="shared" si="5"/>
        <v>243</v>
      </c>
      <c r="K125" s="174"/>
      <c r="L125" s="5"/>
      <c r="M125" s="222">
        <v>117.0</v>
      </c>
      <c r="N125" s="223">
        <v>47150.0</v>
      </c>
      <c r="O125" s="222">
        <v>295255.1288430423</v>
      </c>
      <c r="P125" s="222">
        <v>251042.1567784372</v>
      </c>
      <c r="Q125" s="222">
        <v>546297.2856214795</v>
      </c>
      <c r="R125" s="224">
        <v>9.912738121905859E7</v>
      </c>
      <c r="S125" s="222">
        <v>243.0</v>
      </c>
      <c r="T125" s="225"/>
    </row>
    <row r="126" ht="12.0" customHeight="1">
      <c r="C126" s="210">
        <v>118.0</v>
      </c>
      <c r="D126" s="211">
        <v>47178.0</v>
      </c>
      <c r="E126" s="210">
        <f t="shared" si="2"/>
        <v>596220.6006</v>
      </c>
      <c r="F126" s="210">
        <f t="shared" si="3"/>
        <v>504161.0975</v>
      </c>
      <c r="G126" s="210">
        <f t="shared" si="4"/>
        <v>1100381.698</v>
      </c>
      <c r="H126" s="170">
        <f t="shared" si="6"/>
        <v>199071540.8</v>
      </c>
      <c r="I126" s="210">
        <f t="shared" si="5"/>
        <v>242</v>
      </c>
      <c r="K126" s="174"/>
      <c r="L126" s="5"/>
      <c r="M126" s="222">
        <v>118.0</v>
      </c>
      <c r="N126" s="223">
        <v>47178.0</v>
      </c>
      <c r="O126" s="222">
        <v>296000.648043371</v>
      </c>
      <c r="P126" s="222">
        <v>250296.63757810852</v>
      </c>
      <c r="Q126" s="222">
        <v>546297.2856214795</v>
      </c>
      <c r="R126" s="224">
        <v>9.883138057101522E7</v>
      </c>
      <c r="S126" s="222">
        <v>242.0</v>
      </c>
      <c r="T126" s="225"/>
    </row>
    <row r="127" ht="12.0" customHeight="1">
      <c r="C127" s="210">
        <v>119.0</v>
      </c>
      <c r="D127" s="211">
        <v>47209.0</v>
      </c>
      <c r="E127" s="210">
        <f t="shared" si="2"/>
        <v>597726.0576</v>
      </c>
      <c r="F127" s="210">
        <f t="shared" si="3"/>
        <v>502655.6405</v>
      </c>
      <c r="G127" s="210">
        <f t="shared" si="4"/>
        <v>1100381.698</v>
      </c>
      <c r="H127" s="170">
        <f t="shared" si="6"/>
        <v>198473814.7</v>
      </c>
      <c r="I127" s="210">
        <f t="shared" si="5"/>
        <v>241</v>
      </c>
      <c r="K127" s="174"/>
      <c r="L127" s="5"/>
      <c r="M127" s="222">
        <v>119.0</v>
      </c>
      <c r="N127" s="223">
        <v>47209.0</v>
      </c>
      <c r="O127" s="222">
        <v>296748.0496796805</v>
      </c>
      <c r="P127" s="222">
        <v>249549.235941799</v>
      </c>
      <c r="Q127" s="222">
        <v>546297.2856214795</v>
      </c>
      <c r="R127" s="224">
        <v>9.853463252133554E7</v>
      </c>
      <c r="S127" s="222">
        <v>241.0</v>
      </c>
      <c r="T127" s="225"/>
    </row>
    <row r="128" ht="12.0" customHeight="1">
      <c r="C128" s="210">
        <v>120.0</v>
      </c>
      <c r="D128" s="211">
        <v>47239.0</v>
      </c>
      <c r="E128" s="210">
        <f t="shared" si="2"/>
        <v>599235.3159</v>
      </c>
      <c r="F128" s="210">
        <f t="shared" si="3"/>
        <v>501146.3822</v>
      </c>
      <c r="G128" s="210">
        <f t="shared" si="4"/>
        <v>1100381.698</v>
      </c>
      <c r="H128" s="170">
        <f t="shared" si="6"/>
        <v>197874579.4</v>
      </c>
      <c r="I128" s="210">
        <f t="shared" si="5"/>
        <v>240</v>
      </c>
      <c r="K128" s="174"/>
      <c r="L128" s="5"/>
      <c r="M128" s="222">
        <v>120.0</v>
      </c>
      <c r="N128" s="223">
        <v>47239.0</v>
      </c>
      <c r="O128" s="222">
        <v>297497.3385051217</v>
      </c>
      <c r="P128" s="222">
        <v>248799.9471163578</v>
      </c>
      <c r="Q128" s="222">
        <v>546297.2856214795</v>
      </c>
      <c r="R128" s="224">
        <v>9.823713518283042E7</v>
      </c>
      <c r="S128" s="222">
        <v>240.0</v>
      </c>
      <c r="T128" s="225"/>
    </row>
    <row r="129" ht="12.0" customHeight="1">
      <c r="C129" s="210">
        <v>121.0</v>
      </c>
      <c r="D129" s="211">
        <v>47270.0</v>
      </c>
      <c r="E129" s="210">
        <f t="shared" si="2"/>
        <v>600748.3851</v>
      </c>
      <c r="F129" s="210">
        <f t="shared" si="3"/>
        <v>499633.313</v>
      </c>
      <c r="G129" s="210">
        <f t="shared" si="4"/>
        <v>1100381.698</v>
      </c>
      <c r="H129" s="170">
        <f t="shared" si="6"/>
        <v>197273831</v>
      </c>
      <c r="I129" s="210">
        <f t="shared" si="5"/>
        <v>239</v>
      </c>
      <c r="K129" s="174"/>
      <c r="L129" s="5"/>
      <c r="M129" s="222">
        <v>121.0</v>
      </c>
      <c r="N129" s="223">
        <v>47270.0</v>
      </c>
      <c r="O129" s="222">
        <v>298248.5192848471</v>
      </c>
      <c r="P129" s="222">
        <v>248048.76633663243</v>
      </c>
      <c r="Q129" s="222">
        <v>546297.2856214795</v>
      </c>
      <c r="R129" s="224">
        <v>9.793888666354558E7</v>
      </c>
      <c r="S129" s="222">
        <v>239.0</v>
      </c>
      <c r="T129" s="225"/>
    </row>
    <row r="130" ht="12.0" customHeight="1">
      <c r="C130" s="210">
        <v>122.0</v>
      </c>
      <c r="D130" s="211">
        <v>47300.0</v>
      </c>
      <c r="E130" s="210">
        <f t="shared" si="2"/>
        <v>602265.2747</v>
      </c>
      <c r="F130" s="210">
        <f t="shared" si="3"/>
        <v>498116.4234</v>
      </c>
      <c r="G130" s="210">
        <f t="shared" si="4"/>
        <v>1100381.698</v>
      </c>
      <c r="H130" s="170">
        <f t="shared" si="6"/>
        <v>196671565.8</v>
      </c>
      <c r="I130" s="210">
        <f t="shared" si="5"/>
        <v>238</v>
      </c>
      <c r="K130" s="174"/>
      <c r="L130" s="5"/>
      <c r="M130" s="222">
        <v>122.0</v>
      </c>
      <c r="N130" s="223">
        <v>47300.0</v>
      </c>
      <c r="O130" s="222">
        <v>299001.5967960413</v>
      </c>
      <c r="P130" s="222">
        <v>247295.6888254382</v>
      </c>
      <c r="Q130" s="222">
        <v>546297.2856214795</v>
      </c>
      <c r="R130" s="224">
        <v>9.763988506674954E7</v>
      </c>
      <c r="S130" s="222">
        <v>238.0</v>
      </c>
      <c r="T130" s="225"/>
    </row>
    <row r="131" ht="12.0" customHeight="1">
      <c r="C131" s="210">
        <v>123.0</v>
      </c>
      <c r="D131" s="211">
        <v>47331.0</v>
      </c>
      <c r="E131" s="210">
        <f t="shared" si="2"/>
        <v>603785.9946</v>
      </c>
      <c r="F131" s="210">
        <f t="shared" si="3"/>
        <v>496595.7035</v>
      </c>
      <c r="G131" s="210">
        <f t="shared" si="4"/>
        <v>1100381.698</v>
      </c>
      <c r="H131" s="170">
        <f t="shared" si="6"/>
        <v>196067779.8</v>
      </c>
      <c r="I131" s="210">
        <f t="shared" si="5"/>
        <v>237</v>
      </c>
      <c r="K131" s="174"/>
      <c r="L131" s="5"/>
      <c r="M131" s="222">
        <v>123.0</v>
      </c>
      <c r="N131" s="223">
        <v>47331.0</v>
      </c>
      <c r="O131" s="222">
        <v>299756.57582795137</v>
      </c>
      <c r="P131" s="222">
        <v>246540.70979352813</v>
      </c>
      <c r="Q131" s="222">
        <v>546297.2856214795</v>
      </c>
      <c r="R131" s="224">
        <v>9.734012849092159E7</v>
      </c>
      <c r="S131" s="222">
        <v>237.0</v>
      </c>
      <c r="T131" s="225"/>
    </row>
    <row r="132" ht="12.0" customHeight="1">
      <c r="C132" s="210">
        <v>124.0</v>
      </c>
      <c r="D132" s="211">
        <v>47362.0</v>
      </c>
      <c r="E132" s="210">
        <f t="shared" si="2"/>
        <v>605310.5542</v>
      </c>
      <c r="F132" s="210">
        <f t="shared" si="3"/>
        <v>495071.1439</v>
      </c>
      <c r="G132" s="210">
        <f t="shared" si="4"/>
        <v>1100381.698</v>
      </c>
      <c r="H132" s="170">
        <f t="shared" si="6"/>
        <v>195462469.2</v>
      </c>
      <c r="I132" s="210">
        <f t="shared" si="5"/>
        <v>236</v>
      </c>
      <c r="K132" s="174"/>
      <c r="L132" s="5"/>
      <c r="M132" s="222">
        <v>124.0</v>
      </c>
      <c r="N132" s="223">
        <v>47362.0</v>
      </c>
      <c r="O132" s="222">
        <v>300513.4611819169</v>
      </c>
      <c r="P132" s="222">
        <v>245783.82443956262</v>
      </c>
      <c r="Q132" s="222">
        <v>546297.2856214795</v>
      </c>
      <c r="R132" s="224">
        <v>9.703961502973966E7</v>
      </c>
      <c r="S132" s="222">
        <v>236.0</v>
      </c>
      <c r="T132" s="225"/>
    </row>
    <row r="133" ht="12.0" customHeight="1">
      <c r="C133" s="210">
        <v>125.0</v>
      </c>
      <c r="D133" s="211">
        <v>47392.0</v>
      </c>
      <c r="E133" s="210">
        <f t="shared" si="2"/>
        <v>606838.9633</v>
      </c>
      <c r="F133" s="210">
        <f t="shared" si="3"/>
        <v>493542.7348</v>
      </c>
      <c r="G133" s="210">
        <f t="shared" si="4"/>
        <v>1100381.698</v>
      </c>
      <c r="H133" s="170">
        <f t="shared" si="6"/>
        <v>194855630.2</v>
      </c>
      <c r="I133" s="210">
        <f t="shared" si="5"/>
        <v>235</v>
      </c>
      <c r="K133" s="174"/>
      <c r="L133" s="5"/>
      <c r="M133" s="222">
        <v>125.0</v>
      </c>
      <c r="N133" s="223">
        <v>47392.0</v>
      </c>
      <c r="O133" s="222">
        <v>301272.25767140125</v>
      </c>
      <c r="P133" s="222">
        <v>245025.02795007825</v>
      </c>
      <c r="Q133" s="222">
        <v>546297.2856214795</v>
      </c>
      <c r="R133" s="224">
        <v>9.673834277206826E7</v>
      </c>
      <c r="S133" s="222">
        <v>235.0</v>
      </c>
      <c r="T133" s="225"/>
    </row>
    <row r="134" ht="12.0" customHeight="1">
      <c r="C134" s="210">
        <v>126.0</v>
      </c>
      <c r="D134" s="211">
        <v>47423.0</v>
      </c>
      <c r="E134" s="210">
        <f t="shared" si="2"/>
        <v>608371.2317</v>
      </c>
      <c r="F134" s="210">
        <f t="shared" si="3"/>
        <v>492010.4664</v>
      </c>
      <c r="G134" s="210">
        <f t="shared" si="4"/>
        <v>1100381.698</v>
      </c>
      <c r="H134" s="170">
        <f t="shared" si="6"/>
        <v>194247259</v>
      </c>
      <c r="I134" s="210">
        <f t="shared" si="5"/>
        <v>234</v>
      </c>
      <c r="K134" s="174"/>
      <c r="L134" s="5"/>
      <c r="M134" s="222">
        <v>126.0</v>
      </c>
      <c r="N134" s="223">
        <v>47423.0</v>
      </c>
      <c r="O134" s="222">
        <v>302032.97012202156</v>
      </c>
      <c r="P134" s="222">
        <v>244264.31549945794</v>
      </c>
      <c r="Q134" s="222">
        <v>546297.2856214795</v>
      </c>
      <c r="R134" s="224">
        <v>9.643630980194624E7</v>
      </c>
      <c r="S134" s="222">
        <v>234.0</v>
      </c>
      <c r="T134" s="225"/>
    </row>
    <row r="135" ht="12.0" customHeight="1">
      <c r="C135" s="210">
        <v>127.0</v>
      </c>
      <c r="D135" s="211">
        <v>47453.0</v>
      </c>
      <c r="E135" s="210">
        <f t="shared" si="2"/>
        <v>609907.3691</v>
      </c>
      <c r="F135" s="210">
        <f t="shared" si="3"/>
        <v>490474.329</v>
      </c>
      <c r="G135" s="210">
        <f t="shared" si="4"/>
        <v>1100381.698</v>
      </c>
      <c r="H135" s="170">
        <f t="shared" si="6"/>
        <v>193637351.6</v>
      </c>
      <c r="I135" s="210">
        <f t="shared" si="5"/>
        <v>233</v>
      </c>
      <c r="K135" s="174"/>
      <c r="L135" s="5"/>
      <c r="M135" s="222">
        <v>127.0</v>
      </c>
      <c r="N135" s="223">
        <v>47453.0</v>
      </c>
      <c r="O135" s="222">
        <v>302795.60337157967</v>
      </c>
      <c r="P135" s="222">
        <v>243501.68224989984</v>
      </c>
      <c r="Q135" s="222">
        <v>546297.2856214795</v>
      </c>
      <c r="R135" s="224">
        <v>9.613351419857466E7</v>
      </c>
      <c r="S135" s="222">
        <v>233.0</v>
      </c>
      <c r="T135" s="225"/>
    </row>
    <row r="136" ht="12.0" customHeight="1">
      <c r="C136" s="210">
        <v>128.0</v>
      </c>
      <c r="D136" s="211">
        <v>47484.0</v>
      </c>
      <c r="E136" s="210">
        <f t="shared" si="2"/>
        <v>611447.3852</v>
      </c>
      <c r="F136" s="210">
        <f t="shared" si="3"/>
        <v>488934.3129</v>
      </c>
      <c r="G136" s="210">
        <f t="shared" si="4"/>
        <v>1100381.698</v>
      </c>
      <c r="H136" s="170">
        <f t="shared" si="6"/>
        <v>193025904.3</v>
      </c>
      <c r="I136" s="210">
        <f t="shared" si="5"/>
        <v>232</v>
      </c>
      <c r="K136" s="174"/>
      <c r="L136" s="5"/>
      <c r="M136" s="222">
        <v>128.0</v>
      </c>
      <c r="N136" s="223">
        <v>47484.0</v>
      </c>
      <c r="O136" s="222">
        <v>303560.1622700929</v>
      </c>
      <c r="P136" s="222">
        <v>242737.12335138663</v>
      </c>
      <c r="Q136" s="222">
        <v>546297.2856214795</v>
      </c>
      <c r="R136" s="224">
        <v>9.582995403630456E7</v>
      </c>
      <c r="S136" s="222">
        <v>232.0</v>
      </c>
      <c r="T136" s="225"/>
    </row>
    <row r="137" ht="12.0" customHeight="1">
      <c r="C137" s="210">
        <v>129.0</v>
      </c>
      <c r="D137" s="211">
        <v>47515.0</v>
      </c>
      <c r="E137" s="210">
        <f t="shared" si="2"/>
        <v>612991.2898</v>
      </c>
      <c r="F137" s="210">
        <f t="shared" si="3"/>
        <v>487390.4083</v>
      </c>
      <c r="G137" s="210">
        <f t="shared" si="4"/>
        <v>1100381.698</v>
      </c>
      <c r="H137" s="170">
        <f t="shared" si="6"/>
        <v>192412913</v>
      </c>
      <c r="I137" s="210">
        <f t="shared" si="5"/>
        <v>231</v>
      </c>
      <c r="K137" s="174"/>
      <c r="L137" s="5"/>
      <c r="M137" s="222">
        <v>129.0</v>
      </c>
      <c r="N137" s="223">
        <v>47515.0</v>
      </c>
      <c r="O137" s="222">
        <v>304326.65167982486</v>
      </c>
      <c r="P137" s="222">
        <v>241970.63394165464</v>
      </c>
      <c r="Q137" s="222">
        <v>546297.2856214795</v>
      </c>
      <c r="R137" s="224">
        <v>9.552562738462473E7</v>
      </c>
      <c r="S137" s="222">
        <v>231.0</v>
      </c>
      <c r="T137" s="225"/>
    </row>
    <row r="138" ht="12.0" customHeight="1">
      <c r="C138" s="210">
        <v>130.0</v>
      </c>
      <c r="D138" s="211">
        <v>47543.0</v>
      </c>
      <c r="E138" s="210">
        <f t="shared" si="2"/>
        <v>614539.0929</v>
      </c>
      <c r="F138" s="210">
        <f t="shared" si="3"/>
        <v>485842.6052</v>
      </c>
      <c r="G138" s="210">
        <f t="shared" si="4"/>
        <v>1100381.698</v>
      </c>
      <c r="H138" s="170">
        <f t="shared" si="6"/>
        <v>191798373.9</v>
      </c>
      <c r="I138" s="210">
        <f t="shared" si="5"/>
        <v>230</v>
      </c>
      <c r="K138" s="174"/>
      <c r="L138" s="5"/>
      <c r="M138" s="222">
        <v>130.0</v>
      </c>
      <c r="N138" s="223">
        <v>47543.0</v>
      </c>
      <c r="O138" s="222">
        <v>305095.0764753164</v>
      </c>
      <c r="P138" s="222">
        <v>241202.20914616308</v>
      </c>
      <c r="Q138" s="222">
        <v>546297.2856214795</v>
      </c>
      <c r="R138" s="224">
        <v>9.522053230814941E7</v>
      </c>
      <c r="S138" s="222">
        <v>230.0</v>
      </c>
      <c r="T138" s="225"/>
    </row>
    <row r="139" ht="12.0" customHeight="1">
      <c r="C139" s="210">
        <v>131.0</v>
      </c>
      <c r="D139" s="211">
        <v>47574.0</v>
      </c>
      <c r="E139" s="210">
        <f t="shared" si="2"/>
        <v>616090.8041</v>
      </c>
      <c r="F139" s="210">
        <f t="shared" si="3"/>
        <v>484290.894</v>
      </c>
      <c r="G139" s="210">
        <f t="shared" si="4"/>
        <v>1100381.698</v>
      </c>
      <c r="H139" s="170">
        <f t="shared" si="6"/>
        <v>191182283.1</v>
      </c>
      <c r="I139" s="210">
        <f t="shared" si="5"/>
        <v>229</v>
      </c>
      <c r="K139" s="174"/>
      <c r="L139" s="5"/>
      <c r="M139" s="222">
        <v>131.0</v>
      </c>
      <c r="N139" s="223">
        <v>47574.0</v>
      </c>
      <c r="O139" s="222">
        <v>305865.4415434166</v>
      </c>
      <c r="P139" s="222">
        <v>240431.84407806292</v>
      </c>
      <c r="Q139" s="222">
        <v>546297.2856214795</v>
      </c>
      <c r="R139" s="224">
        <v>9.4914666866606E7</v>
      </c>
      <c r="S139" s="222">
        <v>229.0</v>
      </c>
      <c r="T139" s="225"/>
    </row>
    <row r="140" ht="12.0" customHeight="1">
      <c r="C140" s="210">
        <v>132.0</v>
      </c>
      <c r="D140" s="211">
        <v>47604.0</v>
      </c>
      <c r="E140" s="210">
        <f t="shared" si="2"/>
        <v>617646.4333</v>
      </c>
      <c r="F140" s="210">
        <f t="shared" si="3"/>
        <v>482735.2648</v>
      </c>
      <c r="G140" s="210">
        <f t="shared" si="4"/>
        <v>1100381.698</v>
      </c>
      <c r="H140" s="170">
        <f t="shared" si="6"/>
        <v>190564636.6</v>
      </c>
      <c r="I140" s="210">
        <f t="shared" si="5"/>
        <v>228</v>
      </c>
      <c r="K140" s="174"/>
      <c r="L140" s="5"/>
      <c r="M140" s="222">
        <v>132.0</v>
      </c>
      <c r="N140" s="223">
        <v>47604.0</v>
      </c>
      <c r="O140" s="222">
        <v>306637.75178331375</v>
      </c>
      <c r="P140" s="222">
        <v>239659.53383816575</v>
      </c>
      <c r="Q140" s="222">
        <v>546297.2856214795</v>
      </c>
      <c r="R140" s="224">
        <v>9.460802911482269E7</v>
      </c>
      <c r="S140" s="222">
        <v>228.0</v>
      </c>
      <c r="T140" s="225"/>
    </row>
    <row r="141" ht="12.0" customHeight="1">
      <c r="C141" s="210">
        <v>133.0</v>
      </c>
      <c r="D141" s="211">
        <v>47635.0</v>
      </c>
      <c r="E141" s="210">
        <f t="shared" si="2"/>
        <v>619205.9906</v>
      </c>
      <c r="F141" s="210">
        <f t="shared" si="3"/>
        <v>481175.7075</v>
      </c>
      <c r="G141" s="210">
        <f t="shared" si="4"/>
        <v>1100381.698</v>
      </c>
      <c r="H141" s="170">
        <f t="shared" si="6"/>
        <v>189945430.6</v>
      </c>
      <c r="I141" s="210">
        <f t="shared" si="5"/>
        <v>227</v>
      </c>
      <c r="K141" s="174"/>
      <c r="L141" s="5"/>
      <c r="M141" s="222">
        <v>133.0</v>
      </c>
      <c r="N141" s="223">
        <v>47635.0</v>
      </c>
      <c r="O141" s="222">
        <v>307412.01210656663</v>
      </c>
      <c r="P141" s="222">
        <v>238885.27351491287</v>
      </c>
      <c r="Q141" s="222">
        <v>546297.2856214795</v>
      </c>
      <c r="R141" s="224">
        <v>9.430061710271612E7</v>
      </c>
      <c r="S141" s="222">
        <v>227.0</v>
      </c>
      <c r="T141" s="225"/>
    </row>
    <row r="142" ht="12.0" customHeight="1">
      <c r="C142" s="210">
        <v>134.0</v>
      </c>
      <c r="D142" s="211">
        <v>47665.0</v>
      </c>
      <c r="E142" s="210">
        <f t="shared" si="2"/>
        <v>620769.4857</v>
      </c>
      <c r="F142" s="210">
        <f t="shared" si="3"/>
        <v>479612.2124</v>
      </c>
      <c r="G142" s="210">
        <f t="shared" si="4"/>
        <v>1100381.698</v>
      </c>
      <c r="H142" s="170">
        <f t="shared" si="6"/>
        <v>189324661.2</v>
      </c>
      <c r="I142" s="210">
        <f t="shared" si="5"/>
        <v>226</v>
      </c>
      <c r="K142" s="174"/>
      <c r="L142" s="5"/>
      <c r="M142" s="222">
        <v>134.0</v>
      </c>
      <c r="N142" s="223">
        <v>47665.0</v>
      </c>
      <c r="O142" s="222">
        <v>308188.2274371357</v>
      </c>
      <c r="P142" s="222">
        <v>238109.0581843438</v>
      </c>
      <c r="Q142" s="222">
        <v>546297.2856214795</v>
      </c>
      <c r="R142" s="224">
        <v>9.399242887527898E7</v>
      </c>
      <c r="S142" s="222">
        <v>226.0</v>
      </c>
      <c r="T142" s="225"/>
    </row>
    <row r="143" ht="12.0" customHeight="1">
      <c r="C143" s="210">
        <v>135.0</v>
      </c>
      <c r="D143" s="211">
        <v>47696.0</v>
      </c>
      <c r="E143" s="210">
        <f t="shared" si="2"/>
        <v>622336.9287</v>
      </c>
      <c r="F143" s="210">
        <f t="shared" si="3"/>
        <v>478044.7694</v>
      </c>
      <c r="G143" s="210">
        <f t="shared" si="4"/>
        <v>1100381.698</v>
      </c>
      <c r="H143" s="170">
        <f t="shared" si="6"/>
        <v>188702324.2</v>
      </c>
      <c r="I143" s="210">
        <f t="shared" si="5"/>
        <v>225</v>
      </c>
      <c r="K143" s="174"/>
      <c r="L143" s="5"/>
      <c r="M143" s="222">
        <v>135.0</v>
      </c>
      <c r="N143" s="223">
        <v>47696.0</v>
      </c>
      <c r="O143" s="222">
        <v>308966.40271141444</v>
      </c>
      <c r="P143" s="222">
        <v>237330.88291006506</v>
      </c>
      <c r="Q143" s="222">
        <v>546297.2856214795</v>
      </c>
      <c r="R143" s="224">
        <v>9.368346247256756E7</v>
      </c>
      <c r="S143" s="222">
        <v>225.0</v>
      </c>
      <c r="T143" s="225"/>
    </row>
    <row r="144" ht="12.0" customHeight="1">
      <c r="C144" s="210">
        <v>136.0</v>
      </c>
      <c r="D144" s="211">
        <v>47727.0</v>
      </c>
      <c r="E144" s="210">
        <f t="shared" si="2"/>
        <v>623908.3294</v>
      </c>
      <c r="F144" s="210">
        <f t="shared" si="3"/>
        <v>476473.3687</v>
      </c>
      <c r="G144" s="210">
        <f t="shared" si="4"/>
        <v>1100381.698</v>
      </c>
      <c r="H144" s="170">
        <f t="shared" si="6"/>
        <v>188078415.9</v>
      </c>
      <c r="I144" s="210">
        <f t="shared" si="5"/>
        <v>224</v>
      </c>
      <c r="K144" s="174"/>
      <c r="L144" s="5"/>
      <c r="M144" s="222">
        <v>136.0</v>
      </c>
      <c r="N144" s="223">
        <v>47727.0</v>
      </c>
      <c r="O144" s="222">
        <v>309746.5428782607</v>
      </c>
      <c r="P144" s="222">
        <v>236550.74274321878</v>
      </c>
      <c r="Q144" s="222">
        <v>546297.2856214795</v>
      </c>
      <c r="R144" s="224">
        <v>9.33737159296893E7</v>
      </c>
      <c r="S144" s="222">
        <v>224.0</v>
      </c>
      <c r="T144" s="225"/>
    </row>
    <row r="145" ht="12.0" customHeight="1">
      <c r="C145" s="210">
        <v>137.0</v>
      </c>
      <c r="D145" s="211">
        <v>47757.0</v>
      </c>
      <c r="E145" s="210">
        <f t="shared" si="2"/>
        <v>625483.6979</v>
      </c>
      <c r="F145" s="210">
        <f t="shared" si="3"/>
        <v>474898.0002</v>
      </c>
      <c r="G145" s="210">
        <f t="shared" si="4"/>
        <v>1100381.698</v>
      </c>
      <c r="H145" s="170">
        <f t="shared" si="6"/>
        <v>187452932.2</v>
      </c>
      <c r="I145" s="210">
        <f t="shared" si="5"/>
        <v>223</v>
      </c>
      <c r="K145" s="174"/>
      <c r="L145" s="5"/>
      <c r="M145" s="222">
        <v>137.0</v>
      </c>
      <c r="N145" s="223">
        <v>47757.0</v>
      </c>
      <c r="O145" s="222">
        <v>310528.6528990284</v>
      </c>
      <c r="P145" s="222">
        <v>235768.63272245112</v>
      </c>
      <c r="Q145" s="222">
        <v>546297.2856214795</v>
      </c>
      <c r="R145" s="224">
        <v>9.306318727679028E7</v>
      </c>
      <c r="S145" s="222">
        <v>223.0</v>
      </c>
      <c r="T145" s="225"/>
    </row>
    <row r="146" ht="12.0" customHeight="1">
      <c r="C146" s="210">
        <v>138.0</v>
      </c>
      <c r="D146" s="211">
        <v>47788.0</v>
      </c>
      <c r="E146" s="210">
        <f t="shared" si="2"/>
        <v>627063.0443</v>
      </c>
      <c r="F146" s="210">
        <f t="shared" si="3"/>
        <v>473318.6538</v>
      </c>
      <c r="G146" s="210">
        <f t="shared" si="4"/>
        <v>1100381.698</v>
      </c>
      <c r="H146" s="170">
        <f t="shared" si="6"/>
        <v>186825869.2</v>
      </c>
      <c r="I146" s="210">
        <f t="shared" si="5"/>
        <v>222</v>
      </c>
      <c r="K146" s="174"/>
      <c r="L146" s="5"/>
      <c r="M146" s="222">
        <v>138.0</v>
      </c>
      <c r="N146" s="223">
        <v>47788.0</v>
      </c>
      <c r="O146" s="222">
        <v>311312.73774759844</v>
      </c>
      <c r="P146" s="222">
        <v>234984.54787388106</v>
      </c>
      <c r="Q146" s="222">
        <v>546297.2856214795</v>
      </c>
      <c r="R146" s="224">
        <v>9.275187453904268E7</v>
      </c>
      <c r="S146" s="222">
        <v>222.0</v>
      </c>
      <c r="T146" s="225"/>
    </row>
    <row r="147" ht="12.0" customHeight="1">
      <c r="C147" s="210">
        <v>139.0</v>
      </c>
      <c r="D147" s="211">
        <v>47818.0</v>
      </c>
      <c r="E147" s="210">
        <f t="shared" si="2"/>
        <v>628646.3785</v>
      </c>
      <c r="F147" s="210">
        <f t="shared" si="3"/>
        <v>471735.3196</v>
      </c>
      <c r="G147" s="210">
        <f t="shared" si="4"/>
        <v>1100381.698</v>
      </c>
      <c r="H147" s="170">
        <f t="shared" si="6"/>
        <v>186197222.8</v>
      </c>
      <c r="I147" s="210">
        <f t="shared" si="5"/>
        <v>221</v>
      </c>
      <c r="K147" s="174"/>
      <c r="L147" s="5"/>
      <c r="M147" s="222">
        <v>139.0</v>
      </c>
      <c r="N147" s="223">
        <v>47818.0</v>
      </c>
      <c r="O147" s="222">
        <v>312098.8024104111</v>
      </c>
      <c r="P147" s="222">
        <v>234198.48321106838</v>
      </c>
      <c r="Q147" s="222">
        <v>546297.2856214795</v>
      </c>
      <c r="R147" s="224">
        <v>9.243977573663227E7</v>
      </c>
      <c r="S147" s="222">
        <v>221.0</v>
      </c>
      <c r="T147" s="225"/>
    </row>
    <row r="148" ht="12.0" customHeight="1">
      <c r="C148" s="210">
        <v>140.0</v>
      </c>
      <c r="D148" s="211">
        <v>47849.0</v>
      </c>
      <c r="E148" s="210">
        <f t="shared" si="2"/>
        <v>630233.7106</v>
      </c>
      <c r="F148" s="210">
        <f t="shared" si="3"/>
        <v>470147.9875</v>
      </c>
      <c r="G148" s="210">
        <f t="shared" si="4"/>
        <v>1100381.698</v>
      </c>
      <c r="H148" s="170">
        <f t="shared" si="6"/>
        <v>185566989.1</v>
      </c>
      <c r="I148" s="210">
        <f t="shared" si="5"/>
        <v>220</v>
      </c>
      <c r="K148" s="174"/>
      <c r="L148" s="5"/>
      <c r="M148" s="222">
        <v>140.0</v>
      </c>
      <c r="N148" s="223">
        <v>47849.0</v>
      </c>
      <c r="O148" s="222">
        <v>312886.8518864974</v>
      </c>
      <c r="P148" s="222">
        <v>233410.4337349821</v>
      </c>
      <c r="Q148" s="222">
        <v>546297.2856214795</v>
      </c>
      <c r="R148" s="224">
        <v>9.212688888474578E7</v>
      </c>
      <c r="S148" s="222">
        <v>220.0</v>
      </c>
      <c r="T148" s="225"/>
    </row>
    <row r="149" ht="12.0" customHeight="1">
      <c r="C149" s="210">
        <v>141.0</v>
      </c>
      <c r="D149" s="211">
        <v>47880.0</v>
      </c>
      <c r="E149" s="210">
        <f t="shared" si="2"/>
        <v>631825.0507</v>
      </c>
      <c r="F149" s="210">
        <f t="shared" si="3"/>
        <v>468556.6474</v>
      </c>
      <c r="G149" s="210">
        <f t="shared" si="4"/>
        <v>1100381.698</v>
      </c>
      <c r="H149" s="170">
        <f t="shared" si="6"/>
        <v>184935164</v>
      </c>
      <c r="I149" s="210">
        <f t="shared" si="5"/>
        <v>219</v>
      </c>
      <c r="K149" s="174"/>
      <c r="L149" s="5"/>
      <c r="M149" s="222">
        <v>141.0</v>
      </c>
      <c r="N149" s="223">
        <v>47880.0</v>
      </c>
      <c r="O149" s="222">
        <v>313676.8911875108</v>
      </c>
      <c r="P149" s="222">
        <v>232620.3944339687</v>
      </c>
      <c r="Q149" s="222">
        <v>546297.2856214795</v>
      </c>
      <c r="R149" s="224">
        <v>9.181321199355827E7</v>
      </c>
      <c r="S149" s="222">
        <v>219.0</v>
      </c>
      <c r="T149" s="225"/>
    </row>
    <row r="150" ht="12.0" customHeight="1">
      <c r="C150" s="210">
        <v>142.0</v>
      </c>
      <c r="D150" s="211">
        <v>47908.0</v>
      </c>
      <c r="E150" s="210">
        <f t="shared" si="2"/>
        <v>633420.4089</v>
      </c>
      <c r="F150" s="210">
        <f t="shared" si="3"/>
        <v>466961.2892</v>
      </c>
      <c r="G150" s="210">
        <f t="shared" si="4"/>
        <v>1100381.698</v>
      </c>
      <c r="H150" s="170">
        <f t="shared" si="6"/>
        <v>184301743.6</v>
      </c>
      <c r="I150" s="210">
        <f t="shared" si="5"/>
        <v>218</v>
      </c>
      <c r="K150" s="174"/>
      <c r="L150" s="5"/>
      <c r="M150" s="222">
        <v>142.0</v>
      </c>
      <c r="N150" s="223">
        <v>47908.0</v>
      </c>
      <c r="O150" s="222">
        <v>314468.9253377593</v>
      </c>
      <c r="P150" s="222">
        <v>231828.3602837202</v>
      </c>
      <c r="Q150" s="222">
        <v>546297.2856214795</v>
      </c>
      <c r="R150" s="224">
        <v>9.149874306822051E7</v>
      </c>
      <c r="S150" s="222">
        <v>218.0</v>
      </c>
      <c r="T150" s="225"/>
    </row>
    <row r="151" ht="12.0" customHeight="1">
      <c r="C151" s="210">
        <v>143.0</v>
      </c>
      <c r="D151" s="211">
        <v>47939.0</v>
      </c>
      <c r="E151" s="210">
        <f t="shared" si="2"/>
        <v>635019.7955</v>
      </c>
      <c r="F151" s="210">
        <f t="shared" si="3"/>
        <v>465361.9026</v>
      </c>
      <c r="G151" s="210">
        <f t="shared" si="4"/>
        <v>1100381.698</v>
      </c>
      <c r="H151" s="170">
        <f t="shared" si="6"/>
        <v>183666723.8</v>
      </c>
      <c r="I151" s="210">
        <f t="shared" si="5"/>
        <v>217</v>
      </c>
      <c r="K151" s="174"/>
      <c r="L151" s="5"/>
      <c r="M151" s="222">
        <v>143.0</v>
      </c>
      <c r="N151" s="223">
        <v>47939.0</v>
      </c>
      <c r="O151" s="222">
        <v>315262.9593742371</v>
      </c>
      <c r="P151" s="222">
        <v>231034.3262472424</v>
      </c>
      <c r="Q151" s="222">
        <v>546297.2856214795</v>
      </c>
      <c r="R151" s="224">
        <v>9.118348010884628E7</v>
      </c>
      <c r="S151" s="222">
        <v>217.0</v>
      </c>
      <c r="T151" s="225"/>
    </row>
    <row r="152" ht="12.0" customHeight="1">
      <c r="C152" s="210">
        <v>144.0</v>
      </c>
      <c r="D152" s="211">
        <v>47969.0</v>
      </c>
      <c r="E152" s="210">
        <f t="shared" si="2"/>
        <v>636623.2205</v>
      </c>
      <c r="F152" s="210">
        <f t="shared" si="3"/>
        <v>463758.4776</v>
      </c>
      <c r="G152" s="210">
        <f t="shared" si="4"/>
        <v>1100381.698</v>
      </c>
      <c r="H152" s="170">
        <f t="shared" si="6"/>
        <v>183030100.6</v>
      </c>
      <c r="I152" s="210">
        <f t="shared" si="5"/>
        <v>216</v>
      </c>
      <c r="K152" s="174"/>
      <c r="L152" s="5"/>
      <c r="M152" s="222">
        <v>144.0</v>
      </c>
      <c r="N152" s="223">
        <v>47969.0</v>
      </c>
      <c r="O152" s="222">
        <v>316058.998346657</v>
      </c>
      <c r="P152" s="222">
        <v>230238.28727482248</v>
      </c>
      <c r="Q152" s="222">
        <v>546297.2856214795</v>
      </c>
      <c r="R152" s="224">
        <v>9.086742111049962E7</v>
      </c>
      <c r="S152" s="222">
        <v>216.0</v>
      </c>
      <c r="T152" s="225"/>
    </row>
    <row r="153" ht="12.0" customHeight="1">
      <c r="C153" s="210">
        <v>145.0</v>
      </c>
      <c r="D153" s="211">
        <v>48000.0</v>
      </c>
      <c r="E153" s="210">
        <f t="shared" si="2"/>
        <v>638230.6941</v>
      </c>
      <c r="F153" s="210">
        <f t="shared" si="3"/>
        <v>462151.004</v>
      </c>
      <c r="G153" s="210">
        <f t="shared" si="4"/>
        <v>1100381.698</v>
      </c>
      <c r="H153" s="170">
        <f t="shared" si="6"/>
        <v>182391869.9</v>
      </c>
      <c r="I153" s="210">
        <f t="shared" si="5"/>
        <v>215</v>
      </c>
      <c r="K153" s="174"/>
      <c r="L153" s="5"/>
      <c r="M153" s="222">
        <v>145.0</v>
      </c>
      <c r="N153" s="223">
        <v>48000.0</v>
      </c>
      <c r="O153" s="222">
        <v>316857.0473174824</v>
      </c>
      <c r="P153" s="222">
        <v>229440.2383039971</v>
      </c>
      <c r="Q153" s="222">
        <v>546297.2856214795</v>
      </c>
      <c r="R153" s="224">
        <v>9.055056406318215E7</v>
      </c>
      <c r="S153" s="222">
        <v>215.0</v>
      </c>
      <c r="T153" s="225"/>
    </row>
    <row r="154" ht="12.0" customHeight="1">
      <c r="C154" s="210">
        <v>146.0</v>
      </c>
      <c r="D154" s="211">
        <v>48030.0</v>
      </c>
      <c r="E154" s="210">
        <f t="shared" si="2"/>
        <v>639842.2266</v>
      </c>
      <c r="F154" s="210">
        <f t="shared" si="3"/>
        <v>460539.4715</v>
      </c>
      <c r="G154" s="210">
        <f t="shared" si="4"/>
        <v>1100381.698</v>
      </c>
      <c r="H154" s="170">
        <f t="shared" si="6"/>
        <v>181752027.7</v>
      </c>
      <c r="I154" s="210">
        <f t="shared" si="5"/>
        <v>214</v>
      </c>
      <c r="K154" s="174"/>
      <c r="L154" s="5"/>
      <c r="M154" s="222">
        <v>146.0</v>
      </c>
      <c r="N154" s="223">
        <v>48030.0</v>
      </c>
      <c r="O154" s="222">
        <v>317657.11136195896</v>
      </c>
      <c r="P154" s="222">
        <v>228640.17425952054</v>
      </c>
      <c r="Q154" s="222">
        <v>546297.2856214795</v>
      </c>
      <c r="R154" s="224">
        <v>9.023290695182018E7</v>
      </c>
      <c r="S154" s="222">
        <v>214.0</v>
      </c>
      <c r="T154" s="225"/>
    </row>
    <row r="155" ht="12.0" customHeight="1">
      <c r="C155" s="210">
        <v>147.0</v>
      </c>
      <c r="D155" s="211">
        <v>48061.0</v>
      </c>
      <c r="E155" s="210">
        <f t="shared" si="2"/>
        <v>641457.8282</v>
      </c>
      <c r="F155" s="210">
        <f t="shared" si="3"/>
        <v>458923.8699</v>
      </c>
      <c r="G155" s="210">
        <f t="shared" si="4"/>
        <v>1100381.698</v>
      </c>
      <c r="H155" s="170">
        <f t="shared" si="6"/>
        <v>181110569.8</v>
      </c>
      <c r="I155" s="210">
        <f t="shared" si="5"/>
        <v>213</v>
      </c>
      <c r="K155" s="174"/>
      <c r="L155" s="5"/>
      <c r="M155" s="222">
        <v>147.0</v>
      </c>
      <c r="N155" s="223">
        <v>48061.0</v>
      </c>
      <c r="O155" s="222">
        <v>318459.19556814793</v>
      </c>
      <c r="P155" s="222">
        <v>227838.09005333157</v>
      </c>
      <c r="Q155" s="222">
        <v>546297.2856214795</v>
      </c>
      <c r="R155" s="224">
        <v>8.991444775625204E7</v>
      </c>
      <c r="S155" s="222">
        <v>213.0</v>
      </c>
      <c r="T155" s="225"/>
    </row>
    <row r="156" ht="12.0" customHeight="1">
      <c r="C156" s="210">
        <v>148.0</v>
      </c>
      <c r="D156" s="211">
        <v>48092.0</v>
      </c>
      <c r="E156" s="210">
        <f t="shared" si="2"/>
        <v>643077.5092</v>
      </c>
      <c r="F156" s="210">
        <f t="shared" si="3"/>
        <v>457304.1889</v>
      </c>
      <c r="G156" s="210">
        <f t="shared" si="4"/>
        <v>1100381.698</v>
      </c>
      <c r="H156" s="170">
        <f t="shared" si="6"/>
        <v>180467492.3</v>
      </c>
      <c r="I156" s="210">
        <f t="shared" si="5"/>
        <v>212</v>
      </c>
      <c r="K156" s="174"/>
      <c r="L156" s="5"/>
      <c r="M156" s="222">
        <v>148.0</v>
      </c>
      <c r="N156" s="223">
        <v>48092.0</v>
      </c>
      <c r="O156" s="222">
        <v>319263.3050369575</v>
      </c>
      <c r="P156" s="222">
        <v>227033.980584522</v>
      </c>
      <c r="Q156" s="222">
        <v>546297.2856214795</v>
      </c>
      <c r="R156" s="224">
        <v>8.959518445121507E7</v>
      </c>
      <c r="S156" s="222">
        <v>212.0</v>
      </c>
      <c r="T156" s="225"/>
    </row>
    <row r="157" ht="12.0" customHeight="1">
      <c r="C157" s="210">
        <v>149.0</v>
      </c>
      <c r="D157" s="211">
        <v>48122.0</v>
      </c>
      <c r="E157" s="210">
        <f t="shared" si="2"/>
        <v>644701.2799</v>
      </c>
      <c r="F157" s="210">
        <f t="shared" si="3"/>
        <v>455680.4182</v>
      </c>
      <c r="G157" s="210">
        <f t="shared" si="4"/>
        <v>1100381.698</v>
      </c>
      <c r="H157" s="170">
        <f t="shared" si="6"/>
        <v>179822791.1</v>
      </c>
      <c r="I157" s="210">
        <f t="shared" si="5"/>
        <v>211</v>
      </c>
      <c r="K157" s="174"/>
      <c r="L157" s="5"/>
      <c r="M157" s="222">
        <v>149.0</v>
      </c>
      <c r="N157" s="223">
        <v>48122.0</v>
      </c>
      <c r="O157" s="222">
        <v>320069.4448821758</v>
      </c>
      <c r="P157" s="222">
        <v>226227.84073930368</v>
      </c>
      <c r="Q157" s="222">
        <v>546297.2856214795</v>
      </c>
      <c r="R157" s="224">
        <v>8.92751150063329E7</v>
      </c>
      <c r="S157" s="222">
        <v>211.0</v>
      </c>
      <c r="T157" s="225"/>
    </row>
    <row r="158" ht="12.0" customHeight="1">
      <c r="C158" s="210">
        <v>150.0</v>
      </c>
      <c r="D158" s="211">
        <v>48153.0</v>
      </c>
      <c r="E158" s="210">
        <f t="shared" si="2"/>
        <v>646329.1507</v>
      </c>
      <c r="F158" s="210">
        <f t="shared" si="3"/>
        <v>454052.5474</v>
      </c>
      <c r="G158" s="210">
        <f t="shared" si="4"/>
        <v>1100381.698</v>
      </c>
      <c r="H158" s="170">
        <f t="shared" si="6"/>
        <v>179176461.9</v>
      </c>
      <c r="I158" s="210">
        <f t="shared" si="5"/>
        <v>210</v>
      </c>
      <c r="K158" s="174"/>
      <c r="L158" s="5"/>
      <c r="M158" s="222">
        <v>150.0</v>
      </c>
      <c r="N158" s="223">
        <v>48153.0</v>
      </c>
      <c r="O158" s="222">
        <v>320877.6202305034</v>
      </c>
      <c r="P158" s="222">
        <v>225419.66539097612</v>
      </c>
      <c r="Q158" s="222">
        <v>546297.2856214795</v>
      </c>
      <c r="R158" s="224">
        <v>8.895423738610241E7</v>
      </c>
      <c r="S158" s="222">
        <v>210.0</v>
      </c>
      <c r="T158" s="225"/>
    </row>
    <row r="159" ht="12.0" customHeight="1">
      <c r="C159" s="210">
        <v>151.0</v>
      </c>
      <c r="D159" s="211">
        <v>48183.0</v>
      </c>
      <c r="E159" s="210">
        <f t="shared" si="2"/>
        <v>647961.1318</v>
      </c>
      <c r="F159" s="210">
        <f t="shared" si="3"/>
        <v>452420.5663</v>
      </c>
      <c r="G159" s="210">
        <f t="shared" si="4"/>
        <v>1100381.698</v>
      </c>
      <c r="H159" s="170">
        <f t="shared" si="6"/>
        <v>178528500.8</v>
      </c>
      <c r="I159" s="210">
        <f t="shared" si="5"/>
        <v>209</v>
      </c>
      <c r="K159" s="174"/>
      <c r="L159" s="5"/>
      <c r="M159" s="222">
        <v>151.0</v>
      </c>
      <c r="N159" s="223">
        <v>48183.0</v>
      </c>
      <c r="O159" s="222">
        <v>321687.8362215854</v>
      </c>
      <c r="P159" s="222">
        <v>224609.4493998941</v>
      </c>
      <c r="Q159" s="222">
        <v>546297.2856214795</v>
      </c>
      <c r="R159" s="224">
        <v>8.863254954988082E7</v>
      </c>
      <c r="S159" s="222">
        <v>209.0</v>
      </c>
      <c r="T159" s="225"/>
    </row>
    <row r="160" ht="12.0" customHeight="1">
      <c r="C160" s="210">
        <v>152.0</v>
      </c>
      <c r="D160" s="211">
        <v>48214.0</v>
      </c>
      <c r="E160" s="210">
        <f t="shared" si="2"/>
        <v>649597.2336</v>
      </c>
      <c r="F160" s="210">
        <f t="shared" si="3"/>
        <v>450784.4645</v>
      </c>
      <c r="G160" s="210">
        <f t="shared" si="4"/>
        <v>1100381.698</v>
      </c>
      <c r="H160" s="170">
        <f t="shared" si="6"/>
        <v>177878903.5</v>
      </c>
      <c r="I160" s="210">
        <f t="shared" si="5"/>
        <v>208</v>
      </c>
      <c r="K160" s="174"/>
      <c r="L160" s="5"/>
      <c r="M160" s="222">
        <v>152.0</v>
      </c>
      <c r="N160" s="223">
        <v>48214.0</v>
      </c>
      <c r="O160" s="222">
        <v>322500.0980080449</v>
      </c>
      <c r="P160" s="222">
        <v>223797.18761343462</v>
      </c>
      <c r="Q160" s="222">
        <v>546297.2856214795</v>
      </c>
      <c r="R160" s="224">
        <v>8.831004945187277E7</v>
      </c>
      <c r="S160" s="222">
        <v>208.0</v>
      </c>
      <c r="T160" s="225"/>
    </row>
    <row r="161" ht="12.0" customHeight="1">
      <c r="C161" s="210">
        <v>153.0</v>
      </c>
      <c r="D161" s="211">
        <v>48245.0</v>
      </c>
      <c r="E161" s="210">
        <f t="shared" si="2"/>
        <v>651237.4667</v>
      </c>
      <c r="F161" s="210">
        <f t="shared" si="3"/>
        <v>449144.2314</v>
      </c>
      <c r="G161" s="210">
        <f t="shared" si="4"/>
        <v>1100381.698</v>
      </c>
      <c r="H161" s="170">
        <f t="shared" si="6"/>
        <v>177227666.1</v>
      </c>
      <c r="I161" s="210">
        <f t="shared" si="5"/>
        <v>207</v>
      </c>
      <c r="K161" s="174"/>
      <c r="L161" s="5"/>
      <c r="M161" s="222">
        <v>153.0</v>
      </c>
      <c r="N161" s="223">
        <v>48245.0</v>
      </c>
      <c r="O161" s="222">
        <v>323314.41075551516</v>
      </c>
      <c r="P161" s="222">
        <v>222982.87486596435</v>
      </c>
      <c r="Q161" s="222">
        <v>546297.2856214795</v>
      </c>
      <c r="R161" s="224">
        <v>8.798673504111725E7</v>
      </c>
      <c r="S161" s="222">
        <v>207.0</v>
      </c>
      <c r="T161" s="225"/>
    </row>
    <row r="162" ht="12.0" customHeight="1">
      <c r="C162" s="210">
        <v>154.0</v>
      </c>
      <c r="D162" s="211">
        <v>48274.0</v>
      </c>
      <c r="E162" s="210">
        <f t="shared" si="2"/>
        <v>652881.8413</v>
      </c>
      <c r="F162" s="210">
        <f t="shared" si="3"/>
        <v>447499.8568</v>
      </c>
      <c r="G162" s="210">
        <f t="shared" si="4"/>
        <v>1100381.698</v>
      </c>
      <c r="H162" s="170">
        <f t="shared" si="6"/>
        <v>176574784.2</v>
      </c>
      <c r="I162" s="210">
        <f t="shared" si="5"/>
        <v>206</v>
      </c>
      <c r="K162" s="174"/>
      <c r="L162" s="5"/>
      <c r="M162" s="222">
        <v>154.0</v>
      </c>
      <c r="N162" s="223">
        <v>48274.0</v>
      </c>
      <c r="O162" s="222">
        <v>324130.77964267286</v>
      </c>
      <c r="P162" s="222">
        <v>222166.50597880664</v>
      </c>
      <c r="Q162" s="222">
        <v>546297.2856214795</v>
      </c>
      <c r="R162" s="224">
        <v>8.766260426147458E7</v>
      </c>
      <c r="S162" s="222">
        <v>206.0</v>
      </c>
      <c r="T162" s="225"/>
    </row>
    <row r="163" ht="12.0" customHeight="1">
      <c r="C163" s="210">
        <v>155.0</v>
      </c>
      <c r="D163" s="211">
        <v>48305.0</v>
      </c>
      <c r="E163" s="210">
        <f t="shared" si="2"/>
        <v>654530.3679</v>
      </c>
      <c r="F163" s="210">
        <f t="shared" si="3"/>
        <v>445851.3302</v>
      </c>
      <c r="G163" s="210">
        <f t="shared" si="4"/>
        <v>1100381.698</v>
      </c>
      <c r="H163" s="170">
        <f t="shared" si="6"/>
        <v>175920253.9</v>
      </c>
      <c r="I163" s="210">
        <f t="shared" si="5"/>
        <v>205</v>
      </c>
      <c r="K163" s="174"/>
      <c r="L163" s="5"/>
      <c r="M163" s="222">
        <v>155.0</v>
      </c>
      <c r="N163" s="223">
        <v>48305.0</v>
      </c>
      <c r="O163" s="222">
        <v>324949.2098612706</v>
      </c>
      <c r="P163" s="222">
        <v>221348.07576020889</v>
      </c>
      <c r="Q163" s="222">
        <v>546297.2856214795</v>
      </c>
      <c r="R163" s="224">
        <v>8.733765505161332E7</v>
      </c>
      <c r="S163" s="222">
        <v>205.0</v>
      </c>
      <c r="T163" s="225"/>
    </row>
    <row r="164" ht="12.0" customHeight="1">
      <c r="C164" s="210">
        <v>156.0</v>
      </c>
      <c r="D164" s="211">
        <v>48335.0</v>
      </c>
      <c r="E164" s="210">
        <f t="shared" si="2"/>
        <v>656183.0571</v>
      </c>
      <c r="F164" s="210">
        <f t="shared" si="3"/>
        <v>444198.641</v>
      </c>
      <c r="G164" s="210">
        <f t="shared" si="4"/>
        <v>1100381.698</v>
      </c>
      <c r="H164" s="170">
        <f t="shared" si="6"/>
        <v>175264070.8</v>
      </c>
      <c r="I164" s="210">
        <f t="shared" si="5"/>
        <v>204</v>
      </c>
      <c r="K164" s="174"/>
      <c r="L164" s="5"/>
      <c r="M164" s="222">
        <v>156.0</v>
      </c>
      <c r="N164" s="223">
        <v>48335.0</v>
      </c>
      <c r="O164" s="222">
        <v>325769.7066161703</v>
      </c>
      <c r="P164" s="222">
        <v>220527.5790053092</v>
      </c>
      <c r="Q164" s="222">
        <v>546297.2856214795</v>
      </c>
      <c r="R164" s="224">
        <v>8.701188534499715E7</v>
      </c>
      <c r="S164" s="222">
        <v>204.0</v>
      </c>
      <c r="T164" s="225"/>
    </row>
    <row r="165" ht="12.0" customHeight="1">
      <c r="C165" s="210">
        <v>157.0</v>
      </c>
      <c r="D165" s="211">
        <v>48366.0</v>
      </c>
      <c r="E165" s="210">
        <f t="shared" si="2"/>
        <v>657839.9193</v>
      </c>
      <c r="F165" s="210">
        <f t="shared" si="3"/>
        <v>442541.7788</v>
      </c>
      <c r="G165" s="210">
        <f t="shared" si="4"/>
        <v>1100381.698</v>
      </c>
      <c r="H165" s="170">
        <f t="shared" si="6"/>
        <v>174606230.9</v>
      </c>
      <c r="I165" s="210">
        <f t="shared" si="5"/>
        <v>203</v>
      </c>
      <c r="K165" s="174"/>
      <c r="L165" s="5"/>
      <c r="M165" s="222">
        <v>157.0</v>
      </c>
      <c r="N165" s="223">
        <v>48366.0</v>
      </c>
      <c r="O165" s="222">
        <v>326592.2751253761</v>
      </c>
      <c r="P165" s="222">
        <v>219705.01049610338</v>
      </c>
      <c r="Q165" s="222">
        <v>546297.2856214795</v>
      </c>
      <c r="R165" s="224">
        <v>8.668529306987178E7</v>
      </c>
      <c r="S165" s="222">
        <v>203.0</v>
      </c>
      <c r="T165" s="225"/>
    </row>
    <row r="166" ht="12.0" customHeight="1">
      <c r="C166" s="210">
        <v>158.0</v>
      </c>
      <c r="D166" s="211">
        <v>48396.0</v>
      </c>
      <c r="E166" s="210">
        <f t="shared" si="2"/>
        <v>659500.9651</v>
      </c>
      <c r="F166" s="210">
        <f t="shared" si="3"/>
        <v>440880.733</v>
      </c>
      <c r="G166" s="210">
        <f t="shared" si="4"/>
        <v>1100381.698</v>
      </c>
      <c r="H166" s="170">
        <f t="shared" si="6"/>
        <v>173946729.9</v>
      </c>
      <c r="I166" s="210">
        <f t="shared" si="5"/>
        <v>202</v>
      </c>
      <c r="K166" s="174"/>
      <c r="L166" s="5"/>
      <c r="M166" s="222">
        <v>158.0</v>
      </c>
      <c r="N166" s="223">
        <v>48396.0</v>
      </c>
      <c r="O166" s="222">
        <v>327416.92062006774</v>
      </c>
      <c r="P166" s="222">
        <v>218880.36500141176</v>
      </c>
      <c r="Q166" s="222">
        <v>546297.2856214795</v>
      </c>
      <c r="R166" s="224">
        <v>8.635787614925171E7</v>
      </c>
      <c r="S166" s="222">
        <v>202.0</v>
      </c>
      <c r="T166" s="225"/>
    </row>
    <row r="167" ht="12.0" customHeight="1">
      <c r="C167" s="210">
        <v>159.0</v>
      </c>
      <c r="D167" s="211">
        <v>48427.0</v>
      </c>
      <c r="E167" s="210">
        <f t="shared" si="2"/>
        <v>661166.205</v>
      </c>
      <c r="F167" s="210">
        <f t="shared" si="3"/>
        <v>439215.4931</v>
      </c>
      <c r="G167" s="210">
        <f t="shared" si="4"/>
        <v>1100381.698</v>
      </c>
      <c r="H167" s="170">
        <f t="shared" si="6"/>
        <v>173285563.7</v>
      </c>
      <c r="I167" s="210">
        <f t="shared" si="5"/>
        <v>201</v>
      </c>
      <c r="K167" s="174"/>
      <c r="L167" s="5"/>
      <c r="M167" s="222">
        <v>159.0</v>
      </c>
      <c r="N167" s="223">
        <v>48427.0</v>
      </c>
      <c r="O167" s="222">
        <v>328243.64834463334</v>
      </c>
      <c r="P167" s="222">
        <v>218053.63727684616</v>
      </c>
      <c r="Q167" s="222">
        <v>546297.2856214795</v>
      </c>
      <c r="R167" s="224">
        <v>8.602963250090708E7</v>
      </c>
      <c r="S167" s="222">
        <v>201.0</v>
      </c>
      <c r="T167" s="225"/>
    </row>
    <row r="168" ht="12.0" customHeight="1">
      <c r="C168" s="210">
        <v>160.0</v>
      </c>
      <c r="D168" s="211">
        <v>48458.0</v>
      </c>
      <c r="E168" s="210">
        <f t="shared" si="2"/>
        <v>662835.6497</v>
      </c>
      <c r="F168" s="210">
        <f t="shared" si="3"/>
        <v>437546.0484</v>
      </c>
      <c r="G168" s="210">
        <f t="shared" si="4"/>
        <v>1100381.698</v>
      </c>
      <c r="H168" s="170">
        <f t="shared" si="6"/>
        <v>172622728.1</v>
      </c>
      <c r="I168" s="210">
        <f t="shared" si="5"/>
        <v>200</v>
      </c>
      <c r="K168" s="174"/>
      <c r="L168" s="5"/>
      <c r="M168" s="222">
        <v>160.0</v>
      </c>
      <c r="N168" s="223">
        <v>48458.0</v>
      </c>
      <c r="O168" s="222">
        <v>329072.4635567036</v>
      </c>
      <c r="P168" s="222">
        <v>217224.82206477592</v>
      </c>
      <c r="Q168" s="222">
        <v>546297.2856214795</v>
      </c>
      <c r="R168" s="224">
        <v>8.570056003735037E7</v>
      </c>
      <c r="S168" s="222">
        <v>200.0</v>
      </c>
      <c r="T168" s="225"/>
    </row>
    <row r="169" ht="12.0" customHeight="1">
      <c r="C169" s="210">
        <v>161.0</v>
      </c>
      <c r="D169" s="211">
        <v>48488.0</v>
      </c>
      <c r="E169" s="210">
        <f t="shared" si="2"/>
        <v>664509.3097</v>
      </c>
      <c r="F169" s="210">
        <f t="shared" si="3"/>
        <v>435872.3884</v>
      </c>
      <c r="G169" s="210">
        <f t="shared" si="4"/>
        <v>1100381.698</v>
      </c>
      <c r="H169" s="170">
        <f t="shared" si="6"/>
        <v>171958218.8</v>
      </c>
      <c r="I169" s="210">
        <f t="shared" si="5"/>
        <v>199</v>
      </c>
      <c r="K169" s="174"/>
      <c r="L169" s="5"/>
      <c r="M169" s="222">
        <v>161.0</v>
      </c>
      <c r="N169" s="223">
        <v>48488.0</v>
      </c>
      <c r="O169" s="222">
        <v>329903.37152718427</v>
      </c>
      <c r="P169" s="222">
        <v>216393.91409429524</v>
      </c>
      <c r="Q169" s="222">
        <v>546297.2856214795</v>
      </c>
      <c r="R169" s="224">
        <v>8.537065666582319E7</v>
      </c>
      <c r="S169" s="222">
        <v>199.0</v>
      </c>
      <c r="T169" s="225"/>
    </row>
    <row r="170" ht="12.0" customHeight="1">
      <c r="C170" s="210">
        <v>162.0</v>
      </c>
      <c r="D170" s="211">
        <v>48519.0</v>
      </c>
      <c r="E170" s="210">
        <f t="shared" si="2"/>
        <v>666187.1957</v>
      </c>
      <c r="F170" s="210">
        <f t="shared" si="3"/>
        <v>434194.5024</v>
      </c>
      <c r="G170" s="210">
        <f t="shared" si="4"/>
        <v>1100381.698</v>
      </c>
      <c r="H170" s="170">
        <f t="shared" si="6"/>
        <v>171292031.6</v>
      </c>
      <c r="I170" s="210">
        <f t="shared" si="5"/>
        <v>198</v>
      </c>
      <c r="K170" s="174"/>
      <c r="L170" s="5"/>
      <c r="M170" s="222">
        <v>162.0</v>
      </c>
      <c r="N170" s="223">
        <v>48519.0</v>
      </c>
      <c r="O170" s="222">
        <v>330736.37754029036</v>
      </c>
      <c r="P170" s="222">
        <v>215560.90808118915</v>
      </c>
      <c r="Q170" s="222">
        <v>546297.2856214795</v>
      </c>
      <c r="R170" s="224">
        <v>8.50399202882829E7</v>
      </c>
      <c r="S170" s="222">
        <v>198.0</v>
      </c>
      <c r="T170" s="225"/>
    </row>
    <row r="171" ht="12.0" customHeight="1">
      <c r="C171" s="210">
        <v>163.0</v>
      </c>
      <c r="D171" s="211">
        <v>48549.0</v>
      </c>
      <c r="E171" s="210">
        <f t="shared" si="2"/>
        <v>667869.3184</v>
      </c>
      <c r="F171" s="210">
        <f t="shared" si="3"/>
        <v>432512.3797</v>
      </c>
      <c r="G171" s="210">
        <f t="shared" si="4"/>
        <v>1100381.698</v>
      </c>
      <c r="H171" s="170">
        <f t="shared" si="6"/>
        <v>170624162.2</v>
      </c>
      <c r="I171" s="210">
        <f t="shared" si="5"/>
        <v>197</v>
      </c>
      <c r="K171" s="174"/>
      <c r="L171" s="5"/>
      <c r="M171" s="222">
        <v>163.0</v>
      </c>
      <c r="N171" s="223">
        <v>48549.0</v>
      </c>
      <c r="O171" s="222">
        <v>331571.4868935796</v>
      </c>
      <c r="P171" s="222">
        <v>214725.7987278999</v>
      </c>
      <c r="Q171" s="222">
        <v>546297.2856214795</v>
      </c>
      <c r="R171" s="224">
        <v>8.470834880138932E7</v>
      </c>
      <c r="S171" s="222">
        <v>197.0</v>
      </c>
      <c r="T171" s="225"/>
    </row>
    <row r="172" ht="12.0" customHeight="1">
      <c r="C172" s="210">
        <v>164.0</v>
      </c>
      <c r="D172" s="211">
        <v>48580.0</v>
      </c>
      <c r="E172" s="210">
        <f t="shared" si="2"/>
        <v>669555.6884</v>
      </c>
      <c r="F172" s="210">
        <f t="shared" si="3"/>
        <v>430826.0097</v>
      </c>
      <c r="G172" s="210">
        <f t="shared" si="4"/>
        <v>1100381.698</v>
      </c>
      <c r="H172" s="170">
        <f t="shared" si="6"/>
        <v>169954606.6</v>
      </c>
      <c r="I172" s="210">
        <f t="shared" si="5"/>
        <v>196</v>
      </c>
      <c r="K172" s="174"/>
      <c r="L172" s="5"/>
      <c r="M172" s="222">
        <v>164.0</v>
      </c>
      <c r="N172" s="223">
        <v>48580.0</v>
      </c>
      <c r="O172" s="222">
        <v>332408.70489798597</v>
      </c>
      <c r="P172" s="222">
        <v>213888.58072349353</v>
      </c>
      <c r="Q172" s="222">
        <v>546297.2856214795</v>
      </c>
      <c r="R172" s="224">
        <v>8.437594009649134E7</v>
      </c>
      <c r="S172" s="222">
        <v>196.0</v>
      </c>
      <c r="T172" s="225"/>
    </row>
    <row r="173" ht="12.0" customHeight="1">
      <c r="C173" s="210">
        <v>165.0</v>
      </c>
      <c r="D173" s="211">
        <v>48611.0</v>
      </c>
      <c r="E173" s="210">
        <f t="shared" si="2"/>
        <v>671246.3165</v>
      </c>
      <c r="F173" s="210">
        <f t="shared" si="3"/>
        <v>429135.3816</v>
      </c>
      <c r="G173" s="210">
        <f t="shared" si="4"/>
        <v>1100381.698</v>
      </c>
      <c r="H173" s="170">
        <f t="shared" si="6"/>
        <v>169283360.2</v>
      </c>
      <c r="I173" s="210">
        <f t="shared" si="5"/>
        <v>195</v>
      </c>
      <c r="K173" s="174"/>
      <c r="L173" s="5"/>
      <c r="M173" s="222">
        <v>165.0</v>
      </c>
      <c r="N173" s="223">
        <v>48611.0</v>
      </c>
      <c r="O173" s="222">
        <v>333248.03687785333</v>
      </c>
      <c r="P173" s="222">
        <v>213049.24874362617</v>
      </c>
      <c r="Q173" s="222">
        <v>546297.2856214795</v>
      </c>
      <c r="R173" s="224">
        <v>8.404269205961348E7</v>
      </c>
      <c r="S173" s="222">
        <v>195.0</v>
      </c>
      <c r="T173" s="225"/>
    </row>
    <row r="174" ht="12.0" customHeight="1">
      <c r="C174" s="210">
        <v>166.0</v>
      </c>
      <c r="D174" s="211">
        <v>48639.0</v>
      </c>
      <c r="E174" s="210">
        <f t="shared" si="2"/>
        <v>672941.2135</v>
      </c>
      <c r="F174" s="210">
        <f t="shared" si="3"/>
        <v>427440.4846</v>
      </c>
      <c r="G174" s="210">
        <f t="shared" si="4"/>
        <v>1100381.698</v>
      </c>
      <c r="H174" s="170">
        <f t="shared" si="6"/>
        <v>168610419</v>
      </c>
      <c r="I174" s="210">
        <f t="shared" si="5"/>
        <v>194</v>
      </c>
      <c r="K174" s="174"/>
      <c r="L174" s="5"/>
      <c r="M174" s="222">
        <v>166.0</v>
      </c>
      <c r="N174" s="223">
        <v>48639.0</v>
      </c>
      <c r="O174" s="222">
        <v>334089.4881709699</v>
      </c>
      <c r="P174" s="222">
        <v>212207.79745050962</v>
      </c>
      <c r="Q174" s="222">
        <v>546297.2856214795</v>
      </c>
      <c r="R174" s="224">
        <v>8.370860257144251E7</v>
      </c>
      <c r="S174" s="222">
        <v>194.0</v>
      </c>
      <c r="T174" s="225"/>
    </row>
    <row r="175" ht="12.0" customHeight="1">
      <c r="C175" s="210">
        <v>167.0</v>
      </c>
      <c r="D175" s="211">
        <v>48670.0</v>
      </c>
      <c r="E175" s="210">
        <f t="shared" si="2"/>
        <v>674640.3901</v>
      </c>
      <c r="F175" s="210">
        <f t="shared" si="3"/>
        <v>425741.308</v>
      </c>
      <c r="G175" s="210">
        <f t="shared" si="4"/>
        <v>1100381.698</v>
      </c>
      <c r="H175" s="170">
        <f t="shared" si="6"/>
        <v>167935778.6</v>
      </c>
      <c r="I175" s="210">
        <f t="shared" si="5"/>
        <v>193</v>
      </c>
      <c r="K175" s="174"/>
      <c r="L175" s="5"/>
      <c r="M175" s="222">
        <v>167.0</v>
      </c>
      <c r="N175" s="223">
        <v>48670.0</v>
      </c>
      <c r="O175" s="222">
        <v>334933.0641286017</v>
      </c>
      <c r="P175" s="222">
        <v>211364.2214928778</v>
      </c>
      <c r="Q175" s="222">
        <v>546297.2856214795</v>
      </c>
      <c r="R175" s="224">
        <v>8.33736695073139E7</v>
      </c>
      <c r="S175" s="222">
        <v>193.0</v>
      </c>
      <c r="T175" s="225"/>
    </row>
    <row r="176" ht="12.0" customHeight="1">
      <c r="C176" s="210">
        <v>168.0</v>
      </c>
      <c r="D176" s="211">
        <v>48700.0</v>
      </c>
      <c r="E176" s="210">
        <f t="shared" si="2"/>
        <v>676343.857</v>
      </c>
      <c r="F176" s="210">
        <f t="shared" si="3"/>
        <v>424037.8411</v>
      </c>
      <c r="G176" s="210">
        <f t="shared" si="4"/>
        <v>1100381.698</v>
      </c>
      <c r="H176" s="170">
        <f t="shared" si="6"/>
        <v>167259434.8</v>
      </c>
      <c r="I176" s="210">
        <f t="shared" si="5"/>
        <v>192</v>
      </c>
      <c r="K176" s="174"/>
      <c r="L176" s="5"/>
      <c r="M176" s="222">
        <v>168.0</v>
      </c>
      <c r="N176" s="223">
        <v>48700.0</v>
      </c>
      <c r="O176" s="222">
        <v>335778.77011552633</v>
      </c>
      <c r="P176" s="222">
        <v>210518.51550595317</v>
      </c>
      <c r="Q176" s="222">
        <v>546297.2856214795</v>
      </c>
      <c r="R176" s="224">
        <v>8.303789073719838E7</v>
      </c>
      <c r="S176" s="222">
        <v>192.0</v>
      </c>
      <c r="T176" s="225"/>
    </row>
    <row r="177" ht="12.0" customHeight="1">
      <c r="C177" s="210">
        <v>169.0</v>
      </c>
      <c r="D177" s="211">
        <v>48731.0</v>
      </c>
      <c r="E177" s="210">
        <f t="shared" si="2"/>
        <v>678051.6253</v>
      </c>
      <c r="F177" s="210">
        <f t="shared" si="3"/>
        <v>422330.0728</v>
      </c>
      <c r="G177" s="210">
        <f t="shared" si="4"/>
        <v>1100381.698</v>
      </c>
      <c r="H177" s="170">
        <f t="shared" si="6"/>
        <v>166581383.2</v>
      </c>
      <c r="I177" s="210">
        <f t="shared" si="5"/>
        <v>191</v>
      </c>
      <c r="K177" s="174"/>
      <c r="L177" s="5"/>
      <c r="M177" s="222">
        <v>169.0</v>
      </c>
      <c r="N177" s="223">
        <v>48731.0</v>
      </c>
      <c r="O177" s="222">
        <v>336626.611510068</v>
      </c>
      <c r="P177" s="222">
        <v>209670.6741114115</v>
      </c>
      <c r="Q177" s="222">
        <v>546297.2856214795</v>
      </c>
      <c r="R177" s="224">
        <v>8.270126412568831E7</v>
      </c>
      <c r="S177" s="222">
        <v>191.0</v>
      </c>
      <c r="T177" s="225"/>
    </row>
    <row r="178" ht="12.0" customHeight="1">
      <c r="C178" s="210">
        <v>170.0</v>
      </c>
      <c r="D178" s="211">
        <v>48761.0</v>
      </c>
      <c r="E178" s="210">
        <f t="shared" si="2"/>
        <v>679763.7056</v>
      </c>
      <c r="F178" s="210">
        <f t="shared" si="3"/>
        <v>420617.9925</v>
      </c>
      <c r="G178" s="210">
        <f t="shared" si="4"/>
        <v>1100381.698</v>
      </c>
      <c r="H178" s="170">
        <f t="shared" si="6"/>
        <v>165901619.5</v>
      </c>
      <c r="I178" s="210">
        <f t="shared" si="5"/>
        <v>190</v>
      </c>
      <c r="K178" s="174"/>
      <c r="L178" s="5"/>
      <c r="M178" s="222">
        <v>170.0</v>
      </c>
      <c r="N178" s="223">
        <v>48761.0</v>
      </c>
      <c r="O178" s="222">
        <v>337476.59370413097</v>
      </c>
      <c r="P178" s="222">
        <v>208820.69191734854</v>
      </c>
      <c r="Q178" s="222">
        <v>546297.2856214795</v>
      </c>
      <c r="R178" s="224">
        <v>8.236378753198418E7</v>
      </c>
      <c r="S178" s="222">
        <v>190.0</v>
      </c>
      <c r="T178" s="225"/>
    </row>
    <row r="179" ht="12.0" customHeight="1">
      <c r="C179" s="210">
        <v>171.0</v>
      </c>
      <c r="D179" s="211">
        <v>48792.0</v>
      </c>
      <c r="E179" s="210">
        <f t="shared" si="2"/>
        <v>681480.109</v>
      </c>
      <c r="F179" s="210">
        <f t="shared" si="3"/>
        <v>418901.5891</v>
      </c>
      <c r="G179" s="210">
        <f t="shared" si="4"/>
        <v>1100381.698</v>
      </c>
      <c r="H179" s="170">
        <f t="shared" si="6"/>
        <v>165220139.3</v>
      </c>
      <c r="I179" s="210">
        <f t="shared" si="5"/>
        <v>189</v>
      </c>
      <c r="K179" s="174"/>
      <c r="L179" s="5"/>
      <c r="M179" s="222">
        <v>171.0</v>
      </c>
      <c r="N179" s="223">
        <v>48792.0</v>
      </c>
      <c r="O179" s="222">
        <v>338328.7221032339</v>
      </c>
      <c r="P179" s="222">
        <v>207968.5635182456</v>
      </c>
      <c r="Q179" s="222">
        <v>546297.2856214795</v>
      </c>
      <c r="R179" s="224">
        <v>8.202545880988094E7</v>
      </c>
      <c r="S179" s="222">
        <v>189.0</v>
      </c>
      <c r="T179" s="225"/>
    </row>
    <row r="180" ht="12.0" customHeight="1">
      <c r="C180" s="210">
        <v>172.0</v>
      </c>
      <c r="D180" s="211">
        <v>48823.0</v>
      </c>
      <c r="E180" s="210">
        <f t="shared" si="2"/>
        <v>683200.8463</v>
      </c>
      <c r="F180" s="210">
        <f t="shared" si="3"/>
        <v>417180.8518</v>
      </c>
      <c r="G180" s="210">
        <f t="shared" si="4"/>
        <v>1100381.698</v>
      </c>
      <c r="H180" s="170">
        <f t="shared" si="6"/>
        <v>164536938.5</v>
      </c>
      <c r="I180" s="210">
        <f t="shared" si="5"/>
        <v>188</v>
      </c>
      <c r="K180" s="174"/>
      <c r="L180" s="5"/>
      <c r="M180" s="222">
        <v>172.0</v>
      </c>
      <c r="N180" s="223">
        <v>48823.0</v>
      </c>
      <c r="O180" s="222">
        <v>339183.00212654454</v>
      </c>
      <c r="P180" s="222">
        <v>207114.28349493496</v>
      </c>
      <c r="Q180" s="222">
        <v>546297.2856214795</v>
      </c>
      <c r="R180" s="224">
        <v>8.16862758077544E7</v>
      </c>
      <c r="S180" s="222">
        <v>188.0</v>
      </c>
      <c r="T180" s="225"/>
    </row>
    <row r="181" ht="12.0" customHeight="1">
      <c r="C181" s="210">
        <v>173.0</v>
      </c>
      <c r="D181" s="211">
        <v>48853.0</v>
      </c>
      <c r="E181" s="210">
        <f t="shared" si="2"/>
        <v>684925.9284</v>
      </c>
      <c r="F181" s="210">
        <f t="shared" si="3"/>
        <v>415455.7697</v>
      </c>
      <c r="G181" s="210">
        <f t="shared" si="4"/>
        <v>1100381.698</v>
      </c>
      <c r="H181" s="170">
        <f t="shared" si="6"/>
        <v>163852012.6</v>
      </c>
      <c r="I181" s="210">
        <f t="shared" si="5"/>
        <v>187</v>
      </c>
      <c r="K181" s="174"/>
      <c r="L181" s="5"/>
      <c r="M181" s="222">
        <v>173.0</v>
      </c>
      <c r="N181" s="223">
        <v>48853.0</v>
      </c>
      <c r="O181" s="222">
        <v>340039.4392069141</v>
      </c>
      <c r="P181" s="222">
        <v>206257.8464145654</v>
      </c>
      <c r="Q181" s="222">
        <v>546297.2856214795</v>
      </c>
      <c r="R181" s="224">
        <v>8.134623636854748E7</v>
      </c>
      <c r="S181" s="222">
        <v>187.0</v>
      </c>
      <c r="T181" s="225"/>
    </row>
    <row r="182" ht="12.0" customHeight="1">
      <c r="C182" s="210">
        <v>174.0</v>
      </c>
      <c r="D182" s="211">
        <v>48884.0</v>
      </c>
      <c r="E182" s="210">
        <f t="shared" si="2"/>
        <v>686655.3664</v>
      </c>
      <c r="F182" s="210">
        <f t="shared" si="3"/>
        <v>413726.3317</v>
      </c>
      <c r="G182" s="210">
        <f t="shared" si="4"/>
        <v>1100381.698</v>
      </c>
      <c r="H182" s="170">
        <f t="shared" si="6"/>
        <v>163165357.2</v>
      </c>
      <c r="I182" s="210">
        <f t="shared" si="5"/>
        <v>186</v>
      </c>
      <c r="K182" s="174"/>
      <c r="L182" s="5"/>
      <c r="M182" s="222">
        <v>174.0</v>
      </c>
      <c r="N182" s="223">
        <v>48884.0</v>
      </c>
      <c r="O182" s="222">
        <v>340898.03879091155</v>
      </c>
      <c r="P182" s="222">
        <v>205399.24683056795</v>
      </c>
      <c r="Q182" s="222">
        <v>546297.2856214795</v>
      </c>
      <c r="R182" s="224">
        <v>8.100533832975657E7</v>
      </c>
      <c r="S182" s="222">
        <v>186.0</v>
      </c>
      <c r="T182" s="225"/>
    </row>
    <row r="183" ht="12.0" customHeight="1">
      <c r="C183" s="210">
        <v>175.0</v>
      </c>
      <c r="D183" s="211">
        <v>48914.0</v>
      </c>
      <c r="E183" s="210">
        <f t="shared" si="2"/>
        <v>688389.1712</v>
      </c>
      <c r="F183" s="210">
        <f t="shared" si="3"/>
        <v>411992.5269</v>
      </c>
      <c r="G183" s="210">
        <f t="shared" si="4"/>
        <v>1100381.698</v>
      </c>
      <c r="H183" s="170">
        <f t="shared" si="6"/>
        <v>162476968</v>
      </c>
      <c r="I183" s="210">
        <f t="shared" si="5"/>
        <v>185</v>
      </c>
      <c r="K183" s="174"/>
      <c r="L183" s="5"/>
      <c r="M183" s="222">
        <v>175.0</v>
      </c>
      <c r="N183" s="223">
        <v>48914.0</v>
      </c>
      <c r="O183" s="222">
        <v>341758.80633885856</v>
      </c>
      <c r="P183" s="222">
        <v>204538.47928262095</v>
      </c>
      <c r="Q183" s="222">
        <v>546297.2856214795</v>
      </c>
      <c r="R183" s="224">
        <v>8.066357952341771E7</v>
      </c>
      <c r="S183" s="222">
        <v>185.0</v>
      </c>
      <c r="T183" s="225"/>
    </row>
    <row r="184" ht="12.0" customHeight="1">
      <c r="C184" s="210">
        <v>176.0</v>
      </c>
      <c r="D184" s="211">
        <v>48945.0</v>
      </c>
      <c r="E184" s="210">
        <f t="shared" si="2"/>
        <v>690127.3538</v>
      </c>
      <c r="F184" s="210">
        <f t="shared" si="3"/>
        <v>410254.3443</v>
      </c>
      <c r="G184" s="210">
        <f t="shared" si="4"/>
        <v>1100381.698</v>
      </c>
      <c r="H184" s="170">
        <f t="shared" si="6"/>
        <v>161786840.7</v>
      </c>
      <c r="I184" s="210">
        <f t="shared" si="5"/>
        <v>184</v>
      </c>
      <c r="K184" s="174"/>
      <c r="L184" s="5"/>
      <c r="M184" s="222">
        <v>176.0</v>
      </c>
      <c r="N184" s="223">
        <v>48945.0</v>
      </c>
      <c r="O184" s="222">
        <v>342621.7473248642</v>
      </c>
      <c r="P184" s="222">
        <v>203675.5382966153</v>
      </c>
      <c r="Q184" s="222">
        <v>546297.2856214795</v>
      </c>
      <c r="R184" s="224">
        <v>8.032095777609284E7</v>
      </c>
      <c r="S184" s="222">
        <v>184.0</v>
      </c>
      <c r="T184" s="225"/>
    </row>
    <row r="185" ht="12.0" customHeight="1">
      <c r="C185" s="210">
        <v>177.0</v>
      </c>
      <c r="D185" s="211">
        <v>48976.0</v>
      </c>
      <c r="E185" s="210">
        <f t="shared" si="2"/>
        <v>691869.9254</v>
      </c>
      <c r="F185" s="210">
        <f t="shared" si="3"/>
        <v>408511.7727</v>
      </c>
      <c r="G185" s="210">
        <f t="shared" si="4"/>
        <v>1100381.698</v>
      </c>
      <c r="H185" s="170">
        <f t="shared" si="6"/>
        <v>161094970.8</v>
      </c>
      <c r="I185" s="210">
        <f t="shared" si="5"/>
        <v>183</v>
      </c>
      <c r="K185" s="174"/>
      <c r="L185" s="5"/>
      <c r="M185" s="222">
        <v>177.0</v>
      </c>
      <c r="N185" s="223">
        <v>48976.0</v>
      </c>
      <c r="O185" s="222">
        <v>343486.86723685946</v>
      </c>
      <c r="P185" s="222">
        <v>202810.41838462005</v>
      </c>
      <c r="Q185" s="222">
        <v>546297.2856214795</v>
      </c>
      <c r="R185" s="224">
        <v>7.997747090885599E7</v>
      </c>
      <c r="S185" s="222">
        <v>183.0</v>
      </c>
      <c r="T185" s="225"/>
    </row>
    <row r="186" ht="12.0" customHeight="1">
      <c r="C186" s="210">
        <v>178.0</v>
      </c>
      <c r="D186" s="211">
        <v>49004.0</v>
      </c>
      <c r="E186" s="210">
        <f t="shared" si="2"/>
        <v>693616.897</v>
      </c>
      <c r="F186" s="210">
        <f t="shared" si="3"/>
        <v>406764.8011</v>
      </c>
      <c r="G186" s="210">
        <f t="shared" si="4"/>
        <v>1100381.698</v>
      </c>
      <c r="H186" s="170">
        <f t="shared" si="6"/>
        <v>160401353.9</v>
      </c>
      <c r="I186" s="210">
        <f t="shared" si="5"/>
        <v>182</v>
      </c>
      <c r="K186" s="174"/>
      <c r="L186" s="5"/>
      <c r="M186" s="222">
        <v>178.0</v>
      </c>
      <c r="N186" s="223">
        <v>49004.0</v>
      </c>
      <c r="O186" s="222">
        <v>344354.17157663254</v>
      </c>
      <c r="P186" s="222">
        <v>201943.11404484697</v>
      </c>
      <c r="Q186" s="222">
        <v>546297.2856214795</v>
      </c>
      <c r="R186" s="224">
        <v>7.963311673727936E7</v>
      </c>
      <c r="S186" s="222">
        <v>182.0</v>
      </c>
      <c r="T186" s="225"/>
    </row>
    <row r="187" ht="12.0" customHeight="1">
      <c r="C187" s="210">
        <v>179.0</v>
      </c>
      <c r="D187" s="211">
        <v>49035.0</v>
      </c>
      <c r="E187" s="210">
        <f t="shared" si="2"/>
        <v>695368.2796</v>
      </c>
      <c r="F187" s="210">
        <f t="shared" si="3"/>
        <v>405013.4185</v>
      </c>
      <c r="G187" s="210">
        <f t="shared" si="4"/>
        <v>1100381.698</v>
      </c>
      <c r="H187" s="170">
        <f t="shared" si="6"/>
        <v>159705985.6</v>
      </c>
      <c r="I187" s="210">
        <f t="shared" si="5"/>
        <v>181</v>
      </c>
      <c r="K187" s="174"/>
      <c r="L187" s="5"/>
      <c r="M187" s="222">
        <v>179.0</v>
      </c>
      <c r="N187" s="223">
        <v>49035.0</v>
      </c>
      <c r="O187" s="222">
        <v>345223.66585986357</v>
      </c>
      <c r="P187" s="222">
        <v>201073.61976161593</v>
      </c>
      <c r="Q187" s="222">
        <v>546297.2856214795</v>
      </c>
      <c r="R187" s="224">
        <v>7.928789307141949E7</v>
      </c>
      <c r="S187" s="222">
        <v>181.0</v>
      </c>
      <c r="T187" s="225"/>
    </row>
    <row r="188" ht="12.0" customHeight="1">
      <c r="C188" s="210">
        <v>180.0</v>
      </c>
      <c r="D188" s="211">
        <v>49065.0</v>
      </c>
      <c r="E188" s="210">
        <f t="shared" si="2"/>
        <v>697124.0845</v>
      </c>
      <c r="F188" s="210">
        <f t="shared" si="3"/>
        <v>403257.6136</v>
      </c>
      <c r="G188" s="210">
        <f t="shared" si="4"/>
        <v>1100381.698</v>
      </c>
      <c r="H188" s="170">
        <f t="shared" si="6"/>
        <v>159008861.5</v>
      </c>
      <c r="I188" s="210">
        <f t="shared" si="5"/>
        <v>180</v>
      </c>
      <c r="K188" s="174"/>
      <c r="L188" s="5"/>
      <c r="M188" s="222">
        <v>180.0</v>
      </c>
      <c r="N188" s="223">
        <v>49065.0</v>
      </c>
      <c r="O188" s="222">
        <v>346095.3556161597</v>
      </c>
      <c r="P188" s="222">
        <v>200201.93000531982</v>
      </c>
      <c r="Q188" s="222">
        <v>546297.2856214795</v>
      </c>
      <c r="R188" s="224">
        <v>7.894179771580334E7</v>
      </c>
      <c r="S188" s="222">
        <v>180.0</v>
      </c>
      <c r="T188" s="225"/>
    </row>
    <row r="189" ht="12.0" customHeight="1">
      <c r="C189" s="210">
        <v>181.0</v>
      </c>
      <c r="D189" s="211">
        <v>49096.0</v>
      </c>
      <c r="E189" s="210">
        <f t="shared" si="2"/>
        <v>698884.3228</v>
      </c>
      <c r="F189" s="210">
        <f t="shared" si="3"/>
        <v>401497.3753</v>
      </c>
      <c r="G189" s="210">
        <f t="shared" si="4"/>
        <v>1100381.698</v>
      </c>
      <c r="H189" s="170">
        <f t="shared" si="6"/>
        <v>158309977.2</v>
      </c>
      <c r="I189" s="210">
        <f t="shared" si="5"/>
        <v>179</v>
      </c>
      <c r="K189" s="174"/>
      <c r="L189" s="5"/>
      <c r="M189" s="222">
        <v>181.0</v>
      </c>
      <c r="N189" s="223">
        <v>49096.0</v>
      </c>
      <c r="O189" s="222">
        <v>346969.2463890905</v>
      </c>
      <c r="P189" s="222">
        <v>199328.039232389</v>
      </c>
      <c r="Q189" s="222">
        <v>546297.2856214795</v>
      </c>
      <c r="R189" s="224">
        <v>7.859482846941425E7</v>
      </c>
      <c r="S189" s="222">
        <v>179.0</v>
      </c>
      <c r="T189" s="225"/>
    </row>
    <row r="190" ht="12.0" customHeight="1">
      <c r="C190" s="210">
        <v>182.0</v>
      </c>
      <c r="D190" s="211">
        <v>49126.0</v>
      </c>
      <c r="E190" s="210">
        <f t="shared" si="2"/>
        <v>700649.0058</v>
      </c>
      <c r="F190" s="210">
        <f t="shared" si="3"/>
        <v>399732.6923</v>
      </c>
      <c r="G190" s="210">
        <f t="shared" si="4"/>
        <v>1100381.698</v>
      </c>
      <c r="H190" s="170">
        <f t="shared" si="6"/>
        <v>157609328.2</v>
      </c>
      <c r="I190" s="210">
        <f t="shared" si="5"/>
        <v>178</v>
      </c>
      <c r="K190" s="174"/>
      <c r="L190" s="5"/>
      <c r="M190" s="222">
        <v>182.0</v>
      </c>
      <c r="N190" s="223">
        <v>49126.0</v>
      </c>
      <c r="O190" s="222">
        <v>347845.343736223</v>
      </c>
      <c r="P190" s="222">
        <v>198451.9418852565</v>
      </c>
      <c r="Q190" s="222">
        <v>546297.2856214795</v>
      </c>
      <c r="R190" s="224">
        <v>7.824698312567803E7</v>
      </c>
      <c r="S190" s="222">
        <v>178.0</v>
      </c>
      <c r="T190" s="225"/>
    </row>
    <row r="191" ht="12.0" customHeight="1">
      <c r="C191" s="210">
        <v>183.0</v>
      </c>
      <c r="D191" s="211">
        <v>49157.0</v>
      </c>
      <c r="E191" s="210">
        <f t="shared" si="2"/>
        <v>702418.1445</v>
      </c>
      <c r="F191" s="210">
        <f t="shared" si="3"/>
        <v>397963.5536</v>
      </c>
      <c r="G191" s="210">
        <f t="shared" si="4"/>
        <v>1100381.698</v>
      </c>
      <c r="H191" s="170">
        <f t="shared" si="6"/>
        <v>156906910</v>
      </c>
      <c r="I191" s="210">
        <f t="shared" si="5"/>
        <v>177</v>
      </c>
      <c r="K191" s="174"/>
      <c r="L191" s="5"/>
      <c r="M191" s="222">
        <v>183.0</v>
      </c>
      <c r="N191" s="223">
        <v>49157.0</v>
      </c>
      <c r="O191" s="222">
        <v>348723.6532291569</v>
      </c>
      <c r="P191" s="222">
        <v>197573.6323923226</v>
      </c>
      <c r="Q191" s="222">
        <v>546297.2856214795</v>
      </c>
      <c r="R191" s="224">
        <v>7.789825947244887E7</v>
      </c>
      <c r="S191" s="222">
        <v>177.0</v>
      </c>
      <c r="T191" s="225"/>
    </row>
    <row r="192" ht="12.0" customHeight="1">
      <c r="C192" s="210">
        <v>184.0</v>
      </c>
      <c r="D192" s="211">
        <v>49188.0</v>
      </c>
      <c r="E192" s="210">
        <f t="shared" si="2"/>
        <v>704191.7503</v>
      </c>
      <c r="F192" s="210">
        <f t="shared" si="3"/>
        <v>396189.9478</v>
      </c>
      <c r="G192" s="210">
        <f t="shared" si="4"/>
        <v>1100381.698</v>
      </c>
      <c r="H192" s="170">
        <f t="shared" si="6"/>
        <v>156202718.3</v>
      </c>
      <c r="I192" s="210">
        <f t="shared" si="5"/>
        <v>176</v>
      </c>
      <c r="K192" s="174"/>
      <c r="L192" s="5"/>
      <c r="M192" s="222">
        <v>184.0</v>
      </c>
      <c r="N192" s="223">
        <v>49188.0</v>
      </c>
      <c r="O192" s="222">
        <v>349604.1804535606</v>
      </c>
      <c r="P192" s="222">
        <v>196693.1051679189</v>
      </c>
      <c r="Q192" s="222">
        <v>546297.2856214795</v>
      </c>
      <c r="R192" s="224">
        <v>7.754865529199532E7</v>
      </c>
      <c r="S192" s="222">
        <v>176.0</v>
      </c>
      <c r="T192" s="225"/>
    </row>
    <row r="193" ht="12.0" customHeight="1">
      <c r="C193" s="210">
        <v>185.0</v>
      </c>
      <c r="D193" s="211">
        <v>49218.0</v>
      </c>
      <c r="E193" s="210">
        <f t="shared" si="2"/>
        <v>705969.8345</v>
      </c>
      <c r="F193" s="210">
        <f t="shared" si="3"/>
        <v>394411.8636</v>
      </c>
      <c r="G193" s="210">
        <f t="shared" si="4"/>
        <v>1100381.698</v>
      </c>
      <c r="H193" s="170">
        <f t="shared" si="6"/>
        <v>155496748.4</v>
      </c>
      <c r="I193" s="210">
        <f t="shared" si="5"/>
        <v>175</v>
      </c>
      <c r="K193" s="174"/>
      <c r="L193" s="5"/>
      <c r="M193" s="222">
        <v>185.0</v>
      </c>
      <c r="N193" s="223">
        <v>49218.0</v>
      </c>
      <c r="O193" s="222">
        <v>350486.9310092058</v>
      </c>
      <c r="P193" s="222">
        <v>195810.3546122737</v>
      </c>
      <c r="Q193" s="222">
        <v>546297.2856214795</v>
      </c>
      <c r="R193" s="224">
        <v>7.719816836098611E7</v>
      </c>
      <c r="S193" s="222">
        <v>175.0</v>
      </c>
      <c r="T193" s="225"/>
    </row>
    <row r="194" ht="12.0" customHeight="1">
      <c r="C194" s="210">
        <v>186.0</v>
      </c>
      <c r="D194" s="211">
        <v>49249.0</v>
      </c>
      <c r="E194" s="210">
        <f t="shared" si="2"/>
        <v>707752.4083</v>
      </c>
      <c r="F194" s="210">
        <f t="shared" si="3"/>
        <v>392629.2898</v>
      </c>
      <c r="G194" s="210">
        <f t="shared" si="4"/>
        <v>1100381.698</v>
      </c>
      <c r="H194" s="170">
        <f t="shared" si="6"/>
        <v>154788996</v>
      </c>
      <c r="I194" s="210">
        <f t="shared" si="5"/>
        <v>174</v>
      </c>
      <c r="K194" s="174"/>
      <c r="L194" s="5"/>
      <c r="M194" s="222">
        <v>186.0</v>
      </c>
      <c r="N194" s="223">
        <v>49249.0</v>
      </c>
      <c r="O194" s="222">
        <v>351371.9105100041</v>
      </c>
      <c r="P194" s="222">
        <v>194925.3751114754</v>
      </c>
      <c r="Q194" s="222">
        <v>546297.2856214795</v>
      </c>
      <c r="R194" s="224">
        <v>7.684679645047611E7</v>
      </c>
      <c r="S194" s="222">
        <v>174.0</v>
      </c>
      <c r="T194" s="225"/>
    </row>
    <row r="195" ht="12.0" customHeight="1">
      <c r="C195" s="210">
        <v>187.0</v>
      </c>
      <c r="D195" s="211">
        <v>49279.0</v>
      </c>
      <c r="E195" s="210">
        <f t="shared" si="2"/>
        <v>709539.4831</v>
      </c>
      <c r="F195" s="210">
        <f t="shared" si="3"/>
        <v>390842.215</v>
      </c>
      <c r="G195" s="210">
        <f t="shared" si="4"/>
        <v>1100381.698</v>
      </c>
      <c r="H195" s="170">
        <f t="shared" si="6"/>
        <v>154079456.5</v>
      </c>
      <c r="I195" s="210">
        <f t="shared" si="5"/>
        <v>173</v>
      </c>
      <c r="K195" s="174"/>
      <c r="L195" s="5"/>
      <c r="M195" s="222">
        <v>187.0</v>
      </c>
      <c r="N195" s="223">
        <v>49279.0</v>
      </c>
      <c r="O195" s="222">
        <v>352259.12458404177</v>
      </c>
      <c r="P195" s="222">
        <v>194038.16103743773</v>
      </c>
      <c r="Q195" s="222">
        <v>546297.2856214795</v>
      </c>
      <c r="R195" s="224">
        <v>7.649453732589206E7</v>
      </c>
      <c r="S195" s="222">
        <v>173.0</v>
      </c>
      <c r="T195" s="225"/>
    </row>
    <row r="196" ht="12.0" customHeight="1">
      <c r="C196" s="210">
        <v>188.0</v>
      </c>
      <c r="D196" s="211">
        <v>49310.0</v>
      </c>
      <c r="E196" s="210">
        <f t="shared" si="2"/>
        <v>711331.0703</v>
      </c>
      <c r="F196" s="210">
        <f t="shared" si="3"/>
        <v>389050.6278</v>
      </c>
      <c r="G196" s="210">
        <f t="shared" si="4"/>
        <v>1100381.698</v>
      </c>
      <c r="H196" s="170">
        <f t="shared" si="6"/>
        <v>153368125.5</v>
      </c>
      <c r="I196" s="210">
        <f t="shared" si="5"/>
        <v>172</v>
      </c>
      <c r="K196" s="174"/>
      <c r="L196" s="5"/>
      <c r="M196" s="222">
        <v>188.0</v>
      </c>
      <c r="N196" s="223">
        <v>49310.0</v>
      </c>
      <c r="O196" s="222">
        <v>353148.5788736166</v>
      </c>
      <c r="P196" s="222">
        <v>193148.70674786292</v>
      </c>
      <c r="Q196" s="222">
        <v>546297.2856214795</v>
      </c>
      <c r="R196" s="224">
        <v>7.614138874701844E7</v>
      </c>
      <c r="S196" s="222">
        <v>172.0</v>
      </c>
      <c r="T196" s="225"/>
    </row>
    <row r="197" ht="12.0" customHeight="1">
      <c r="C197" s="210">
        <v>189.0</v>
      </c>
      <c r="D197" s="211">
        <v>49341.0</v>
      </c>
      <c r="E197" s="210">
        <f t="shared" si="2"/>
        <v>713127.1813</v>
      </c>
      <c r="F197" s="210">
        <f t="shared" si="3"/>
        <v>387254.5168</v>
      </c>
      <c r="G197" s="210">
        <f t="shared" si="4"/>
        <v>1100381.698</v>
      </c>
      <c r="H197" s="170">
        <f t="shared" si="6"/>
        <v>152654998.3</v>
      </c>
      <c r="I197" s="210">
        <f t="shared" si="5"/>
        <v>171</v>
      </c>
      <c r="K197" s="174"/>
      <c r="L197" s="5"/>
      <c r="M197" s="222">
        <v>189.0</v>
      </c>
      <c r="N197" s="223">
        <v>49341.0</v>
      </c>
      <c r="O197" s="222">
        <v>354040.2790352724</v>
      </c>
      <c r="P197" s="222">
        <v>192257.00658620708</v>
      </c>
      <c r="Q197" s="222">
        <v>546297.2856214795</v>
      </c>
      <c r="R197" s="224">
        <v>7.578734846798317E7</v>
      </c>
      <c r="S197" s="222">
        <v>171.0</v>
      </c>
      <c r="T197" s="225"/>
    </row>
    <row r="198" ht="12.0" customHeight="1">
      <c r="C198" s="210">
        <v>190.0</v>
      </c>
      <c r="D198" s="211">
        <v>49369.0</v>
      </c>
      <c r="E198" s="210">
        <f t="shared" si="2"/>
        <v>714927.8274</v>
      </c>
      <c r="F198" s="210">
        <f t="shared" si="3"/>
        <v>385453.8707</v>
      </c>
      <c r="G198" s="210">
        <f t="shared" si="4"/>
        <v>1100381.698</v>
      </c>
      <c r="H198" s="170">
        <f t="shared" si="6"/>
        <v>151940070.5</v>
      </c>
      <c r="I198" s="210">
        <f t="shared" si="5"/>
        <v>170</v>
      </c>
      <c r="K198" s="174"/>
      <c r="L198" s="5"/>
      <c r="M198" s="222">
        <v>190.0</v>
      </c>
      <c r="N198" s="223">
        <v>49369.0</v>
      </c>
      <c r="O198" s="222">
        <v>354934.2307398364</v>
      </c>
      <c r="P198" s="222">
        <v>191363.0548816431</v>
      </c>
      <c r="Q198" s="222">
        <v>546297.2856214795</v>
      </c>
      <c r="R198" s="224">
        <v>7.543241423724334E7</v>
      </c>
      <c r="S198" s="222">
        <v>170.0</v>
      </c>
      <c r="T198" s="225"/>
    </row>
    <row r="199" ht="12.0" customHeight="1">
      <c r="C199" s="210">
        <v>191.0</v>
      </c>
      <c r="D199" s="211">
        <v>49400.0</v>
      </c>
      <c r="E199" s="210">
        <f t="shared" si="2"/>
        <v>716733.0202</v>
      </c>
      <c r="F199" s="210">
        <f t="shared" si="3"/>
        <v>383648.6779</v>
      </c>
      <c r="G199" s="210">
        <f t="shared" si="4"/>
        <v>1100381.698</v>
      </c>
      <c r="H199" s="170">
        <f t="shared" si="6"/>
        <v>151223337.4</v>
      </c>
      <c r="I199" s="210">
        <f t="shared" si="5"/>
        <v>169</v>
      </c>
      <c r="K199" s="174"/>
      <c r="L199" s="5"/>
      <c r="M199" s="222">
        <v>191.0</v>
      </c>
      <c r="N199" s="223">
        <v>49400.0</v>
      </c>
      <c r="O199" s="222">
        <v>355830.43967245455</v>
      </c>
      <c r="P199" s="222">
        <v>190466.84594902495</v>
      </c>
      <c r="Q199" s="222">
        <v>546297.2856214795</v>
      </c>
      <c r="R199" s="224">
        <v>7.507658379757088E7</v>
      </c>
      <c r="S199" s="222">
        <v>169.0</v>
      </c>
      <c r="T199" s="225"/>
    </row>
    <row r="200" ht="12.0" customHeight="1">
      <c r="C200" s="210">
        <v>192.0</v>
      </c>
      <c r="D200" s="211">
        <v>49430.0</v>
      </c>
      <c r="E200" s="210">
        <f t="shared" si="2"/>
        <v>718542.7711</v>
      </c>
      <c r="F200" s="210">
        <f t="shared" si="3"/>
        <v>381838.927</v>
      </c>
      <c r="G200" s="210">
        <f t="shared" si="4"/>
        <v>1100381.698</v>
      </c>
      <c r="H200" s="170">
        <f t="shared" si="6"/>
        <v>150504794.7</v>
      </c>
      <c r="I200" s="210">
        <f t="shared" si="5"/>
        <v>168</v>
      </c>
      <c r="K200" s="174"/>
      <c r="L200" s="5"/>
      <c r="M200" s="222">
        <v>192.0</v>
      </c>
      <c r="N200" s="223">
        <v>49430.0</v>
      </c>
      <c r="O200" s="222">
        <v>356728.9115326275</v>
      </c>
      <c r="P200" s="222">
        <v>189568.37408885203</v>
      </c>
      <c r="Q200" s="222">
        <v>546297.2856214795</v>
      </c>
      <c r="R200" s="224">
        <v>7.471985488603826E7</v>
      </c>
      <c r="S200" s="222">
        <v>168.0</v>
      </c>
      <c r="T200" s="225"/>
    </row>
    <row r="201" ht="12.0" customHeight="1">
      <c r="C201" s="210">
        <v>193.0</v>
      </c>
      <c r="D201" s="211">
        <v>49461.0</v>
      </c>
      <c r="E201" s="210">
        <f t="shared" si="2"/>
        <v>720357.0916</v>
      </c>
      <c r="F201" s="210">
        <f t="shared" si="3"/>
        <v>380024.6065</v>
      </c>
      <c r="G201" s="210">
        <f t="shared" si="4"/>
        <v>1100381.698</v>
      </c>
      <c r="H201" s="170">
        <f t="shared" si="6"/>
        <v>149784437.6</v>
      </c>
      <c r="I201" s="210">
        <f t="shared" si="5"/>
        <v>167</v>
      </c>
      <c r="K201" s="174"/>
      <c r="L201" s="5"/>
      <c r="M201" s="222">
        <v>193.0</v>
      </c>
      <c r="N201" s="223">
        <v>49461.0</v>
      </c>
      <c r="O201" s="222">
        <v>357629.65203424735</v>
      </c>
      <c r="P201" s="222">
        <v>188667.63358723215</v>
      </c>
      <c r="Q201" s="222">
        <v>546297.2856214795</v>
      </c>
      <c r="R201" s="224">
        <v>7.4362225234004E7</v>
      </c>
      <c r="S201" s="222">
        <v>167.0</v>
      </c>
      <c r="T201" s="225"/>
    </row>
    <row r="202" ht="12.0" customHeight="1">
      <c r="C202" s="210">
        <v>194.0</v>
      </c>
      <c r="D202" s="211">
        <v>49491.0</v>
      </c>
      <c r="E202" s="210">
        <f t="shared" si="2"/>
        <v>722175.9932</v>
      </c>
      <c r="F202" s="210">
        <f t="shared" si="3"/>
        <v>378205.7049</v>
      </c>
      <c r="G202" s="210">
        <f t="shared" si="4"/>
        <v>1100381.698</v>
      </c>
      <c r="H202" s="170">
        <f t="shared" si="6"/>
        <v>149062261.6</v>
      </c>
      <c r="I202" s="210">
        <f t="shared" si="5"/>
        <v>166</v>
      </c>
      <c r="K202" s="174"/>
      <c r="L202" s="5"/>
      <c r="M202" s="222">
        <v>194.0</v>
      </c>
      <c r="N202" s="223">
        <v>49491.0</v>
      </c>
      <c r="O202" s="222">
        <v>358532.6669056339</v>
      </c>
      <c r="P202" s="222">
        <v>187764.61871584563</v>
      </c>
      <c r="Q202" s="222">
        <v>546297.2856214795</v>
      </c>
      <c r="R202" s="224">
        <v>7.400369256709838E7</v>
      </c>
      <c r="S202" s="222">
        <v>166.0</v>
      </c>
      <c r="T202" s="225"/>
    </row>
    <row r="203" ht="12.0" customHeight="1">
      <c r="C203" s="210">
        <v>195.0</v>
      </c>
      <c r="D203" s="211">
        <v>49522.0</v>
      </c>
      <c r="E203" s="210">
        <f t="shared" si="2"/>
        <v>723999.4876</v>
      </c>
      <c r="F203" s="210">
        <f t="shared" si="3"/>
        <v>376382.2105</v>
      </c>
      <c r="G203" s="210">
        <f t="shared" si="4"/>
        <v>1100381.698</v>
      </c>
      <c r="H203" s="170">
        <f t="shared" si="6"/>
        <v>148338262.1</v>
      </c>
      <c r="I203" s="210">
        <f t="shared" si="5"/>
        <v>165</v>
      </c>
      <c r="K203" s="174"/>
      <c r="L203" s="5"/>
      <c r="M203" s="222">
        <v>195.0</v>
      </c>
      <c r="N203" s="223">
        <v>49522.0</v>
      </c>
      <c r="O203" s="222">
        <v>359437.9618895706</v>
      </c>
      <c r="P203" s="222">
        <v>186859.32373190892</v>
      </c>
      <c r="Q203" s="222">
        <v>546297.2856214795</v>
      </c>
      <c r="R203" s="224">
        <v>7.364425460520881E7</v>
      </c>
      <c r="S203" s="222">
        <v>165.0</v>
      </c>
      <c r="T203" s="225"/>
    </row>
    <row r="204" ht="12.0" customHeight="1">
      <c r="C204" s="210">
        <v>196.0</v>
      </c>
      <c r="D204" s="211">
        <v>49553.0</v>
      </c>
      <c r="E204" s="210">
        <f t="shared" si="2"/>
        <v>725827.5863</v>
      </c>
      <c r="F204" s="210">
        <f t="shared" si="3"/>
        <v>374554.1118</v>
      </c>
      <c r="G204" s="210">
        <f t="shared" si="4"/>
        <v>1100381.698</v>
      </c>
      <c r="H204" s="170">
        <f t="shared" si="6"/>
        <v>147612434.5</v>
      </c>
      <c r="I204" s="210">
        <f t="shared" si="5"/>
        <v>164</v>
      </c>
      <c r="K204" s="174"/>
      <c r="L204" s="5"/>
      <c r="M204" s="222">
        <v>196.0</v>
      </c>
      <c r="N204" s="223">
        <v>49553.0</v>
      </c>
      <c r="O204" s="222">
        <v>360345.54274334176</v>
      </c>
      <c r="P204" s="222">
        <v>185951.74287813774</v>
      </c>
      <c r="Q204" s="222">
        <v>546297.2856214795</v>
      </c>
      <c r="R204" s="224">
        <v>7.328390906246547E7</v>
      </c>
      <c r="S204" s="222">
        <v>164.0</v>
      </c>
      <c r="T204" s="225"/>
    </row>
    <row r="205" ht="12.0" customHeight="1">
      <c r="C205" s="210">
        <v>197.0</v>
      </c>
      <c r="D205" s="211">
        <v>49583.0</v>
      </c>
      <c r="E205" s="210">
        <f t="shared" si="2"/>
        <v>727660.301</v>
      </c>
      <c r="F205" s="210">
        <f t="shared" si="3"/>
        <v>372721.3971</v>
      </c>
      <c r="G205" s="210">
        <f t="shared" si="4"/>
        <v>1100381.698</v>
      </c>
      <c r="H205" s="170">
        <f t="shared" si="6"/>
        <v>146884774.2</v>
      </c>
      <c r="I205" s="210">
        <f t="shared" si="5"/>
        <v>163</v>
      </c>
      <c r="K205" s="174"/>
      <c r="L205" s="5"/>
      <c r="M205" s="222">
        <v>197.0</v>
      </c>
      <c r="N205" s="223">
        <v>49583.0</v>
      </c>
      <c r="O205" s="222">
        <v>361255.4152387687</v>
      </c>
      <c r="P205" s="222">
        <v>185041.87038271083</v>
      </c>
      <c r="Q205" s="222">
        <v>546297.2856214795</v>
      </c>
      <c r="R205" s="224">
        <v>7.29226536472267E7</v>
      </c>
      <c r="S205" s="222">
        <v>163.0</v>
      </c>
      <c r="T205" s="225"/>
    </row>
    <row r="206" ht="12.0" customHeight="1">
      <c r="C206" s="210">
        <v>198.0</v>
      </c>
      <c r="D206" s="211">
        <v>49614.0</v>
      </c>
      <c r="E206" s="210">
        <f t="shared" si="2"/>
        <v>729497.6432</v>
      </c>
      <c r="F206" s="210">
        <f t="shared" si="3"/>
        <v>370884.0549</v>
      </c>
      <c r="G206" s="210">
        <f t="shared" si="4"/>
        <v>1100381.698</v>
      </c>
      <c r="H206" s="170">
        <f t="shared" si="6"/>
        <v>146155276.6</v>
      </c>
      <c r="I206" s="210">
        <f t="shared" si="5"/>
        <v>162</v>
      </c>
      <c r="K206" s="174"/>
      <c r="L206" s="5"/>
      <c r="M206" s="222">
        <v>198.0</v>
      </c>
      <c r="N206" s="223">
        <v>49614.0</v>
      </c>
      <c r="O206" s="222">
        <v>362167.58516224654</v>
      </c>
      <c r="P206" s="222">
        <v>184129.70045923296</v>
      </c>
      <c r="Q206" s="222">
        <v>546297.2856214795</v>
      </c>
      <c r="R206" s="224">
        <v>7.256048606206445E7</v>
      </c>
      <c r="S206" s="222">
        <v>162.0</v>
      </c>
      <c r="T206" s="225"/>
    </row>
    <row r="207" ht="12.0" customHeight="1">
      <c r="C207" s="210">
        <v>199.0</v>
      </c>
      <c r="D207" s="211">
        <v>49644.0</v>
      </c>
      <c r="E207" s="210">
        <f t="shared" si="2"/>
        <v>731339.6248</v>
      </c>
      <c r="F207" s="210">
        <f t="shared" si="3"/>
        <v>369042.0733</v>
      </c>
      <c r="G207" s="210">
        <f t="shared" si="4"/>
        <v>1100381.698</v>
      </c>
      <c r="H207" s="170">
        <f t="shared" si="6"/>
        <v>145423936.9</v>
      </c>
      <c r="I207" s="210">
        <f t="shared" si="5"/>
        <v>161</v>
      </c>
      <c r="K207" s="174"/>
      <c r="L207" s="5"/>
      <c r="M207" s="222">
        <v>199.0</v>
      </c>
      <c r="N207" s="223">
        <v>49644.0</v>
      </c>
      <c r="O207" s="222">
        <v>363082.0583147812</v>
      </c>
      <c r="P207" s="222">
        <v>183215.22730669827</v>
      </c>
      <c r="Q207" s="222">
        <v>546297.2856214795</v>
      </c>
      <c r="R207" s="224">
        <v>7.219740400374967E7</v>
      </c>
      <c r="S207" s="222">
        <v>161.0</v>
      </c>
      <c r="T207" s="225"/>
    </row>
    <row r="208" ht="12.0" customHeight="1">
      <c r="C208" s="210">
        <v>200.0</v>
      </c>
      <c r="D208" s="211">
        <v>49675.0</v>
      </c>
      <c r="E208" s="210">
        <f t="shared" si="2"/>
        <v>733186.2573</v>
      </c>
      <c r="F208" s="210">
        <f t="shared" si="3"/>
        <v>367195.4408</v>
      </c>
      <c r="G208" s="210">
        <f t="shared" si="4"/>
        <v>1100381.698</v>
      </c>
      <c r="H208" s="170">
        <f t="shared" si="6"/>
        <v>144690750.7</v>
      </c>
      <c r="I208" s="210">
        <f t="shared" si="5"/>
        <v>160</v>
      </c>
      <c r="K208" s="174"/>
      <c r="L208" s="5"/>
      <c r="M208" s="222">
        <v>200.0</v>
      </c>
      <c r="N208" s="223">
        <v>49675.0</v>
      </c>
      <c r="O208" s="222">
        <v>363998.8405120261</v>
      </c>
      <c r="P208" s="222">
        <v>182298.4451094534</v>
      </c>
      <c r="Q208" s="222">
        <v>546297.2856214795</v>
      </c>
      <c r="R208" s="224">
        <v>7.183340516323765E7</v>
      </c>
      <c r="S208" s="222">
        <v>160.0</v>
      </c>
      <c r="T208" s="225"/>
    </row>
    <row r="209" ht="12.0" customHeight="1">
      <c r="C209" s="210">
        <v>201.0</v>
      </c>
      <c r="D209" s="211">
        <v>49706.0</v>
      </c>
      <c r="E209" s="210">
        <f t="shared" si="2"/>
        <v>735037.5526</v>
      </c>
      <c r="F209" s="210">
        <f t="shared" si="3"/>
        <v>365344.1455</v>
      </c>
      <c r="G209" s="210">
        <f t="shared" si="4"/>
        <v>1100381.698</v>
      </c>
      <c r="H209" s="170">
        <f t="shared" si="6"/>
        <v>143955713.1</v>
      </c>
      <c r="I209" s="210">
        <f t="shared" si="5"/>
        <v>159</v>
      </c>
      <c r="K209" s="174"/>
      <c r="L209" s="5"/>
      <c r="M209" s="222">
        <v>201.0</v>
      </c>
      <c r="N209" s="223">
        <v>49706.0</v>
      </c>
      <c r="O209" s="222">
        <v>364917.937584319</v>
      </c>
      <c r="P209" s="222">
        <v>181379.34803716053</v>
      </c>
      <c r="Q209" s="222">
        <v>546297.2856214795</v>
      </c>
      <c r="R209" s="224">
        <v>7.146848722565332E7</v>
      </c>
      <c r="S209" s="222">
        <v>159.0</v>
      </c>
      <c r="T209" s="225"/>
    </row>
    <row r="210" ht="12.0" customHeight="1">
      <c r="C210" s="210">
        <v>202.0</v>
      </c>
      <c r="D210" s="211">
        <v>49735.0</v>
      </c>
      <c r="E210" s="210">
        <f t="shared" si="2"/>
        <v>736893.5224</v>
      </c>
      <c r="F210" s="210">
        <f t="shared" si="3"/>
        <v>363488.1757</v>
      </c>
      <c r="G210" s="210">
        <f t="shared" si="4"/>
        <v>1100381.698</v>
      </c>
      <c r="H210" s="170">
        <f t="shared" si="6"/>
        <v>143218819.6</v>
      </c>
      <c r="I210" s="210">
        <f t="shared" si="5"/>
        <v>158</v>
      </c>
      <c r="K210" s="174"/>
      <c r="L210" s="5"/>
      <c r="M210" s="222">
        <v>202.0</v>
      </c>
      <c r="N210" s="223">
        <v>49735.0</v>
      </c>
      <c r="O210" s="222">
        <v>365839.3553767194</v>
      </c>
      <c r="P210" s="222">
        <v>180457.93024476012</v>
      </c>
      <c r="Q210" s="222">
        <v>546297.2856214795</v>
      </c>
      <c r="R210" s="224">
        <v>7.11026478702766E7</v>
      </c>
      <c r="S210" s="222">
        <v>158.0</v>
      </c>
      <c r="T210" s="225"/>
    </row>
    <row r="211" ht="12.0" customHeight="1">
      <c r="C211" s="210">
        <v>203.0</v>
      </c>
      <c r="D211" s="211">
        <v>49766.0</v>
      </c>
      <c r="E211" s="210">
        <f t="shared" si="2"/>
        <v>738754.1786</v>
      </c>
      <c r="F211" s="210">
        <f t="shared" si="3"/>
        <v>361627.5195</v>
      </c>
      <c r="G211" s="210">
        <f t="shared" si="4"/>
        <v>1100381.698</v>
      </c>
      <c r="H211" s="170">
        <f t="shared" si="6"/>
        <v>142480065.4</v>
      </c>
      <c r="I211" s="210">
        <f t="shared" si="5"/>
        <v>157</v>
      </c>
      <c r="K211" s="174"/>
      <c r="L211" s="5"/>
      <c r="M211" s="222">
        <v>203.0</v>
      </c>
      <c r="N211" s="223">
        <v>49766.0</v>
      </c>
      <c r="O211" s="222">
        <v>366763.0997490455</v>
      </c>
      <c r="P211" s="222">
        <v>179534.185872434</v>
      </c>
      <c r="Q211" s="222">
        <v>546297.2856214795</v>
      </c>
      <c r="R211" s="224">
        <v>7.073588477052756E7</v>
      </c>
      <c r="S211" s="222">
        <v>157.0</v>
      </c>
      <c r="T211" s="225"/>
    </row>
    <row r="212" ht="12.0" customHeight="1">
      <c r="C212" s="210">
        <v>204.0</v>
      </c>
      <c r="D212" s="211">
        <v>49796.0</v>
      </c>
      <c r="E212" s="210">
        <f t="shared" si="2"/>
        <v>740619.5329</v>
      </c>
      <c r="F212" s="210">
        <f t="shared" si="3"/>
        <v>359762.1652</v>
      </c>
      <c r="G212" s="210">
        <f t="shared" si="4"/>
        <v>1100381.698</v>
      </c>
      <c r="H212" s="170">
        <f t="shared" si="6"/>
        <v>141739445.9</v>
      </c>
      <c r="I212" s="210">
        <f t="shared" si="5"/>
        <v>156</v>
      </c>
      <c r="K212" s="174"/>
      <c r="L212" s="5"/>
      <c r="M212" s="222">
        <v>204.0</v>
      </c>
      <c r="N212" s="223">
        <v>49796.0</v>
      </c>
      <c r="O212" s="222">
        <v>367689.1765759119</v>
      </c>
      <c r="P212" s="222">
        <v>178608.10904556763</v>
      </c>
      <c r="Q212" s="222">
        <v>546297.2856214795</v>
      </c>
      <c r="R212" s="224">
        <v>7.036819559395164E7</v>
      </c>
      <c r="S212" s="222">
        <v>156.0</v>
      </c>
      <c r="T212" s="225"/>
    </row>
    <row r="213" ht="12.0" customHeight="1">
      <c r="C213" s="210">
        <v>205.0</v>
      </c>
      <c r="D213" s="211">
        <v>49827.0</v>
      </c>
      <c r="E213" s="210">
        <f t="shared" si="2"/>
        <v>742489.5972</v>
      </c>
      <c r="F213" s="210">
        <f t="shared" si="3"/>
        <v>357892.1009</v>
      </c>
      <c r="G213" s="210">
        <f t="shared" si="4"/>
        <v>1100381.698</v>
      </c>
      <c r="H213" s="170">
        <f t="shared" si="6"/>
        <v>140996956.3</v>
      </c>
      <c r="I213" s="210">
        <f t="shared" si="5"/>
        <v>155</v>
      </c>
      <c r="K213" s="174"/>
      <c r="L213" s="5"/>
      <c r="M213" s="222">
        <v>205.0</v>
      </c>
      <c r="N213" s="223">
        <v>49827.0</v>
      </c>
      <c r="O213" s="222">
        <v>368617.59174676606</v>
      </c>
      <c r="P213" s="222">
        <v>177679.69387471344</v>
      </c>
      <c r="Q213" s="222">
        <v>546297.2856214795</v>
      </c>
      <c r="R213" s="224">
        <v>6.999957800220488E7</v>
      </c>
      <c r="S213" s="222">
        <v>155.0</v>
      </c>
      <c r="T213" s="225"/>
    </row>
    <row r="214" ht="12.0" customHeight="1">
      <c r="C214" s="210">
        <v>206.0</v>
      </c>
      <c r="D214" s="211">
        <v>49857.0</v>
      </c>
      <c r="E214" s="210">
        <f t="shared" si="2"/>
        <v>744364.3834</v>
      </c>
      <c r="F214" s="210">
        <f t="shared" si="3"/>
        <v>356017.3147</v>
      </c>
      <c r="G214" s="210">
        <f t="shared" si="4"/>
        <v>1100381.698</v>
      </c>
      <c r="H214" s="170">
        <f t="shared" si="6"/>
        <v>140252591.9</v>
      </c>
      <c r="I214" s="210">
        <f t="shared" si="5"/>
        <v>154</v>
      </c>
      <c r="K214" s="174"/>
      <c r="L214" s="5"/>
      <c r="M214" s="222">
        <v>206.0</v>
      </c>
      <c r="N214" s="223">
        <v>49857.0</v>
      </c>
      <c r="O214" s="222">
        <v>369548.35116592667</v>
      </c>
      <c r="P214" s="222">
        <v>176748.93445555284</v>
      </c>
      <c r="Q214" s="222">
        <v>546297.2856214795</v>
      </c>
      <c r="R214" s="224">
        <v>6.963002965103896E7</v>
      </c>
      <c r="S214" s="222">
        <v>154.0</v>
      </c>
      <c r="T214" s="225"/>
    </row>
    <row r="215" ht="12.0" customHeight="1">
      <c r="C215" s="210">
        <v>207.0</v>
      </c>
      <c r="D215" s="211">
        <v>49888.0</v>
      </c>
      <c r="E215" s="210">
        <f t="shared" si="2"/>
        <v>746243.9035</v>
      </c>
      <c r="F215" s="210">
        <f t="shared" si="3"/>
        <v>354137.7946</v>
      </c>
      <c r="G215" s="210">
        <f t="shared" si="4"/>
        <v>1100381.698</v>
      </c>
      <c r="H215" s="170">
        <f t="shared" si="6"/>
        <v>139506348</v>
      </c>
      <c r="I215" s="210">
        <f t="shared" si="5"/>
        <v>153</v>
      </c>
      <c r="K215" s="174"/>
      <c r="L215" s="5"/>
      <c r="M215" s="222">
        <v>207.0</v>
      </c>
      <c r="N215" s="223">
        <v>49888.0</v>
      </c>
      <c r="O215" s="222">
        <v>370481.46075262065</v>
      </c>
      <c r="P215" s="222">
        <v>175815.82486885885</v>
      </c>
      <c r="Q215" s="222">
        <v>546297.2856214795</v>
      </c>
      <c r="R215" s="224">
        <v>6.925954819028634E7</v>
      </c>
      <c r="S215" s="222">
        <v>153.0</v>
      </c>
      <c r="T215" s="225"/>
    </row>
    <row r="216" ht="12.0" customHeight="1">
      <c r="C216" s="210">
        <v>208.0</v>
      </c>
      <c r="D216" s="211">
        <v>49919.0</v>
      </c>
      <c r="E216" s="210">
        <f t="shared" si="2"/>
        <v>748128.1694</v>
      </c>
      <c r="F216" s="210">
        <f t="shared" si="3"/>
        <v>352253.5287</v>
      </c>
      <c r="G216" s="210">
        <f t="shared" si="4"/>
        <v>1100381.698</v>
      </c>
      <c r="H216" s="170">
        <f t="shared" si="6"/>
        <v>138758219.8</v>
      </c>
      <c r="I216" s="210">
        <f t="shared" si="5"/>
        <v>152</v>
      </c>
      <c r="K216" s="174"/>
      <c r="L216" s="5"/>
      <c r="M216" s="222">
        <v>208.0</v>
      </c>
      <c r="N216" s="223">
        <v>49919.0</v>
      </c>
      <c r="O216" s="222">
        <v>371416.92644102103</v>
      </c>
      <c r="P216" s="222">
        <v>174880.35918045847</v>
      </c>
      <c r="Q216" s="222">
        <v>546297.2856214795</v>
      </c>
      <c r="R216" s="224">
        <v>6.888813126384532E7</v>
      </c>
      <c r="S216" s="222">
        <v>152.0</v>
      </c>
      <c r="T216" s="225"/>
    </row>
    <row r="217" ht="12.0" customHeight="1">
      <c r="C217" s="210">
        <v>209.0</v>
      </c>
      <c r="D217" s="211">
        <v>49949.0</v>
      </c>
      <c r="E217" s="210">
        <f t="shared" si="2"/>
        <v>750017.193</v>
      </c>
      <c r="F217" s="210">
        <f t="shared" si="3"/>
        <v>350364.5051</v>
      </c>
      <c r="G217" s="210">
        <f t="shared" si="4"/>
        <v>1100381.698</v>
      </c>
      <c r="H217" s="170">
        <f t="shared" si="6"/>
        <v>138008202.7</v>
      </c>
      <c r="I217" s="210">
        <f t="shared" si="5"/>
        <v>151</v>
      </c>
      <c r="K217" s="174"/>
      <c r="L217" s="5"/>
      <c r="M217" s="222">
        <v>209.0</v>
      </c>
      <c r="N217" s="223">
        <v>49949.0</v>
      </c>
      <c r="O217" s="222">
        <v>372354.75418028457</v>
      </c>
      <c r="P217" s="222">
        <v>173942.53144119494</v>
      </c>
      <c r="Q217" s="222">
        <v>546297.2856214795</v>
      </c>
      <c r="R217" s="224">
        <v>6.851577650966504E7</v>
      </c>
      <c r="S217" s="222">
        <v>151.0</v>
      </c>
      <c r="T217" s="225"/>
    </row>
    <row r="218" ht="12.0" customHeight="1">
      <c r="C218" s="210">
        <v>210.0</v>
      </c>
      <c r="D218" s="211">
        <v>49980.0</v>
      </c>
      <c r="E218" s="210">
        <f t="shared" si="2"/>
        <v>751910.9864</v>
      </c>
      <c r="F218" s="210">
        <f t="shared" si="3"/>
        <v>348470.7117</v>
      </c>
      <c r="G218" s="210">
        <f t="shared" si="4"/>
        <v>1100381.698</v>
      </c>
      <c r="H218" s="170">
        <f t="shared" si="6"/>
        <v>137256291.7</v>
      </c>
      <c r="I218" s="210">
        <f t="shared" si="5"/>
        <v>150</v>
      </c>
      <c r="K218" s="174"/>
      <c r="L218" s="5"/>
      <c r="M218" s="222">
        <v>210.0</v>
      </c>
      <c r="N218" s="223">
        <v>49980.0</v>
      </c>
      <c r="O218" s="222">
        <v>373294.9499345898</v>
      </c>
      <c r="P218" s="222">
        <v>173002.3356868897</v>
      </c>
      <c r="Q218" s="222">
        <v>546297.2856214795</v>
      </c>
      <c r="R218" s="224">
        <v>6.814248155973046E7</v>
      </c>
      <c r="S218" s="222">
        <v>150.0</v>
      </c>
      <c r="T218" s="225"/>
    </row>
    <row r="219" ht="12.0" customHeight="1">
      <c r="C219" s="210">
        <v>211.0</v>
      </c>
      <c r="D219" s="211">
        <v>50010.0</v>
      </c>
      <c r="E219" s="210">
        <f t="shared" si="2"/>
        <v>753809.5616</v>
      </c>
      <c r="F219" s="210">
        <f t="shared" si="3"/>
        <v>346572.1365</v>
      </c>
      <c r="G219" s="210">
        <f t="shared" si="4"/>
        <v>1100381.698</v>
      </c>
      <c r="H219" s="170">
        <f t="shared" si="6"/>
        <v>136502482.1</v>
      </c>
      <c r="I219" s="210">
        <f t="shared" si="5"/>
        <v>149</v>
      </c>
      <c r="K219" s="174"/>
      <c r="L219" s="5"/>
      <c r="M219" s="222">
        <v>211.0</v>
      </c>
      <c r="N219" s="223">
        <v>50010.0</v>
      </c>
      <c r="O219" s="222">
        <v>374237.51968317456</v>
      </c>
      <c r="P219" s="222">
        <v>172059.76593830495</v>
      </c>
      <c r="Q219" s="222">
        <v>546297.2856214795</v>
      </c>
      <c r="R219" s="224">
        <v>6.776824404004729E7</v>
      </c>
      <c r="S219" s="222">
        <v>149.0</v>
      </c>
      <c r="T219" s="225"/>
    </row>
    <row r="220" ht="12.0" customHeight="1">
      <c r="C220" s="210">
        <v>212.0</v>
      </c>
      <c r="D220" s="211">
        <v>50041.0</v>
      </c>
      <c r="E220" s="210">
        <f t="shared" si="2"/>
        <v>755712.9308</v>
      </c>
      <c r="F220" s="210">
        <f t="shared" si="3"/>
        <v>344668.7673</v>
      </c>
      <c r="G220" s="210">
        <f t="shared" si="4"/>
        <v>1100381.698</v>
      </c>
      <c r="H220" s="170">
        <f t="shared" si="6"/>
        <v>135746769.2</v>
      </c>
      <c r="I220" s="210">
        <f t="shared" si="5"/>
        <v>148</v>
      </c>
      <c r="K220" s="174"/>
      <c r="L220" s="5"/>
      <c r="M220" s="222">
        <v>212.0</v>
      </c>
      <c r="N220" s="223">
        <v>50041.0</v>
      </c>
      <c r="O220" s="222">
        <v>375182.4694203746</v>
      </c>
      <c r="P220" s="222">
        <v>171114.8162011049</v>
      </c>
      <c r="Q220" s="222">
        <v>546297.2856214795</v>
      </c>
      <c r="R220" s="224">
        <v>6.739306157062691E7</v>
      </c>
      <c r="S220" s="222">
        <v>148.0</v>
      </c>
      <c r="T220" s="225"/>
    </row>
    <row r="221" ht="12.0" customHeight="1">
      <c r="C221" s="210">
        <v>213.0</v>
      </c>
      <c r="D221" s="211">
        <v>50072.0</v>
      </c>
      <c r="E221" s="210">
        <f t="shared" si="2"/>
        <v>757621.1059</v>
      </c>
      <c r="F221" s="210">
        <f t="shared" si="3"/>
        <v>342760.5922</v>
      </c>
      <c r="G221" s="210">
        <f t="shared" si="4"/>
        <v>1100381.698</v>
      </c>
      <c r="H221" s="170">
        <f t="shared" si="6"/>
        <v>134989148.1</v>
      </c>
      <c r="I221" s="210">
        <f t="shared" si="5"/>
        <v>147</v>
      </c>
      <c r="K221" s="174"/>
      <c r="L221" s="5"/>
      <c r="M221" s="222">
        <v>213.0</v>
      </c>
      <c r="N221" s="223">
        <v>50072.0</v>
      </c>
      <c r="O221" s="222">
        <v>376129.80515566113</v>
      </c>
      <c r="P221" s="222">
        <v>170167.48046581837</v>
      </c>
      <c r="Q221" s="222">
        <v>546297.2856214795</v>
      </c>
      <c r="R221" s="224">
        <v>6.701693176547125E7</v>
      </c>
      <c r="S221" s="222">
        <v>147.0</v>
      </c>
      <c r="T221" s="225"/>
    </row>
    <row r="222" ht="12.0" customHeight="1">
      <c r="C222" s="210">
        <v>214.0</v>
      </c>
      <c r="D222" s="211">
        <v>50100.0</v>
      </c>
      <c r="E222" s="210">
        <f t="shared" si="2"/>
        <v>759534.0992</v>
      </c>
      <c r="F222" s="210">
        <f t="shared" si="3"/>
        <v>340847.5989</v>
      </c>
      <c r="G222" s="210">
        <f t="shared" si="4"/>
        <v>1100381.698</v>
      </c>
      <c r="H222" s="170">
        <f t="shared" si="6"/>
        <v>134229614</v>
      </c>
      <c r="I222" s="210">
        <f t="shared" si="5"/>
        <v>146</v>
      </c>
      <c r="K222" s="174"/>
      <c r="L222" s="5"/>
      <c r="M222" s="222">
        <v>214.0</v>
      </c>
      <c r="N222" s="223">
        <v>50100.0</v>
      </c>
      <c r="O222" s="222">
        <v>377079.5329136791</v>
      </c>
      <c r="P222" s="222">
        <v>169217.75270780042</v>
      </c>
      <c r="Q222" s="222">
        <v>546297.2856214795</v>
      </c>
      <c r="R222" s="224">
        <v>6.663985223255757E7</v>
      </c>
      <c r="S222" s="222">
        <v>146.0</v>
      </c>
      <c r="T222" s="225"/>
    </row>
    <row r="223" ht="12.0" customHeight="1">
      <c r="C223" s="210">
        <v>215.0</v>
      </c>
      <c r="D223" s="211">
        <v>50131.0</v>
      </c>
      <c r="E223" s="210">
        <f t="shared" si="2"/>
        <v>761451.9228</v>
      </c>
      <c r="F223" s="210">
        <f t="shared" si="3"/>
        <v>338929.7753</v>
      </c>
      <c r="G223" s="210">
        <f t="shared" si="4"/>
        <v>1100381.698</v>
      </c>
      <c r="H223" s="170">
        <f t="shared" si="6"/>
        <v>133468162</v>
      </c>
      <c r="I223" s="210">
        <f t="shared" si="5"/>
        <v>145</v>
      </c>
      <c r="K223" s="174"/>
      <c r="L223" s="5"/>
      <c r="M223" s="222">
        <v>215.0</v>
      </c>
      <c r="N223" s="223">
        <v>50131.0</v>
      </c>
      <c r="O223" s="222">
        <v>378031.65873428626</v>
      </c>
      <c r="P223" s="222">
        <v>168265.62688719324</v>
      </c>
      <c r="Q223" s="222">
        <v>546297.2856214795</v>
      </c>
      <c r="R223" s="224">
        <v>6.626182057382329E7</v>
      </c>
      <c r="S223" s="222">
        <v>145.0</v>
      </c>
      <c r="T223" s="225"/>
    </row>
    <row r="224" ht="12.0" customHeight="1">
      <c r="C224" s="210">
        <v>216.0</v>
      </c>
      <c r="D224" s="211">
        <v>50161.0</v>
      </c>
      <c r="E224" s="210">
        <f t="shared" si="2"/>
        <v>763374.5889</v>
      </c>
      <c r="F224" s="210">
        <f t="shared" si="3"/>
        <v>337007.1092</v>
      </c>
      <c r="G224" s="210">
        <f t="shared" si="4"/>
        <v>1100381.698</v>
      </c>
      <c r="H224" s="170">
        <f t="shared" si="6"/>
        <v>132704787.5</v>
      </c>
      <c r="I224" s="210">
        <f t="shared" si="5"/>
        <v>144</v>
      </c>
      <c r="K224" s="174"/>
      <c r="L224" s="5"/>
      <c r="M224" s="222">
        <v>216.0</v>
      </c>
      <c r="N224" s="223">
        <v>50161.0</v>
      </c>
      <c r="O224" s="222">
        <v>378986.18867259024</v>
      </c>
      <c r="P224" s="222">
        <v>167311.09694888926</v>
      </c>
      <c r="Q224" s="222">
        <v>546297.2856214795</v>
      </c>
      <c r="R224" s="224">
        <v>6.58828343851507E7</v>
      </c>
      <c r="S224" s="222">
        <v>144.0</v>
      </c>
      <c r="T224" s="225"/>
    </row>
    <row r="225" ht="12.0" customHeight="1">
      <c r="C225" s="210">
        <v>217.0</v>
      </c>
      <c r="D225" s="211">
        <v>50192.0</v>
      </c>
      <c r="E225" s="210">
        <f t="shared" si="2"/>
        <v>765302.1098</v>
      </c>
      <c r="F225" s="210">
        <f t="shared" si="3"/>
        <v>335079.5883</v>
      </c>
      <c r="G225" s="210">
        <f t="shared" si="4"/>
        <v>1100381.698</v>
      </c>
      <c r="H225" s="170">
        <f t="shared" si="6"/>
        <v>131939485.3</v>
      </c>
      <c r="I225" s="210">
        <f t="shared" si="5"/>
        <v>143</v>
      </c>
      <c r="K225" s="174"/>
      <c r="L225" s="5"/>
      <c r="M225" s="222">
        <v>217.0</v>
      </c>
      <c r="N225" s="223">
        <v>50192.0</v>
      </c>
      <c r="O225" s="222">
        <v>379943.1287989886</v>
      </c>
      <c r="P225" s="222">
        <v>166354.1568224909</v>
      </c>
      <c r="Q225" s="222">
        <v>546297.2856214795</v>
      </c>
      <c r="R225" s="224">
        <v>6.550289125635171E7</v>
      </c>
      <c r="S225" s="222">
        <v>143.0</v>
      </c>
      <c r="T225" s="225"/>
    </row>
    <row r="226" ht="12.0" customHeight="1">
      <c r="C226" s="210">
        <v>218.0</v>
      </c>
      <c r="D226" s="211">
        <v>50222.0</v>
      </c>
      <c r="E226" s="210">
        <f t="shared" si="2"/>
        <v>767234.4976</v>
      </c>
      <c r="F226" s="210">
        <f t="shared" si="3"/>
        <v>333147.2005</v>
      </c>
      <c r="G226" s="210">
        <f t="shared" si="4"/>
        <v>1100381.698</v>
      </c>
      <c r="H226" s="170">
        <f t="shared" si="6"/>
        <v>131172250.8</v>
      </c>
      <c r="I226" s="210">
        <f t="shared" si="5"/>
        <v>142</v>
      </c>
      <c r="K226" s="174"/>
      <c r="L226" s="5"/>
      <c r="M226" s="222">
        <v>218.0</v>
      </c>
      <c r="N226" s="223">
        <v>50222.0</v>
      </c>
      <c r="O226" s="222">
        <v>380902.48519920604</v>
      </c>
      <c r="P226" s="222">
        <v>165394.80042227346</v>
      </c>
      <c r="Q226" s="222">
        <v>546297.2856214795</v>
      </c>
      <c r="R226" s="224">
        <v>6.5121988771152504E7</v>
      </c>
      <c r="S226" s="222">
        <v>142.0</v>
      </c>
      <c r="T226" s="225"/>
    </row>
    <row r="227" ht="12.0" customHeight="1">
      <c r="C227" s="210">
        <v>219.0</v>
      </c>
      <c r="D227" s="211">
        <v>50253.0</v>
      </c>
      <c r="E227" s="210">
        <f t="shared" si="2"/>
        <v>769171.7647</v>
      </c>
      <c r="F227" s="210">
        <f t="shared" si="3"/>
        <v>331209.9334</v>
      </c>
      <c r="G227" s="210">
        <f t="shared" si="4"/>
        <v>1100381.698</v>
      </c>
      <c r="H227" s="170">
        <f t="shared" si="6"/>
        <v>130403079.1</v>
      </c>
      <c r="I227" s="210">
        <f t="shared" si="5"/>
        <v>141</v>
      </c>
      <c r="K227" s="174"/>
      <c r="L227" s="5"/>
      <c r="M227" s="222">
        <v>219.0</v>
      </c>
      <c r="N227" s="223">
        <v>50253.0</v>
      </c>
      <c r="O227" s="222">
        <v>381864.26397433394</v>
      </c>
      <c r="P227" s="222">
        <v>164433.02164714556</v>
      </c>
      <c r="Q227" s="222">
        <v>546297.2856214795</v>
      </c>
      <c r="R227" s="224">
        <v>6.474012450717817E7</v>
      </c>
      <c r="S227" s="222">
        <v>141.0</v>
      </c>
      <c r="T227" s="225"/>
    </row>
    <row r="228" ht="12.0" customHeight="1">
      <c r="C228" s="210">
        <v>220.0</v>
      </c>
      <c r="D228" s="211">
        <v>50284.0</v>
      </c>
      <c r="E228" s="210">
        <f t="shared" si="2"/>
        <v>771113.9234</v>
      </c>
      <c r="F228" s="210">
        <f t="shared" si="3"/>
        <v>329267.7747</v>
      </c>
      <c r="G228" s="210">
        <f t="shared" si="4"/>
        <v>1100381.698</v>
      </c>
      <c r="H228" s="170">
        <f t="shared" si="6"/>
        <v>129631965.2</v>
      </c>
      <c r="I228" s="210">
        <f t="shared" si="5"/>
        <v>140</v>
      </c>
      <c r="K228" s="174"/>
      <c r="L228" s="5"/>
      <c r="M228" s="222">
        <v>220.0</v>
      </c>
      <c r="N228" s="223">
        <v>50284.0</v>
      </c>
      <c r="O228" s="222">
        <v>382828.47124086914</v>
      </c>
      <c r="P228" s="222">
        <v>163468.81438061036</v>
      </c>
      <c r="Q228" s="222">
        <v>546297.2856214795</v>
      </c>
      <c r="R228" s="224">
        <v>6.43572960359373E7</v>
      </c>
      <c r="S228" s="222">
        <v>140.0</v>
      </c>
      <c r="T228" s="225"/>
    </row>
    <row r="229" ht="12.0" customHeight="1">
      <c r="C229" s="210">
        <v>221.0</v>
      </c>
      <c r="D229" s="211">
        <v>50314.0</v>
      </c>
      <c r="E229" s="210">
        <f t="shared" si="2"/>
        <v>773060.9861</v>
      </c>
      <c r="F229" s="210">
        <f t="shared" si="3"/>
        <v>327320.712</v>
      </c>
      <c r="G229" s="210">
        <f t="shared" si="4"/>
        <v>1100381.698</v>
      </c>
      <c r="H229" s="170">
        <f t="shared" si="6"/>
        <v>128858904.2</v>
      </c>
      <c r="I229" s="210">
        <f t="shared" si="5"/>
        <v>139</v>
      </c>
      <c r="K229" s="174"/>
      <c r="L229" s="5"/>
      <c r="M229" s="222">
        <v>221.0</v>
      </c>
      <c r="N229" s="223">
        <v>50314.0</v>
      </c>
      <c r="O229" s="222">
        <v>383795.1131307523</v>
      </c>
      <c r="P229" s="222">
        <v>162502.17249072721</v>
      </c>
      <c r="Q229" s="222">
        <v>546297.2856214795</v>
      </c>
      <c r="R229" s="224">
        <v>6.3973500922806546E7</v>
      </c>
      <c r="S229" s="222">
        <v>139.0</v>
      </c>
      <c r="T229" s="225"/>
    </row>
    <row r="230" ht="12.0" customHeight="1">
      <c r="C230" s="210">
        <v>222.0</v>
      </c>
      <c r="D230" s="211">
        <v>50345.0</v>
      </c>
      <c r="E230" s="210">
        <f t="shared" si="2"/>
        <v>775012.9651</v>
      </c>
      <c r="F230" s="210">
        <f t="shared" si="3"/>
        <v>325368.733</v>
      </c>
      <c r="G230" s="210">
        <f t="shared" si="4"/>
        <v>1100381.698</v>
      </c>
      <c r="H230" s="170">
        <f t="shared" si="6"/>
        <v>128083891.2</v>
      </c>
      <c r="I230" s="210">
        <f t="shared" si="5"/>
        <v>138</v>
      </c>
      <c r="K230" s="174"/>
      <c r="L230" s="5"/>
      <c r="M230" s="222">
        <v>222.0</v>
      </c>
      <c r="N230" s="223">
        <v>50345.0</v>
      </c>
      <c r="O230" s="222">
        <v>384764.19579140755</v>
      </c>
      <c r="P230" s="222">
        <v>161533.08983007196</v>
      </c>
      <c r="Q230" s="222">
        <v>546297.2856214795</v>
      </c>
      <c r="R230" s="224">
        <v>6.358873672701514E7</v>
      </c>
      <c r="S230" s="222">
        <v>138.0</v>
      </c>
      <c r="T230" s="225"/>
    </row>
    <row r="231" ht="12.0" customHeight="1">
      <c r="C231" s="210">
        <v>223.0</v>
      </c>
      <c r="D231" s="211">
        <v>50375.0</v>
      </c>
      <c r="E231" s="210">
        <f t="shared" si="2"/>
        <v>776969.8728</v>
      </c>
      <c r="F231" s="210">
        <f t="shared" si="3"/>
        <v>323411.8253</v>
      </c>
      <c r="G231" s="210">
        <f t="shared" si="4"/>
        <v>1100381.698</v>
      </c>
      <c r="H231" s="170">
        <f t="shared" si="6"/>
        <v>127306921.3</v>
      </c>
      <c r="I231" s="210">
        <f t="shared" si="5"/>
        <v>137</v>
      </c>
      <c r="K231" s="174"/>
      <c r="L231" s="5"/>
      <c r="M231" s="222">
        <v>223.0</v>
      </c>
      <c r="N231" s="223">
        <v>50375.0</v>
      </c>
      <c r="O231" s="222">
        <v>385735.7253857808</v>
      </c>
      <c r="P231" s="222">
        <v>160561.5602356987</v>
      </c>
      <c r="Q231" s="222">
        <v>546297.2856214795</v>
      </c>
      <c r="R231" s="224">
        <v>6.320300100162936E7</v>
      </c>
      <c r="S231" s="222">
        <v>137.0</v>
      </c>
      <c r="T231" s="225"/>
    </row>
    <row r="232" ht="12.0" customHeight="1">
      <c r="C232" s="210">
        <v>224.0</v>
      </c>
      <c r="D232" s="211">
        <v>50406.0</v>
      </c>
      <c r="E232" s="210">
        <f t="shared" si="2"/>
        <v>778931.7217</v>
      </c>
      <c r="F232" s="210">
        <f t="shared" si="3"/>
        <v>321449.9764</v>
      </c>
      <c r="G232" s="210">
        <f t="shared" si="4"/>
        <v>1100381.698</v>
      </c>
      <c r="H232" s="170">
        <f t="shared" si="6"/>
        <v>126527989.6</v>
      </c>
      <c r="I232" s="210">
        <f t="shared" si="5"/>
        <v>136</v>
      </c>
      <c r="K232" s="174"/>
      <c r="L232" s="5"/>
      <c r="M232" s="222">
        <v>224.0</v>
      </c>
      <c r="N232" s="223">
        <v>50406.0</v>
      </c>
      <c r="O232" s="222">
        <v>386709.7080923799</v>
      </c>
      <c r="P232" s="222">
        <v>159587.5775290996</v>
      </c>
      <c r="Q232" s="222">
        <v>546297.2856214795</v>
      </c>
      <c r="R232" s="224">
        <v>6.281629129353698E7</v>
      </c>
      <c r="S232" s="222">
        <v>136.0</v>
      </c>
      <c r="T232" s="225"/>
    </row>
    <row r="233" ht="12.0" customHeight="1">
      <c r="C233" s="210">
        <v>225.0</v>
      </c>
      <c r="D233" s="211">
        <v>50437.0</v>
      </c>
      <c r="E233" s="210">
        <f t="shared" si="2"/>
        <v>780898.5243</v>
      </c>
      <c r="F233" s="210">
        <f t="shared" si="3"/>
        <v>319483.1738</v>
      </c>
      <c r="G233" s="210">
        <f t="shared" si="4"/>
        <v>1100381.698</v>
      </c>
      <c r="H233" s="170">
        <f t="shared" si="6"/>
        <v>125747091.1</v>
      </c>
      <c r="I233" s="210">
        <f t="shared" si="5"/>
        <v>135</v>
      </c>
      <c r="K233" s="174"/>
      <c r="L233" s="5"/>
      <c r="M233" s="222">
        <v>225.0</v>
      </c>
      <c r="N233" s="223">
        <v>50437.0</v>
      </c>
      <c r="O233" s="222">
        <v>387686.15010531317</v>
      </c>
      <c r="P233" s="222">
        <v>158611.13551616634</v>
      </c>
      <c r="Q233" s="222">
        <v>546297.2856214795</v>
      </c>
      <c r="R233" s="224">
        <v>6.242860514343167E7</v>
      </c>
      <c r="S233" s="222">
        <v>135.0</v>
      </c>
      <c r="T233" s="225"/>
    </row>
    <row r="234" ht="12.0" customHeight="1">
      <c r="C234" s="210">
        <v>226.0</v>
      </c>
      <c r="D234" s="211">
        <v>50465.0</v>
      </c>
      <c r="E234" s="210">
        <f t="shared" si="2"/>
        <v>782870.2931</v>
      </c>
      <c r="F234" s="210">
        <f t="shared" si="3"/>
        <v>317511.405</v>
      </c>
      <c r="G234" s="210">
        <f t="shared" si="4"/>
        <v>1100381.698</v>
      </c>
      <c r="H234" s="170">
        <f t="shared" si="6"/>
        <v>124964220.8</v>
      </c>
      <c r="I234" s="210">
        <f t="shared" si="5"/>
        <v>134</v>
      </c>
      <c r="K234" s="174"/>
      <c r="L234" s="5"/>
      <c r="M234" s="222">
        <v>226.0</v>
      </c>
      <c r="N234" s="223">
        <v>50465.0</v>
      </c>
      <c r="O234" s="222">
        <v>388665.05763432913</v>
      </c>
      <c r="P234" s="222">
        <v>157632.22798715037</v>
      </c>
      <c r="Q234" s="222">
        <v>546297.2856214795</v>
      </c>
      <c r="R234" s="224">
        <v>6.203994008579734E7</v>
      </c>
      <c r="S234" s="222">
        <v>134.0</v>
      </c>
      <c r="T234" s="225"/>
    </row>
    <row r="235" ht="12.0" customHeight="1">
      <c r="C235" s="210">
        <v>227.0</v>
      </c>
      <c r="D235" s="211">
        <v>50496.0</v>
      </c>
      <c r="E235" s="210">
        <f t="shared" si="2"/>
        <v>784847.0406</v>
      </c>
      <c r="F235" s="210">
        <f t="shared" si="3"/>
        <v>315534.6575</v>
      </c>
      <c r="G235" s="210">
        <f t="shared" si="4"/>
        <v>1100381.698</v>
      </c>
      <c r="H235" s="170">
        <f t="shared" si="6"/>
        <v>124179373.8</v>
      </c>
      <c r="I235" s="210">
        <f t="shared" si="5"/>
        <v>133</v>
      </c>
      <c r="K235" s="174"/>
      <c r="L235" s="5"/>
      <c r="M235" s="222">
        <v>227.0</v>
      </c>
      <c r="N235" s="223">
        <v>50496.0</v>
      </c>
      <c r="O235" s="222">
        <v>389646.4369048557</v>
      </c>
      <c r="P235" s="222">
        <v>156650.8487166238</v>
      </c>
      <c r="Q235" s="222">
        <v>546297.2856214795</v>
      </c>
      <c r="R235" s="224">
        <v>6.1650293648892485E7</v>
      </c>
      <c r="S235" s="222">
        <v>133.0</v>
      </c>
      <c r="T235" s="225"/>
    </row>
    <row r="236" ht="12.0" customHeight="1">
      <c r="C236" s="210">
        <v>228.0</v>
      </c>
      <c r="D236" s="211">
        <v>50526.0</v>
      </c>
      <c r="E236" s="210">
        <f t="shared" si="2"/>
        <v>786828.7794</v>
      </c>
      <c r="F236" s="210">
        <f t="shared" si="3"/>
        <v>313552.9187</v>
      </c>
      <c r="G236" s="210">
        <f t="shared" si="4"/>
        <v>1100381.698</v>
      </c>
      <c r="H236" s="170">
        <f t="shared" si="6"/>
        <v>123392545</v>
      </c>
      <c r="I236" s="210">
        <f t="shared" si="5"/>
        <v>132</v>
      </c>
      <c r="K236" s="174"/>
      <c r="L236" s="5"/>
      <c r="M236" s="222">
        <v>228.0</v>
      </c>
      <c r="N236" s="223">
        <v>50526.0</v>
      </c>
      <c r="O236" s="222">
        <v>390630.29415804055</v>
      </c>
      <c r="P236" s="222">
        <v>155666.99146343896</v>
      </c>
      <c r="Q236" s="222">
        <v>546297.2856214795</v>
      </c>
      <c r="R236" s="224">
        <v>6.125966335473444E7</v>
      </c>
      <c r="S236" s="222">
        <v>132.0</v>
      </c>
      <c r="T236" s="225"/>
    </row>
    <row r="237" ht="12.0" customHeight="1">
      <c r="C237" s="210">
        <v>229.0</v>
      </c>
      <c r="D237" s="211">
        <v>50557.0</v>
      </c>
      <c r="E237" s="210">
        <f t="shared" si="2"/>
        <v>788815.522</v>
      </c>
      <c r="F237" s="210">
        <f t="shared" si="3"/>
        <v>311566.1761</v>
      </c>
      <c r="G237" s="210">
        <f t="shared" si="4"/>
        <v>1100381.698</v>
      </c>
      <c r="H237" s="170">
        <f t="shared" si="6"/>
        <v>122603729.5</v>
      </c>
      <c r="I237" s="210">
        <f t="shared" si="5"/>
        <v>131</v>
      </c>
      <c r="K237" s="174"/>
      <c r="L237" s="5"/>
      <c r="M237" s="222">
        <v>229.0</v>
      </c>
      <c r="N237" s="223">
        <v>50557.0</v>
      </c>
      <c r="O237" s="222">
        <v>391616.6356507896</v>
      </c>
      <c r="P237" s="222">
        <v>154680.6499706899</v>
      </c>
      <c r="Q237" s="222">
        <v>546297.2856214795</v>
      </c>
      <c r="R237" s="224">
        <v>6.086804671908365E7</v>
      </c>
      <c r="S237" s="222">
        <v>131.0</v>
      </c>
      <c r="T237" s="225"/>
    </row>
    <row r="238" ht="12.0" customHeight="1">
      <c r="C238" s="210">
        <v>230.0</v>
      </c>
      <c r="D238" s="211">
        <v>50587.0</v>
      </c>
      <c r="E238" s="210">
        <f t="shared" si="2"/>
        <v>790807.2812</v>
      </c>
      <c r="F238" s="210">
        <f t="shared" si="3"/>
        <v>309574.4169</v>
      </c>
      <c r="G238" s="210">
        <f t="shared" si="4"/>
        <v>1100381.698</v>
      </c>
      <c r="H238" s="170">
        <f t="shared" si="6"/>
        <v>121812922.2</v>
      </c>
      <c r="I238" s="210">
        <f t="shared" si="5"/>
        <v>130</v>
      </c>
      <c r="K238" s="174"/>
      <c r="L238" s="5"/>
      <c r="M238" s="222">
        <v>230.0</v>
      </c>
      <c r="N238" s="223">
        <v>50587.0</v>
      </c>
      <c r="O238" s="222">
        <v>392605.46765580785</v>
      </c>
      <c r="P238" s="222">
        <v>153691.81796567165</v>
      </c>
      <c r="Q238" s="222">
        <v>546297.2856214795</v>
      </c>
      <c r="R238" s="224">
        <v>6.0475441251427844E7</v>
      </c>
      <c r="S238" s="222">
        <v>130.0</v>
      </c>
      <c r="T238" s="225"/>
    </row>
    <row r="239" ht="12.0" customHeight="1">
      <c r="C239" s="210">
        <v>231.0</v>
      </c>
      <c r="D239" s="211">
        <v>50618.0</v>
      </c>
      <c r="E239" s="210">
        <f t="shared" si="2"/>
        <v>792804.0696</v>
      </c>
      <c r="F239" s="210">
        <f t="shared" si="3"/>
        <v>307577.6285</v>
      </c>
      <c r="G239" s="210">
        <f t="shared" si="4"/>
        <v>1100381.698</v>
      </c>
      <c r="H239" s="170">
        <f t="shared" si="6"/>
        <v>121020118.1</v>
      </c>
      <c r="I239" s="210">
        <f t="shared" si="5"/>
        <v>129</v>
      </c>
      <c r="K239" s="174"/>
      <c r="L239" s="5"/>
      <c r="M239" s="222">
        <v>231.0</v>
      </c>
      <c r="N239" s="223">
        <v>50618.0</v>
      </c>
      <c r="O239" s="222">
        <v>393596.79646163876</v>
      </c>
      <c r="P239" s="222">
        <v>152700.48915984074</v>
      </c>
      <c r="Q239" s="222">
        <v>546297.2856214795</v>
      </c>
      <c r="R239" s="224">
        <v>6.00818444549662E7</v>
      </c>
      <c r="S239" s="222">
        <v>129.0</v>
      </c>
      <c r="T239" s="225"/>
    </row>
    <row r="240" ht="12.0" customHeight="1">
      <c r="C240" s="210">
        <v>232.0</v>
      </c>
      <c r="D240" s="211">
        <v>50649.0</v>
      </c>
      <c r="E240" s="210">
        <f t="shared" si="2"/>
        <v>794805.8999</v>
      </c>
      <c r="F240" s="210">
        <f t="shared" si="3"/>
        <v>305575.7982</v>
      </c>
      <c r="G240" s="210">
        <f t="shared" si="4"/>
        <v>1100381.698</v>
      </c>
      <c r="H240" s="170">
        <f t="shared" si="6"/>
        <v>120225312.2</v>
      </c>
      <c r="I240" s="210">
        <f t="shared" si="5"/>
        <v>128</v>
      </c>
      <c r="K240" s="174"/>
      <c r="L240" s="5"/>
      <c r="M240" s="222">
        <v>232.0</v>
      </c>
      <c r="N240" s="223">
        <v>50649.0</v>
      </c>
      <c r="O240" s="222">
        <v>394590.6283727044</v>
      </c>
      <c r="P240" s="222">
        <v>151706.65724877513</v>
      </c>
      <c r="Q240" s="222">
        <v>546297.2856214795</v>
      </c>
      <c r="R240" s="224">
        <v>5.9687253826593496E7</v>
      </c>
      <c r="S240" s="222">
        <v>128.0</v>
      </c>
      <c r="T240" s="225"/>
    </row>
    <row r="241" ht="12.0" customHeight="1">
      <c r="C241" s="210">
        <v>233.0</v>
      </c>
      <c r="D241" s="211">
        <v>50679.0</v>
      </c>
      <c r="E241" s="210">
        <f t="shared" si="2"/>
        <v>796812.7848</v>
      </c>
      <c r="F241" s="210">
        <f t="shared" si="3"/>
        <v>303568.9133</v>
      </c>
      <c r="G241" s="210">
        <f t="shared" si="4"/>
        <v>1100381.698</v>
      </c>
      <c r="H241" s="170">
        <f t="shared" si="6"/>
        <v>119428499.4</v>
      </c>
      <c r="I241" s="210">
        <f t="shared" si="5"/>
        <v>127</v>
      </c>
      <c r="K241" s="174"/>
      <c r="L241" s="5"/>
      <c r="M241" s="222">
        <v>233.0</v>
      </c>
      <c r="N241" s="223">
        <v>50679.0</v>
      </c>
      <c r="O241" s="222">
        <v>395586.96970934543</v>
      </c>
      <c r="P241" s="222">
        <v>150710.31591213407</v>
      </c>
      <c r="Q241" s="222">
        <v>546297.2856214795</v>
      </c>
      <c r="R241" s="224">
        <v>5.929166685688415E7</v>
      </c>
      <c r="S241" s="222">
        <v>127.0</v>
      </c>
      <c r="T241" s="225"/>
    </row>
    <row r="242" ht="12.0" customHeight="1">
      <c r="C242" s="210">
        <v>234.0</v>
      </c>
      <c r="D242" s="211">
        <v>50710.0</v>
      </c>
      <c r="E242" s="210">
        <f t="shared" si="2"/>
        <v>798824.7371</v>
      </c>
      <c r="F242" s="210">
        <f t="shared" si="3"/>
        <v>301556.961</v>
      </c>
      <c r="G242" s="210">
        <f t="shared" si="4"/>
        <v>1100381.698</v>
      </c>
      <c r="H242" s="170">
        <f t="shared" si="6"/>
        <v>118629674.7</v>
      </c>
      <c r="I242" s="210">
        <f t="shared" si="5"/>
        <v>126</v>
      </c>
      <c r="K242" s="174"/>
      <c r="L242" s="5"/>
      <c r="M242" s="222">
        <v>234.0</v>
      </c>
      <c r="N242" s="223">
        <v>50710.0</v>
      </c>
      <c r="O242" s="222">
        <v>396585.8268078615</v>
      </c>
      <c r="P242" s="222">
        <v>149711.458813618</v>
      </c>
      <c r="Q242" s="222">
        <v>546297.2856214795</v>
      </c>
      <c r="R242" s="224">
        <v>5.889508103007629E7</v>
      </c>
      <c r="S242" s="222">
        <v>126.0</v>
      </c>
      <c r="T242" s="225"/>
    </row>
    <row r="243" ht="12.0" customHeight="1">
      <c r="C243" s="210">
        <v>235.0</v>
      </c>
      <c r="D243" s="211">
        <v>50740.0</v>
      </c>
      <c r="E243" s="210">
        <f t="shared" si="2"/>
        <v>800841.7695</v>
      </c>
      <c r="F243" s="210">
        <f t="shared" si="3"/>
        <v>299539.9286</v>
      </c>
      <c r="G243" s="210">
        <f t="shared" si="4"/>
        <v>1100381.698</v>
      </c>
      <c r="H243" s="170">
        <f t="shared" si="6"/>
        <v>117828832.9</v>
      </c>
      <c r="I243" s="210">
        <f t="shared" si="5"/>
        <v>125</v>
      </c>
      <c r="K243" s="174"/>
      <c r="L243" s="5"/>
      <c r="M243" s="222">
        <v>235.0</v>
      </c>
      <c r="N243" s="223">
        <v>50740.0</v>
      </c>
      <c r="O243" s="222">
        <v>397587.2060205514</v>
      </c>
      <c r="P243" s="222">
        <v>148710.07960092812</v>
      </c>
      <c r="Q243" s="222">
        <v>546297.2856214795</v>
      </c>
      <c r="R243" s="224">
        <v>5.849749382405574E7</v>
      </c>
      <c r="S243" s="222">
        <v>125.0</v>
      </c>
      <c r="T243" s="225"/>
    </row>
    <row r="244" ht="12.0" customHeight="1">
      <c r="C244" s="210">
        <v>236.0</v>
      </c>
      <c r="D244" s="211">
        <v>50771.0</v>
      </c>
      <c r="E244" s="210">
        <f t="shared" si="2"/>
        <v>802863.895</v>
      </c>
      <c r="F244" s="210">
        <f t="shared" si="3"/>
        <v>297517.8031</v>
      </c>
      <c r="G244" s="210">
        <f t="shared" si="4"/>
        <v>1100381.698</v>
      </c>
      <c r="H244" s="170">
        <f t="shared" si="6"/>
        <v>117025969</v>
      </c>
      <c r="I244" s="210">
        <f t="shared" si="5"/>
        <v>124</v>
      </c>
      <c r="K244" s="174"/>
      <c r="L244" s="5"/>
      <c r="M244" s="222">
        <v>236.0</v>
      </c>
      <c r="N244" s="223">
        <v>50771.0</v>
      </c>
      <c r="O244" s="222">
        <v>398591.1137157533</v>
      </c>
      <c r="P244" s="222">
        <v>147706.1719057262</v>
      </c>
      <c r="Q244" s="222">
        <v>546297.2856214795</v>
      </c>
      <c r="R244" s="224">
        <v>5.8098902710339986E7</v>
      </c>
      <c r="S244" s="222">
        <v>124.0</v>
      </c>
      <c r="T244" s="225"/>
    </row>
    <row r="245" ht="12.0" customHeight="1">
      <c r="C245" s="210">
        <v>237.0</v>
      </c>
      <c r="D245" s="211">
        <v>50802.0</v>
      </c>
      <c r="E245" s="210">
        <f t="shared" si="2"/>
        <v>804891.1263</v>
      </c>
      <c r="F245" s="210">
        <f t="shared" si="3"/>
        <v>295490.5718</v>
      </c>
      <c r="G245" s="210">
        <f t="shared" si="4"/>
        <v>1100381.698</v>
      </c>
      <c r="H245" s="170">
        <f t="shared" si="6"/>
        <v>116221077.9</v>
      </c>
      <c r="I245" s="210">
        <f t="shared" si="5"/>
        <v>123</v>
      </c>
      <c r="K245" s="174"/>
      <c r="L245" s="5"/>
      <c r="M245" s="222">
        <v>237.0</v>
      </c>
      <c r="N245" s="223">
        <v>50802.0</v>
      </c>
      <c r="O245" s="222">
        <v>399597.5562778856</v>
      </c>
      <c r="P245" s="222">
        <v>146699.72934359388</v>
      </c>
      <c r="Q245" s="222">
        <v>546297.2856214795</v>
      </c>
      <c r="R245" s="224">
        <v>5.76993051540621E7</v>
      </c>
      <c r="S245" s="222">
        <v>123.0</v>
      </c>
      <c r="T245" s="225"/>
    </row>
    <row r="246" ht="12.0" customHeight="1">
      <c r="C246" s="210">
        <v>238.0</v>
      </c>
      <c r="D246" s="211">
        <v>50830.0</v>
      </c>
      <c r="E246" s="210">
        <f t="shared" si="2"/>
        <v>806923.4764</v>
      </c>
      <c r="F246" s="210">
        <f t="shared" si="3"/>
        <v>293458.2217</v>
      </c>
      <c r="G246" s="210">
        <f t="shared" si="4"/>
        <v>1100381.698</v>
      </c>
      <c r="H246" s="170">
        <f t="shared" si="6"/>
        <v>115414154.4</v>
      </c>
      <c r="I246" s="210">
        <f t="shared" si="5"/>
        <v>122</v>
      </c>
      <c r="K246" s="174"/>
      <c r="L246" s="5"/>
      <c r="M246" s="222">
        <v>238.0</v>
      </c>
      <c r="N246" s="223">
        <v>50830.0</v>
      </c>
      <c r="O246" s="222">
        <v>400606.54010748724</v>
      </c>
      <c r="P246" s="222">
        <v>145690.74551399227</v>
      </c>
      <c r="Q246" s="222">
        <v>546297.2856214795</v>
      </c>
      <c r="R246" s="224">
        <v>5.729869861395461E7</v>
      </c>
      <c r="S246" s="222">
        <v>122.0</v>
      </c>
      <c r="T246" s="225"/>
    </row>
    <row r="247" ht="12.0" customHeight="1">
      <c r="C247" s="210">
        <v>239.0</v>
      </c>
      <c r="D247" s="211">
        <v>50861.0</v>
      </c>
      <c r="E247" s="210">
        <f t="shared" si="2"/>
        <v>808960.9582</v>
      </c>
      <c r="F247" s="210">
        <f t="shared" si="3"/>
        <v>291420.7399</v>
      </c>
      <c r="G247" s="210">
        <f t="shared" si="4"/>
        <v>1100381.698</v>
      </c>
      <c r="H247" s="170">
        <f t="shared" si="6"/>
        <v>114605193.5</v>
      </c>
      <c r="I247" s="210">
        <f t="shared" si="5"/>
        <v>121</v>
      </c>
      <c r="K247" s="174"/>
      <c r="L247" s="5"/>
      <c r="M247" s="222">
        <v>239.0</v>
      </c>
      <c r="N247" s="223">
        <v>50861.0</v>
      </c>
      <c r="O247" s="222">
        <v>401618.0716212586</v>
      </c>
      <c r="P247" s="222">
        <v>144679.21400022088</v>
      </c>
      <c r="Q247" s="222">
        <v>546297.2856214795</v>
      </c>
      <c r="R247" s="224">
        <v>5.689708054233335E7</v>
      </c>
      <c r="S247" s="222">
        <v>121.0</v>
      </c>
      <c r="T247" s="225"/>
    </row>
    <row r="248" ht="12.0" customHeight="1">
      <c r="C248" s="210">
        <v>240.0</v>
      </c>
      <c r="D248" s="211">
        <v>50891.0</v>
      </c>
      <c r="E248" s="210">
        <f t="shared" si="2"/>
        <v>811003.5846</v>
      </c>
      <c r="F248" s="210">
        <f t="shared" si="3"/>
        <v>289378.1135</v>
      </c>
      <c r="G248" s="210">
        <f t="shared" si="4"/>
        <v>1100381.698</v>
      </c>
      <c r="H248" s="170">
        <f t="shared" si="6"/>
        <v>113794189.9</v>
      </c>
      <c r="I248" s="210">
        <f t="shared" si="5"/>
        <v>120</v>
      </c>
      <c r="K248" s="174"/>
      <c r="L248" s="5"/>
      <c r="M248" s="222">
        <v>240.0</v>
      </c>
      <c r="N248" s="223">
        <v>50891.0</v>
      </c>
      <c r="O248" s="222">
        <v>402632.15725210233</v>
      </c>
      <c r="P248" s="222">
        <v>143665.12836937717</v>
      </c>
      <c r="Q248" s="222">
        <v>546297.2856214795</v>
      </c>
      <c r="R248" s="224">
        <v>5.649444838508125E7</v>
      </c>
      <c r="S248" s="222">
        <v>120.0</v>
      </c>
      <c r="T248" s="225"/>
    </row>
    <row r="249" ht="12.0" customHeight="1">
      <c r="C249" s="210">
        <v>241.0</v>
      </c>
      <c r="D249" s="211">
        <v>50922.0</v>
      </c>
      <c r="E249" s="210">
        <f t="shared" si="2"/>
        <v>813051.3687</v>
      </c>
      <c r="F249" s="210">
        <f t="shared" si="3"/>
        <v>287330.3294</v>
      </c>
      <c r="G249" s="210">
        <f t="shared" si="4"/>
        <v>1100381.698</v>
      </c>
      <c r="H249" s="170">
        <f t="shared" si="6"/>
        <v>112981138.5</v>
      </c>
      <c r="I249" s="210">
        <f t="shared" si="5"/>
        <v>119</v>
      </c>
      <c r="K249" s="174"/>
      <c r="L249" s="5"/>
      <c r="M249" s="222">
        <v>241.0</v>
      </c>
      <c r="N249" s="223">
        <v>50922.0</v>
      </c>
      <c r="O249" s="222">
        <v>403648.8034491639</v>
      </c>
      <c r="P249" s="222">
        <v>142648.4821723156</v>
      </c>
      <c r="Q249" s="222">
        <v>546297.2856214795</v>
      </c>
      <c r="R249" s="224">
        <v>5.6090799581632085E7</v>
      </c>
      <c r="S249" s="222">
        <v>119.0</v>
      </c>
      <c r="T249" s="225"/>
    </row>
    <row r="250" ht="12.0" customHeight="1">
      <c r="C250" s="210">
        <v>242.0</v>
      </c>
      <c r="D250" s="211">
        <v>50952.0</v>
      </c>
      <c r="E250" s="210">
        <f t="shared" si="2"/>
        <v>815104.3234</v>
      </c>
      <c r="F250" s="210">
        <f t="shared" si="3"/>
        <v>285277.3747</v>
      </c>
      <c r="G250" s="210">
        <f t="shared" si="4"/>
        <v>1100381.698</v>
      </c>
      <c r="H250" s="170">
        <f t="shared" si="6"/>
        <v>112166034.2</v>
      </c>
      <c r="I250" s="210">
        <f t="shared" si="5"/>
        <v>118</v>
      </c>
      <c r="K250" s="174"/>
      <c r="L250" s="5"/>
      <c r="M250" s="222">
        <v>242.0</v>
      </c>
      <c r="N250" s="223">
        <v>50952.0</v>
      </c>
      <c r="O250" s="222">
        <v>404668.01667787303</v>
      </c>
      <c r="P250" s="222">
        <v>141629.26894360647</v>
      </c>
      <c r="Q250" s="222">
        <v>546297.2856214795</v>
      </c>
      <c r="R250" s="224">
        <v>5.5686131564954214E7</v>
      </c>
      <c r="S250" s="222">
        <v>118.0</v>
      </c>
      <c r="T250" s="225"/>
    </row>
    <row r="251" ht="12.0" customHeight="1">
      <c r="C251" s="210">
        <v>243.0</v>
      </c>
      <c r="D251" s="211">
        <v>50983.0</v>
      </c>
      <c r="E251" s="210">
        <f t="shared" si="2"/>
        <v>817162.4618</v>
      </c>
      <c r="F251" s="210">
        <f t="shared" si="3"/>
        <v>283219.2363</v>
      </c>
      <c r="G251" s="210">
        <f t="shared" si="4"/>
        <v>1100381.698</v>
      </c>
      <c r="H251" s="170">
        <f t="shared" si="6"/>
        <v>111348871.7</v>
      </c>
      <c r="I251" s="210">
        <f t="shared" si="5"/>
        <v>117</v>
      </c>
      <c r="K251" s="174"/>
      <c r="L251" s="5"/>
      <c r="M251" s="222">
        <v>243.0</v>
      </c>
      <c r="N251" s="223">
        <v>50983.0</v>
      </c>
      <c r="O251" s="222">
        <v>405689.8034199847</v>
      </c>
      <c r="P251" s="222">
        <v>140607.4822014948</v>
      </c>
      <c r="Q251" s="222">
        <v>546297.2856214795</v>
      </c>
      <c r="R251" s="224">
        <v>5.528044176153423E7</v>
      </c>
      <c r="S251" s="222">
        <v>117.0</v>
      </c>
      <c r="T251" s="225"/>
    </row>
    <row r="252" ht="12.0" customHeight="1">
      <c r="C252" s="210">
        <v>244.0</v>
      </c>
      <c r="D252" s="211">
        <v>51014.0</v>
      </c>
      <c r="E252" s="210">
        <f t="shared" si="2"/>
        <v>819225.797</v>
      </c>
      <c r="F252" s="210">
        <f t="shared" si="3"/>
        <v>281155.9011</v>
      </c>
      <c r="G252" s="210">
        <f t="shared" si="4"/>
        <v>1100381.698</v>
      </c>
      <c r="H252" s="170">
        <f t="shared" si="6"/>
        <v>110529645.9</v>
      </c>
      <c r="I252" s="210">
        <f t="shared" si="5"/>
        <v>116</v>
      </c>
      <c r="K252" s="174"/>
      <c r="L252" s="5"/>
      <c r="M252" s="222">
        <v>244.0</v>
      </c>
      <c r="N252" s="223">
        <v>51014.0</v>
      </c>
      <c r="O252" s="222">
        <v>406714.1701736201</v>
      </c>
      <c r="P252" s="222">
        <v>139583.1154478594</v>
      </c>
      <c r="Q252" s="222">
        <v>546297.2856214795</v>
      </c>
      <c r="R252" s="224">
        <v>5.4873727591360606E7</v>
      </c>
      <c r="S252" s="222">
        <v>116.0</v>
      </c>
      <c r="T252" s="225"/>
    </row>
    <row r="253" ht="12.0" customHeight="1">
      <c r="C253" s="210">
        <v>245.0</v>
      </c>
      <c r="D253" s="211">
        <v>51044.0</v>
      </c>
      <c r="E253" s="210">
        <f t="shared" si="2"/>
        <v>821294.3421</v>
      </c>
      <c r="F253" s="210">
        <f t="shared" si="3"/>
        <v>279087.356</v>
      </c>
      <c r="G253" s="210">
        <f t="shared" si="4"/>
        <v>1100381.698</v>
      </c>
      <c r="H253" s="170">
        <f t="shared" si="6"/>
        <v>109708351.6</v>
      </c>
      <c r="I253" s="210">
        <f t="shared" si="5"/>
        <v>115</v>
      </c>
      <c r="K253" s="174"/>
      <c r="L253" s="5"/>
      <c r="M253" s="222">
        <v>245.0</v>
      </c>
      <c r="N253" s="223">
        <v>51044.0</v>
      </c>
      <c r="O253" s="222">
        <v>407741.1234533085</v>
      </c>
      <c r="P253" s="222">
        <v>138556.16216817102</v>
      </c>
      <c r="Q253" s="222">
        <v>546297.2856214795</v>
      </c>
      <c r="R253" s="224">
        <v>5.4465986467907295E7</v>
      </c>
      <c r="S253" s="222">
        <v>115.0</v>
      </c>
      <c r="T253" s="225"/>
    </row>
    <row r="254" ht="12.0" customHeight="1">
      <c r="C254" s="210">
        <v>246.0</v>
      </c>
      <c r="D254" s="211">
        <v>51075.0</v>
      </c>
      <c r="E254" s="210">
        <f t="shared" si="2"/>
        <v>823368.1104</v>
      </c>
      <c r="F254" s="210">
        <f t="shared" si="3"/>
        <v>277013.5877</v>
      </c>
      <c r="G254" s="210">
        <f t="shared" si="4"/>
        <v>1100381.698</v>
      </c>
      <c r="H254" s="170">
        <f t="shared" si="6"/>
        <v>108884983.5</v>
      </c>
      <c r="I254" s="210">
        <f t="shared" si="5"/>
        <v>114</v>
      </c>
      <c r="K254" s="174"/>
      <c r="L254" s="5"/>
      <c r="M254" s="222">
        <v>246.0</v>
      </c>
      <c r="N254" s="223">
        <v>51075.0</v>
      </c>
      <c r="O254" s="222">
        <v>408770.66979002807</v>
      </c>
      <c r="P254" s="222">
        <v>137526.61583145143</v>
      </c>
      <c r="Q254" s="222">
        <v>546297.2856214795</v>
      </c>
      <c r="R254" s="224">
        <v>5.4057215798117265E7</v>
      </c>
      <c r="S254" s="222">
        <v>114.0</v>
      </c>
      <c r="T254" s="225"/>
    </row>
    <row r="255" ht="12.0" customHeight="1">
      <c r="C255" s="210">
        <v>247.0</v>
      </c>
      <c r="D255" s="211">
        <v>51105.0</v>
      </c>
      <c r="E255" s="210">
        <f t="shared" si="2"/>
        <v>825447.1148</v>
      </c>
      <c r="F255" s="210">
        <f t="shared" si="3"/>
        <v>274934.5833</v>
      </c>
      <c r="G255" s="210">
        <f t="shared" si="4"/>
        <v>1100381.698</v>
      </c>
      <c r="H255" s="170">
        <f t="shared" si="6"/>
        <v>108059536.4</v>
      </c>
      <c r="I255" s="210">
        <f t="shared" si="5"/>
        <v>113</v>
      </c>
      <c r="K255" s="174"/>
      <c r="L255" s="5"/>
      <c r="M255" s="222">
        <v>247.0</v>
      </c>
      <c r="N255" s="223">
        <v>51105.0</v>
      </c>
      <c r="O255" s="222">
        <v>409802.81573124795</v>
      </c>
      <c r="P255" s="222">
        <v>136494.46989023156</v>
      </c>
      <c r="Q255" s="222">
        <v>546297.2856214795</v>
      </c>
      <c r="R255" s="224">
        <v>5.3647412982386015E7</v>
      </c>
      <c r="S255" s="222">
        <v>113.0</v>
      </c>
      <c r="T255" s="225"/>
    </row>
    <row r="256" ht="12.0" customHeight="1">
      <c r="C256" s="210">
        <v>248.0</v>
      </c>
      <c r="D256" s="211">
        <v>51136.0</v>
      </c>
      <c r="E256" s="210">
        <f t="shared" si="2"/>
        <v>827531.3688</v>
      </c>
      <c r="F256" s="210">
        <f t="shared" si="3"/>
        <v>272850.3293</v>
      </c>
      <c r="G256" s="210">
        <f t="shared" si="4"/>
        <v>1100381.698</v>
      </c>
      <c r="H256" s="170">
        <f t="shared" si="6"/>
        <v>107232005</v>
      </c>
      <c r="I256" s="210">
        <f t="shared" si="5"/>
        <v>112</v>
      </c>
      <c r="K256" s="174"/>
      <c r="L256" s="5"/>
      <c r="M256" s="222">
        <v>248.0</v>
      </c>
      <c r="N256" s="223">
        <v>51136.0</v>
      </c>
      <c r="O256" s="222">
        <v>410837.5678409693</v>
      </c>
      <c r="P256" s="222">
        <v>135459.7177805102</v>
      </c>
      <c r="Q256" s="222">
        <v>546297.2856214795</v>
      </c>
      <c r="R256" s="224">
        <v>5.3236575414545044E7</v>
      </c>
      <c r="S256" s="222">
        <v>112.0</v>
      </c>
      <c r="T256" s="225"/>
    </row>
    <row r="257" ht="12.0" customHeight="1">
      <c r="C257" s="210">
        <v>249.0</v>
      </c>
      <c r="D257" s="211">
        <v>51167.0</v>
      </c>
      <c r="E257" s="210">
        <f t="shared" si="2"/>
        <v>829620.8855</v>
      </c>
      <c r="F257" s="210">
        <f t="shared" si="3"/>
        <v>270760.8126</v>
      </c>
      <c r="G257" s="210">
        <f t="shared" si="4"/>
        <v>1100381.698</v>
      </c>
      <c r="H257" s="170">
        <f t="shared" si="6"/>
        <v>106402384.1</v>
      </c>
      <c r="I257" s="210">
        <f t="shared" si="5"/>
        <v>111</v>
      </c>
      <c r="K257" s="174"/>
      <c r="L257" s="5"/>
      <c r="M257" s="222">
        <v>249.0</v>
      </c>
      <c r="N257" s="223">
        <v>51167.0</v>
      </c>
      <c r="O257" s="222">
        <v>411874.93269976776</v>
      </c>
      <c r="P257" s="222">
        <v>134422.35292171175</v>
      </c>
      <c r="Q257" s="222">
        <v>546297.2856214795</v>
      </c>
      <c r="R257" s="224">
        <v>5.2824700481845275E7</v>
      </c>
      <c r="S257" s="222">
        <v>111.0</v>
      </c>
      <c r="T257" s="225"/>
    </row>
    <row r="258" ht="12.0" customHeight="1">
      <c r="C258" s="210">
        <v>250.0</v>
      </c>
      <c r="D258" s="211">
        <v>51196.0</v>
      </c>
      <c r="E258" s="210">
        <f t="shared" si="2"/>
        <v>831715.6782</v>
      </c>
      <c r="F258" s="210">
        <f t="shared" si="3"/>
        <v>268666.0199</v>
      </c>
      <c r="G258" s="210">
        <f t="shared" si="4"/>
        <v>1100381.698</v>
      </c>
      <c r="H258" s="170">
        <f t="shared" si="6"/>
        <v>105570668.4</v>
      </c>
      <c r="I258" s="210">
        <f t="shared" si="5"/>
        <v>110</v>
      </c>
      <c r="K258" s="174"/>
      <c r="L258" s="5"/>
      <c r="M258" s="222">
        <v>250.0</v>
      </c>
      <c r="N258" s="223">
        <v>51196.0</v>
      </c>
      <c r="O258" s="222">
        <v>412914.91690483474</v>
      </c>
      <c r="P258" s="222">
        <v>133382.36871664476</v>
      </c>
      <c r="Q258" s="222">
        <v>546297.2856214795</v>
      </c>
      <c r="R258" s="224">
        <v>5.241178556494044E7</v>
      </c>
      <c r="S258" s="222">
        <v>110.0</v>
      </c>
      <c r="T258" s="225"/>
    </row>
    <row r="259" ht="12.0" customHeight="1">
      <c r="C259" s="210">
        <v>251.0</v>
      </c>
      <c r="D259" s="211">
        <v>51227.0</v>
      </c>
      <c r="E259" s="210">
        <f t="shared" si="2"/>
        <v>833815.7603</v>
      </c>
      <c r="F259" s="210">
        <f t="shared" si="3"/>
        <v>266565.9378</v>
      </c>
      <c r="G259" s="210">
        <f t="shared" si="4"/>
        <v>1100381.698</v>
      </c>
      <c r="H259" s="170">
        <f t="shared" si="6"/>
        <v>104736852.7</v>
      </c>
      <c r="I259" s="210">
        <f t="shared" si="5"/>
        <v>109</v>
      </c>
      <c r="K259" s="174"/>
      <c r="L259" s="5"/>
      <c r="M259" s="222">
        <v>251.0</v>
      </c>
      <c r="N259" s="223">
        <v>51227.0</v>
      </c>
      <c r="O259" s="222">
        <v>413957.5270700194</v>
      </c>
      <c r="P259" s="222">
        <v>132339.7585514601</v>
      </c>
      <c r="Q259" s="222">
        <v>546297.2856214795</v>
      </c>
      <c r="R259" s="224">
        <v>5.199782803787042E7</v>
      </c>
      <c r="S259" s="222">
        <v>109.0</v>
      </c>
      <c r="T259" s="225"/>
    </row>
    <row r="260" ht="12.0" customHeight="1">
      <c r="C260" s="210">
        <v>252.0</v>
      </c>
      <c r="D260" s="211">
        <v>51257.0</v>
      </c>
      <c r="E260" s="210">
        <f t="shared" si="2"/>
        <v>835921.1451</v>
      </c>
      <c r="F260" s="210">
        <f t="shared" si="3"/>
        <v>264460.553</v>
      </c>
      <c r="G260" s="210">
        <f t="shared" si="4"/>
        <v>1100381.698</v>
      </c>
      <c r="H260" s="170">
        <f t="shared" si="6"/>
        <v>103900931.5</v>
      </c>
      <c r="I260" s="210">
        <f t="shared" si="5"/>
        <v>108</v>
      </c>
      <c r="K260" s="174"/>
      <c r="L260" s="5"/>
      <c r="M260" s="222">
        <v>252.0</v>
      </c>
      <c r="N260" s="223">
        <v>51257.0</v>
      </c>
      <c r="O260" s="222">
        <v>415002.7698258712</v>
      </c>
      <c r="P260" s="222">
        <v>131294.51579560828</v>
      </c>
      <c r="Q260" s="222">
        <v>546297.2856214795</v>
      </c>
      <c r="R260" s="224">
        <v>5.158282526804455E7</v>
      </c>
      <c r="S260" s="222">
        <v>108.0</v>
      </c>
      <c r="T260" s="225"/>
    </row>
    <row r="261" ht="12.0" customHeight="1">
      <c r="C261" s="210">
        <v>253.0</v>
      </c>
      <c r="D261" s="211">
        <v>51288.0</v>
      </c>
      <c r="E261" s="210">
        <f t="shared" si="2"/>
        <v>838031.846</v>
      </c>
      <c r="F261" s="210">
        <f t="shared" si="3"/>
        <v>262349.8521</v>
      </c>
      <c r="G261" s="210">
        <f t="shared" si="4"/>
        <v>1100381.698</v>
      </c>
      <c r="H261" s="170">
        <f t="shared" si="6"/>
        <v>103062899.7</v>
      </c>
      <c r="I261" s="210">
        <f t="shared" si="5"/>
        <v>107</v>
      </c>
      <c r="K261" s="174"/>
      <c r="L261" s="5"/>
      <c r="M261" s="222">
        <v>253.0</v>
      </c>
      <c r="N261" s="223">
        <v>51288.0</v>
      </c>
      <c r="O261" s="222">
        <v>416050.6518196816</v>
      </c>
      <c r="P261" s="222">
        <v>130246.63380179793</v>
      </c>
      <c r="Q261" s="222">
        <v>546297.2856214795</v>
      </c>
      <c r="R261" s="224">
        <v>5.116677461622487E7</v>
      </c>
      <c r="S261" s="222">
        <v>107.0</v>
      </c>
      <c r="T261" s="225"/>
    </row>
    <row r="262" ht="12.0" customHeight="1">
      <c r="C262" s="210">
        <v>254.0</v>
      </c>
      <c r="D262" s="211">
        <v>51318.0</v>
      </c>
      <c r="E262" s="210">
        <f t="shared" si="2"/>
        <v>840147.8764</v>
      </c>
      <c r="F262" s="210">
        <f t="shared" si="3"/>
        <v>260233.8217</v>
      </c>
      <c r="G262" s="210">
        <f t="shared" si="4"/>
        <v>1100381.698</v>
      </c>
      <c r="H262" s="170">
        <f t="shared" si="6"/>
        <v>102222751.8</v>
      </c>
      <c r="I262" s="210">
        <f t="shared" si="5"/>
        <v>106</v>
      </c>
      <c r="K262" s="174"/>
      <c r="L262" s="5"/>
      <c r="M262" s="222">
        <v>254.0</v>
      </c>
      <c r="N262" s="223">
        <v>51318.0</v>
      </c>
      <c r="O262" s="222">
        <v>417101.1797155262</v>
      </c>
      <c r="P262" s="222">
        <v>129196.10590595333</v>
      </c>
      <c r="Q262" s="222">
        <v>546297.2856214795</v>
      </c>
      <c r="R262" s="224">
        <v>5.074967343650934E7</v>
      </c>
      <c r="S262" s="222">
        <v>106.0</v>
      </c>
      <c r="T262" s="225"/>
    </row>
    <row r="263" ht="12.0" customHeight="1">
      <c r="C263" s="210">
        <v>255.0</v>
      </c>
      <c r="D263" s="211">
        <v>51349.0</v>
      </c>
      <c r="E263" s="210">
        <f t="shared" si="2"/>
        <v>842269.2498</v>
      </c>
      <c r="F263" s="210">
        <f t="shared" si="3"/>
        <v>258112.4483</v>
      </c>
      <c r="G263" s="210">
        <f t="shared" si="4"/>
        <v>1100381.698</v>
      </c>
      <c r="H263" s="170">
        <f t="shared" si="6"/>
        <v>101380482.5</v>
      </c>
      <c r="I263" s="210">
        <f t="shared" si="5"/>
        <v>105</v>
      </c>
      <c r="K263" s="174"/>
      <c r="L263" s="5"/>
      <c r="M263" s="222">
        <v>255.0</v>
      </c>
      <c r="N263" s="223">
        <v>51349.0</v>
      </c>
      <c r="O263" s="222">
        <v>418154.3601943079</v>
      </c>
      <c r="P263" s="222">
        <v>128142.92542717158</v>
      </c>
      <c r="Q263" s="222">
        <v>546297.2856214795</v>
      </c>
      <c r="R263" s="224">
        <v>5.033151907631503E7</v>
      </c>
      <c r="S263" s="222">
        <v>105.0</v>
      </c>
      <c r="T263" s="225"/>
    </row>
    <row r="264" ht="12.0" customHeight="1">
      <c r="C264" s="210">
        <v>256.0</v>
      </c>
      <c r="D264" s="211">
        <v>51380.0</v>
      </c>
      <c r="E264" s="210">
        <f t="shared" si="2"/>
        <v>844395.9797</v>
      </c>
      <c r="F264" s="210">
        <f t="shared" si="3"/>
        <v>255985.7184</v>
      </c>
      <c r="G264" s="210">
        <f t="shared" si="4"/>
        <v>1100381.698</v>
      </c>
      <c r="H264" s="170">
        <f t="shared" si="6"/>
        <v>100536086.6</v>
      </c>
      <c r="I264" s="210">
        <f t="shared" si="5"/>
        <v>104</v>
      </c>
      <c r="K264" s="174"/>
      <c r="L264" s="5"/>
      <c r="M264" s="222">
        <v>256.0</v>
      </c>
      <c r="N264" s="223">
        <v>51380.0</v>
      </c>
      <c r="O264" s="222">
        <v>419210.1999537986</v>
      </c>
      <c r="P264" s="222">
        <v>127087.08566768089</v>
      </c>
      <c r="Q264" s="222">
        <v>546297.2856214795</v>
      </c>
      <c r="R264" s="224">
        <v>4.991230887636123E7</v>
      </c>
      <c r="S264" s="222">
        <v>104.0</v>
      </c>
      <c r="T264" s="225"/>
    </row>
    <row r="265" ht="12.0" customHeight="1">
      <c r="C265" s="210">
        <v>257.0</v>
      </c>
      <c r="D265" s="211">
        <v>51410.0</v>
      </c>
      <c r="E265" s="210">
        <f t="shared" si="2"/>
        <v>846528.0795</v>
      </c>
      <c r="F265" s="210">
        <f t="shared" si="3"/>
        <v>253853.6186</v>
      </c>
      <c r="G265" s="210">
        <f t="shared" si="4"/>
        <v>1100381.698</v>
      </c>
      <c r="H265" s="170">
        <f t="shared" si="6"/>
        <v>99689558.49</v>
      </c>
      <c r="I265" s="210">
        <f t="shared" si="5"/>
        <v>103</v>
      </c>
      <c r="K265" s="174"/>
      <c r="L265" s="5"/>
      <c r="M265" s="222">
        <v>257.0</v>
      </c>
      <c r="N265" s="223">
        <v>51410.0</v>
      </c>
      <c r="O265" s="222">
        <v>420268.70570868184</v>
      </c>
      <c r="P265" s="222">
        <v>126028.57991279766</v>
      </c>
      <c r="Q265" s="222">
        <v>546297.2856214795</v>
      </c>
      <c r="R265" s="224">
        <v>4.9492040170652546E7</v>
      </c>
      <c r="S265" s="222">
        <v>103.0</v>
      </c>
      <c r="T265" s="225"/>
    </row>
    <row r="266" ht="12.0" customHeight="1">
      <c r="C266" s="210">
        <v>258.0</v>
      </c>
      <c r="D266" s="211">
        <v>51441.0</v>
      </c>
      <c r="E266" s="210">
        <f t="shared" si="2"/>
        <v>848665.5629</v>
      </c>
      <c r="F266" s="210">
        <f t="shared" si="3"/>
        <v>251716.1352</v>
      </c>
      <c r="G266" s="210">
        <f t="shared" si="4"/>
        <v>1100381.698</v>
      </c>
      <c r="H266" s="170">
        <f t="shared" si="6"/>
        <v>98840892.92</v>
      </c>
      <c r="I266" s="210">
        <f t="shared" si="5"/>
        <v>102</v>
      </c>
      <c r="K266" s="174"/>
      <c r="L266" s="5"/>
      <c r="M266" s="222">
        <v>258.0</v>
      </c>
      <c r="N266" s="223">
        <v>51441.0</v>
      </c>
      <c r="O266" s="222">
        <v>421329.88419059635</v>
      </c>
      <c r="P266" s="222">
        <v>124967.40143088315</v>
      </c>
      <c r="Q266" s="222">
        <v>546297.2856214795</v>
      </c>
      <c r="R266" s="224">
        <v>4.907071028646195E7</v>
      </c>
      <c r="S266" s="222">
        <v>102.0</v>
      </c>
      <c r="T266" s="225"/>
    </row>
    <row r="267" ht="12.0" customHeight="1">
      <c r="C267" s="210">
        <v>259.0</v>
      </c>
      <c r="D267" s="211">
        <v>51471.0</v>
      </c>
      <c r="E267" s="210">
        <f t="shared" si="2"/>
        <v>850808.4435</v>
      </c>
      <c r="F267" s="210">
        <f t="shared" si="3"/>
        <v>249573.2546</v>
      </c>
      <c r="G267" s="210">
        <f t="shared" si="4"/>
        <v>1100381.698</v>
      </c>
      <c r="H267" s="170">
        <f t="shared" si="6"/>
        <v>97990084.48</v>
      </c>
      <c r="I267" s="210">
        <f t="shared" si="5"/>
        <v>101</v>
      </c>
      <c r="K267" s="174"/>
      <c r="L267" s="5"/>
      <c r="M267" s="222">
        <v>259.0</v>
      </c>
      <c r="N267" s="223">
        <v>51471.0</v>
      </c>
      <c r="O267" s="222">
        <v>422393.7421481776</v>
      </c>
      <c r="P267" s="222">
        <v>123903.54347330192</v>
      </c>
      <c r="Q267" s="222">
        <v>546297.2856214795</v>
      </c>
      <c r="R267" s="224">
        <v>4.864831654431377E7</v>
      </c>
      <c r="S267" s="222">
        <v>101.0</v>
      </c>
      <c r="T267" s="225"/>
    </row>
    <row r="268" ht="12.0" customHeight="1">
      <c r="C268" s="210">
        <v>260.0</v>
      </c>
      <c r="D268" s="211">
        <v>51502.0</v>
      </c>
      <c r="E268" s="210">
        <f t="shared" si="2"/>
        <v>852956.7348</v>
      </c>
      <c r="F268" s="210">
        <f t="shared" si="3"/>
        <v>247424.9633</v>
      </c>
      <c r="G268" s="210">
        <f t="shared" si="4"/>
        <v>1100381.698</v>
      </c>
      <c r="H268" s="170">
        <f t="shared" si="6"/>
        <v>97137127.74</v>
      </c>
      <c r="I268" s="210">
        <f t="shared" si="5"/>
        <v>100</v>
      </c>
      <c r="K268" s="174"/>
      <c r="L268" s="5"/>
      <c r="M268" s="222">
        <v>260.0</v>
      </c>
      <c r="N268" s="223">
        <v>51502.0</v>
      </c>
      <c r="O268" s="222">
        <v>423460.2863471017</v>
      </c>
      <c r="P268" s="222">
        <v>122836.99927437783</v>
      </c>
      <c r="Q268" s="222">
        <v>546297.2856214795</v>
      </c>
      <c r="R268" s="224">
        <v>4.8224856257966675E7</v>
      </c>
      <c r="S268" s="222">
        <v>100.0</v>
      </c>
      <c r="T268" s="225"/>
    </row>
    <row r="269" ht="12.0" customHeight="1">
      <c r="C269" s="210">
        <v>261.0</v>
      </c>
      <c r="D269" s="211">
        <v>51533.0</v>
      </c>
      <c r="E269" s="210">
        <f t="shared" si="2"/>
        <v>855110.4505</v>
      </c>
      <c r="F269" s="210">
        <f t="shared" si="3"/>
        <v>245271.2476</v>
      </c>
      <c r="G269" s="210">
        <f t="shared" si="4"/>
        <v>1100381.698</v>
      </c>
      <c r="H269" s="170">
        <f t="shared" si="6"/>
        <v>96282017.29</v>
      </c>
      <c r="I269" s="210">
        <f t="shared" si="5"/>
        <v>99</v>
      </c>
      <c r="K269" s="174"/>
      <c r="L269" s="5"/>
      <c r="M269" s="222">
        <v>261.0</v>
      </c>
      <c r="N269" s="223">
        <v>51533.0</v>
      </c>
      <c r="O269" s="222">
        <v>424529.5235701281</v>
      </c>
      <c r="P269" s="222">
        <v>121767.76205135143</v>
      </c>
      <c r="Q269" s="222">
        <v>546297.2856214795</v>
      </c>
      <c r="R269" s="224">
        <v>4.780032673439655E7</v>
      </c>
      <c r="S269" s="222">
        <v>99.0</v>
      </c>
      <c r="T269" s="225"/>
    </row>
    <row r="270" ht="12.0" customHeight="1">
      <c r="C270" s="210">
        <v>262.0</v>
      </c>
      <c r="D270" s="211">
        <v>51561.0</v>
      </c>
      <c r="E270" s="210">
        <f t="shared" si="2"/>
        <v>857269.6044</v>
      </c>
      <c r="F270" s="210">
        <f t="shared" si="3"/>
        <v>243112.0937</v>
      </c>
      <c r="G270" s="210">
        <f t="shared" si="4"/>
        <v>1100381.698</v>
      </c>
      <c r="H270" s="170">
        <f t="shared" si="6"/>
        <v>95424747.69</v>
      </c>
      <c r="I270" s="210">
        <f t="shared" si="5"/>
        <v>98</v>
      </c>
      <c r="K270" s="174"/>
      <c r="L270" s="5"/>
      <c r="M270" s="222">
        <v>262.0</v>
      </c>
      <c r="N270" s="223">
        <v>51561.0</v>
      </c>
      <c r="O270" s="222">
        <v>425601.4606171427</v>
      </c>
      <c r="P270" s="222">
        <v>120695.82500433683</v>
      </c>
      <c r="Q270" s="222">
        <v>546297.2856214795</v>
      </c>
      <c r="R270" s="224">
        <v>4.737472527377941E7</v>
      </c>
      <c r="S270" s="222">
        <v>98.0</v>
      </c>
      <c r="T270" s="225"/>
    </row>
    <row r="271" ht="12.0" customHeight="1">
      <c r="C271" s="210">
        <v>263.0</v>
      </c>
      <c r="D271" s="211">
        <v>51592.0</v>
      </c>
      <c r="E271" s="210">
        <f t="shared" si="2"/>
        <v>859434.2102</v>
      </c>
      <c r="F271" s="210">
        <f t="shared" si="3"/>
        <v>240947.4879</v>
      </c>
      <c r="G271" s="210">
        <f t="shared" si="4"/>
        <v>1100381.698</v>
      </c>
      <c r="H271" s="170">
        <f t="shared" si="6"/>
        <v>94565313.48</v>
      </c>
      <c r="I271" s="210">
        <f t="shared" si="5"/>
        <v>97</v>
      </c>
      <c r="K271" s="174"/>
      <c r="L271" s="5"/>
      <c r="M271" s="222">
        <v>263.0</v>
      </c>
      <c r="N271" s="223">
        <v>51592.0</v>
      </c>
      <c r="O271" s="222">
        <v>426676.104305201</v>
      </c>
      <c r="P271" s="222">
        <v>119621.18131627853</v>
      </c>
      <c r="Q271" s="222">
        <v>546297.2856214795</v>
      </c>
      <c r="R271" s="224">
        <v>4.694804916947421E7</v>
      </c>
      <c r="S271" s="222">
        <v>97.0</v>
      </c>
      <c r="T271" s="225"/>
    </row>
    <row r="272" ht="12.0" customHeight="1">
      <c r="C272" s="210">
        <v>264.0</v>
      </c>
      <c r="D272" s="211">
        <v>51622.0</v>
      </c>
      <c r="E272" s="210">
        <f t="shared" si="2"/>
        <v>861604.2816</v>
      </c>
      <c r="F272" s="210">
        <f t="shared" si="3"/>
        <v>238777.4165</v>
      </c>
      <c r="G272" s="210">
        <f t="shared" si="4"/>
        <v>1100381.698</v>
      </c>
      <c r="H272" s="170">
        <f t="shared" si="6"/>
        <v>93703709.2</v>
      </c>
      <c r="I272" s="210">
        <f t="shared" si="5"/>
        <v>96</v>
      </c>
      <c r="K272" s="174"/>
      <c r="L272" s="5"/>
      <c r="M272" s="222">
        <v>264.0</v>
      </c>
      <c r="N272" s="223">
        <v>51622.0</v>
      </c>
      <c r="O272" s="222">
        <v>427753.4614685716</v>
      </c>
      <c r="P272" s="222">
        <v>118543.82415290788</v>
      </c>
      <c r="Q272" s="222">
        <v>546297.2856214795</v>
      </c>
      <c r="R272" s="224">
        <v>4.652029570800564E7</v>
      </c>
      <c r="S272" s="222">
        <v>96.0</v>
      </c>
      <c r="T272" s="225"/>
    </row>
    <row r="273" ht="12.0" customHeight="1">
      <c r="C273" s="210">
        <v>265.0</v>
      </c>
      <c r="D273" s="211">
        <v>51653.0</v>
      </c>
      <c r="E273" s="210">
        <f t="shared" si="2"/>
        <v>863779.8324</v>
      </c>
      <c r="F273" s="210">
        <f t="shared" si="3"/>
        <v>236601.8657</v>
      </c>
      <c r="G273" s="210">
        <f t="shared" si="4"/>
        <v>1100381.698</v>
      </c>
      <c r="H273" s="170">
        <f t="shared" si="6"/>
        <v>92839929.37</v>
      </c>
      <c r="I273" s="210">
        <f t="shared" si="5"/>
        <v>95</v>
      </c>
      <c r="K273" s="174"/>
      <c r="L273" s="5"/>
      <c r="M273" s="222">
        <v>265.0</v>
      </c>
      <c r="N273" s="223">
        <v>51653.0</v>
      </c>
      <c r="O273" s="222">
        <v>428833.53895877977</v>
      </c>
      <c r="P273" s="222">
        <v>117463.74666269973</v>
      </c>
      <c r="Q273" s="222">
        <v>546297.2856214795</v>
      </c>
      <c r="R273" s="224">
        <v>4.609146216904686E7</v>
      </c>
      <c r="S273" s="222">
        <v>95.0</v>
      </c>
      <c r="T273" s="225"/>
    </row>
    <row r="274" ht="12.0" customHeight="1">
      <c r="C274" s="210">
        <v>266.0</v>
      </c>
      <c r="D274" s="211">
        <v>51683.0</v>
      </c>
      <c r="E274" s="210">
        <f t="shared" si="2"/>
        <v>865960.8765</v>
      </c>
      <c r="F274" s="210">
        <f t="shared" si="3"/>
        <v>234420.8216</v>
      </c>
      <c r="G274" s="210">
        <f t="shared" si="4"/>
        <v>1100381.698</v>
      </c>
      <c r="H274" s="170">
        <f t="shared" si="6"/>
        <v>91973968.49</v>
      </c>
      <c r="I274" s="210">
        <f t="shared" si="5"/>
        <v>94</v>
      </c>
      <c r="K274" s="174"/>
      <c r="L274" s="5"/>
      <c r="M274" s="222">
        <v>266.0</v>
      </c>
      <c r="N274" s="223">
        <v>51683.0</v>
      </c>
      <c r="O274" s="222">
        <v>429916.3436446507</v>
      </c>
      <c r="P274" s="222">
        <v>116380.94197682879</v>
      </c>
      <c r="Q274" s="222">
        <v>546297.2856214795</v>
      </c>
      <c r="R274" s="224">
        <v>4.566154582540221E7</v>
      </c>
      <c r="S274" s="222">
        <v>94.0</v>
      </c>
      <c r="T274" s="225"/>
    </row>
    <row r="275" ht="12.0" customHeight="1">
      <c r="C275" s="210">
        <v>267.0</v>
      </c>
      <c r="D275" s="211">
        <v>51714.0</v>
      </c>
      <c r="E275" s="210">
        <f t="shared" si="2"/>
        <v>868147.4277</v>
      </c>
      <c r="F275" s="210">
        <f t="shared" si="3"/>
        <v>232234.2704</v>
      </c>
      <c r="G275" s="210">
        <f t="shared" si="4"/>
        <v>1100381.698</v>
      </c>
      <c r="H275" s="170">
        <f t="shared" si="6"/>
        <v>91105821.06</v>
      </c>
      <c r="I275" s="210">
        <f t="shared" si="5"/>
        <v>93</v>
      </c>
      <c r="K275" s="174"/>
      <c r="L275" s="5"/>
      <c r="M275" s="222">
        <v>267.0</v>
      </c>
      <c r="N275" s="223">
        <v>51714.0</v>
      </c>
      <c r="O275" s="222">
        <v>431001.8824123535</v>
      </c>
      <c r="P275" s="222">
        <v>115295.40320912603</v>
      </c>
      <c r="Q275" s="222">
        <v>546297.2856214795</v>
      </c>
      <c r="R275" s="224">
        <v>4.5230543942989856E7</v>
      </c>
      <c r="S275" s="222">
        <v>93.0</v>
      </c>
      <c r="T275" s="225"/>
    </row>
    <row r="276" ht="12.0" customHeight="1">
      <c r="C276" s="210">
        <v>268.0</v>
      </c>
      <c r="D276" s="211">
        <v>51745.0</v>
      </c>
      <c r="E276" s="210">
        <f t="shared" si="2"/>
        <v>870339.4999</v>
      </c>
      <c r="F276" s="210">
        <f t="shared" si="3"/>
        <v>230042.1982</v>
      </c>
      <c r="G276" s="210">
        <f t="shared" si="4"/>
        <v>1100381.698</v>
      </c>
      <c r="H276" s="170">
        <f t="shared" si="6"/>
        <v>90235481.56</v>
      </c>
      <c r="I276" s="210">
        <f t="shared" si="5"/>
        <v>92</v>
      </c>
      <c r="K276" s="174"/>
      <c r="L276" s="5"/>
      <c r="M276" s="222">
        <v>268.0</v>
      </c>
      <c r="N276" s="223">
        <v>51745.0</v>
      </c>
      <c r="O276" s="222">
        <v>432090.16216544464</v>
      </c>
      <c r="P276" s="222">
        <v>114207.12345603487</v>
      </c>
      <c r="Q276" s="222">
        <v>546297.2856214795</v>
      </c>
      <c r="R276" s="224">
        <v>4.479845378082441E7</v>
      </c>
      <c r="S276" s="222">
        <v>92.0</v>
      </c>
      <c r="T276" s="225"/>
    </row>
    <row r="277" ht="12.0" customHeight="1">
      <c r="C277" s="210">
        <v>269.0</v>
      </c>
      <c r="D277" s="211">
        <v>51775.0</v>
      </c>
      <c r="E277" s="210">
        <f t="shared" si="2"/>
        <v>872537.1072</v>
      </c>
      <c r="F277" s="210">
        <f t="shared" si="3"/>
        <v>227844.5909</v>
      </c>
      <c r="G277" s="210">
        <f t="shared" si="4"/>
        <v>1100381.698</v>
      </c>
      <c r="H277" s="170">
        <f t="shared" si="6"/>
        <v>89362944.45</v>
      </c>
      <c r="I277" s="210">
        <f t="shared" si="5"/>
        <v>91</v>
      </c>
      <c r="K277" s="174"/>
      <c r="L277" s="5"/>
      <c r="M277" s="222">
        <v>269.0</v>
      </c>
      <c r="N277" s="223">
        <v>51775.0</v>
      </c>
      <c r="O277" s="222">
        <v>433181.1898249124</v>
      </c>
      <c r="P277" s="222">
        <v>113116.0957965671</v>
      </c>
      <c r="Q277" s="222">
        <v>546297.2856214795</v>
      </c>
      <c r="R277" s="224">
        <v>4.43652725909995E7</v>
      </c>
      <c r="S277" s="222">
        <v>91.0</v>
      </c>
      <c r="T277" s="225"/>
    </row>
    <row r="278" ht="12.0" customHeight="1">
      <c r="C278" s="210">
        <v>270.0</v>
      </c>
      <c r="D278" s="211">
        <v>51806.0</v>
      </c>
      <c r="E278" s="210">
        <f t="shared" si="2"/>
        <v>874740.2634</v>
      </c>
      <c r="F278" s="210">
        <f t="shared" si="3"/>
        <v>225641.4347</v>
      </c>
      <c r="G278" s="210">
        <f t="shared" si="4"/>
        <v>1100381.698</v>
      </c>
      <c r="H278" s="170">
        <f t="shared" si="6"/>
        <v>88488204.19</v>
      </c>
      <c r="I278" s="210">
        <f t="shared" si="5"/>
        <v>90</v>
      </c>
      <c r="K278" s="174"/>
      <c r="L278" s="5"/>
      <c r="M278" s="222">
        <v>270.0</v>
      </c>
      <c r="N278" s="223">
        <v>51806.0</v>
      </c>
      <c r="O278" s="222">
        <v>434274.9723292203</v>
      </c>
      <c r="P278" s="222">
        <v>112022.31329225918</v>
      </c>
      <c r="Q278" s="222">
        <v>546297.2856214795</v>
      </c>
      <c r="R278" s="224">
        <v>4.393099761867028E7</v>
      </c>
      <c r="S278" s="222">
        <v>90.0</v>
      </c>
      <c r="T278" s="225"/>
    </row>
    <row r="279" ht="12.0" customHeight="1">
      <c r="C279" s="210">
        <v>271.0</v>
      </c>
      <c r="D279" s="211">
        <v>51836.0</v>
      </c>
      <c r="E279" s="210">
        <f t="shared" si="2"/>
        <v>876948.9825</v>
      </c>
      <c r="F279" s="210">
        <f t="shared" si="3"/>
        <v>223432.7156</v>
      </c>
      <c r="G279" s="210">
        <f t="shared" si="4"/>
        <v>1100381.698</v>
      </c>
      <c r="H279" s="170">
        <f t="shared" si="6"/>
        <v>87611255.21</v>
      </c>
      <c r="I279" s="210">
        <f t="shared" si="5"/>
        <v>89</v>
      </c>
      <c r="K279" s="174"/>
      <c r="L279" s="5"/>
      <c r="M279" s="222">
        <v>271.0</v>
      </c>
      <c r="N279" s="223">
        <v>51836.0</v>
      </c>
      <c r="O279" s="222">
        <v>435371.5166343515</v>
      </c>
      <c r="P279" s="222">
        <v>110925.76898712799</v>
      </c>
      <c r="Q279" s="222">
        <v>546297.2856214795</v>
      </c>
      <c r="R279" s="224">
        <v>4.3495626102035925E7</v>
      </c>
      <c r="S279" s="222">
        <v>89.0</v>
      </c>
      <c r="T279" s="225"/>
    </row>
    <row r="280" ht="12.0" customHeight="1">
      <c r="C280" s="210">
        <v>272.0</v>
      </c>
      <c r="D280" s="211">
        <v>51867.0</v>
      </c>
      <c r="E280" s="210">
        <f t="shared" si="2"/>
        <v>879163.2787</v>
      </c>
      <c r="F280" s="210">
        <f t="shared" si="3"/>
        <v>221218.4194</v>
      </c>
      <c r="G280" s="210">
        <f t="shared" si="4"/>
        <v>1100381.698</v>
      </c>
      <c r="H280" s="170">
        <f t="shared" si="6"/>
        <v>86732091.93</v>
      </c>
      <c r="I280" s="210">
        <f t="shared" si="5"/>
        <v>88</v>
      </c>
      <c r="K280" s="174"/>
      <c r="L280" s="5"/>
      <c r="M280" s="222">
        <v>272.0</v>
      </c>
      <c r="N280" s="223">
        <v>51867.0</v>
      </c>
      <c r="O280" s="222">
        <v>436470.82971385325</v>
      </c>
      <c r="P280" s="222">
        <v>109826.45590762625</v>
      </c>
      <c r="Q280" s="222">
        <v>546297.2856214795</v>
      </c>
      <c r="R280" s="224">
        <v>4.305915527232207E7</v>
      </c>
      <c r="S280" s="222">
        <v>88.0</v>
      </c>
      <c r="T280" s="225"/>
    </row>
    <row r="281" ht="12.0" customHeight="1">
      <c r="C281" s="210">
        <v>273.0</v>
      </c>
      <c r="D281" s="211">
        <v>51898.0</v>
      </c>
      <c r="E281" s="210">
        <f t="shared" si="2"/>
        <v>881383.166</v>
      </c>
      <c r="F281" s="210">
        <f t="shared" si="3"/>
        <v>218998.5321</v>
      </c>
      <c r="G281" s="210">
        <f t="shared" si="4"/>
        <v>1100381.698</v>
      </c>
      <c r="H281" s="170">
        <f t="shared" si="6"/>
        <v>85850708.76</v>
      </c>
      <c r="I281" s="210">
        <f t="shared" si="5"/>
        <v>87</v>
      </c>
      <c r="K281" s="174"/>
      <c r="L281" s="5"/>
      <c r="M281" s="222">
        <v>273.0</v>
      </c>
      <c r="N281" s="223">
        <v>51898.0</v>
      </c>
      <c r="O281" s="222">
        <v>437572.91855888074</v>
      </c>
      <c r="P281" s="222">
        <v>108724.36706259876</v>
      </c>
      <c r="Q281" s="222">
        <v>546297.2856214795</v>
      </c>
      <c r="R281" s="224">
        <v>4.262158235376319E7</v>
      </c>
      <c r="S281" s="222">
        <v>87.0</v>
      </c>
      <c r="T281" s="225"/>
    </row>
    <row r="282" ht="12.0" customHeight="1">
      <c r="C282" s="210">
        <v>274.0</v>
      </c>
      <c r="D282" s="211">
        <v>51926.0</v>
      </c>
      <c r="E282" s="210">
        <f t="shared" si="2"/>
        <v>883608.6585</v>
      </c>
      <c r="F282" s="210">
        <f t="shared" si="3"/>
        <v>216773.0396</v>
      </c>
      <c r="G282" s="210">
        <f t="shared" si="4"/>
        <v>1100381.698</v>
      </c>
      <c r="H282" s="170">
        <f t="shared" si="6"/>
        <v>84967100.1</v>
      </c>
      <c r="I282" s="210">
        <f t="shared" si="5"/>
        <v>86</v>
      </c>
      <c r="K282" s="174"/>
      <c r="L282" s="5"/>
      <c r="M282" s="222">
        <v>274.0</v>
      </c>
      <c r="N282" s="223">
        <v>51926.0</v>
      </c>
      <c r="O282" s="222">
        <v>438677.79017824196</v>
      </c>
      <c r="P282" s="222">
        <v>107619.49544323754</v>
      </c>
      <c r="Q282" s="222">
        <v>546297.2856214795</v>
      </c>
      <c r="R282" s="224">
        <v>4.218290456358495E7</v>
      </c>
      <c r="S282" s="222">
        <v>86.0</v>
      </c>
      <c r="T282" s="225"/>
    </row>
    <row r="283" ht="12.0" customHeight="1">
      <c r="C283" s="210">
        <v>275.0</v>
      </c>
      <c r="D283" s="211">
        <v>51957.0</v>
      </c>
      <c r="E283" s="210">
        <f t="shared" si="2"/>
        <v>885839.7703</v>
      </c>
      <c r="F283" s="210">
        <f t="shared" si="3"/>
        <v>214541.9278</v>
      </c>
      <c r="G283" s="210">
        <f t="shared" si="4"/>
        <v>1100381.698</v>
      </c>
      <c r="H283" s="170">
        <f t="shared" si="6"/>
        <v>84081260.33</v>
      </c>
      <c r="I283" s="210">
        <f t="shared" si="5"/>
        <v>85</v>
      </c>
      <c r="K283" s="174"/>
      <c r="L283" s="5"/>
      <c r="M283" s="222">
        <v>275.0</v>
      </c>
      <c r="N283" s="223">
        <v>51957.0</v>
      </c>
      <c r="O283" s="222">
        <v>439785.451598442</v>
      </c>
      <c r="P283" s="222">
        <v>106511.83402303752</v>
      </c>
      <c r="Q283" s="222">
        <v>546297.2856214795</v>
      </c>
      <c r="R283" s="224">
        <v>4.174311911198651E7</v>
      </c>
      <c r="S283" s="222">
        <v>85.0</v>
      </c>
      <c r="T283" s="225"/>
    </row>
    <row r="284" ht="12.0" customHeight="1">
      <c r="C284" s="210">
        <v>276.0</v>
      </c>
      <c r="D284" s="211">
        <v>51987.0</v>
      </c>
      <c r="E284" s="210">
        <f t="shared" si="2"/>
        <v>888076.5158</v>
      </c>
      <c r="F284" s="210">
        <f t="shared" si="3"/>
        <v>212305.1823</v>
      </c>
      <c r="G284" s="210">
        <f t="shared" si="4"/>
        <v>1100381.698</v>
      </c>
      <c r="H284" s="170">
        <f t="shared" si="6"/>
        <v>83193183.82</v>
      </c>
      <c r="I284" s="210">
        <f t="shared" si="5"/>
        <v>84</v>
      </c>
      <c r="K284" s="174"/>
      <c r="L284" s="5"/>
      <c r="M284" s="222">
        <v>276.0</v>
      </c>
      <c r="N284" s="223">
        <v>51987.0</v>
      </c>
      <c r="O284" s="222">
        <v>440895.90986372804</v>
      </c>
      <c r="P284" s="222">
        <v>105401.37575775146</v>
      </c>
      <c r="Q284" s="222">
        <v>546297.2856214795</v>
      </c>
      <c r="R284" s="224">
        <v>4.1302223202122785E7</v>
      </c>
      <c r="S284" s="222">
        <v>84.0</v>
      </c>
      <c r="T284" s="225"/>
    </row>
    <row r="285" ht="12.0" customHeight="1">
      <c r="C285" s="210">
        <v>277.0</v>
      </c>
      <c r="D285" s="211">
        <v>52018.0</v>
      </c>
      <c r="E285" s="210">
        <f t="shared" si="2"/>
        <v>890318.909</v>
      </c>
      <c r="F285" s="210">
        <f t="shared" si="3"/>
        <v>210062.7891</v>
      </c>
      <c r="G285" s="210">
        <f t="shared" si="4"/>
        <v>1100381.698</v>
      </c>
      <c r="H285" s="170">
        <f t="shared" si="6"/>
        <v>82302864.91</v>
      </c>
      <c r="I285" s="210">
        <f t="shared" si="5"/>
        <v>83</v>
      </c>
      <c r="K285" s="174"/>
      <c r="L285" s="5"/>
      <c r="M285" s="222">
        <v>277.0</v>
      </c>
      <c r="N285" s="223">
        <v>52018.0</v>
      </c>
      <c r="O285" s="222">
        <v>442009.172036134</v>
      </c>
      <c r="P285" s="222">
        <v>104288.1135853455</v>
      </c>
      <c r="Q285" s="222">
        <v>546297.2856214795</v>
      </c>
      <c r="R285" s="224">
        <v>4.086021403008665E7</v>
      </c>
      <c r="S285" s="222">
        <v>83.0</v>
      </c>
      <c r="T285" s="225"/>
    </row>
    <row r="286" ht="12.0" customHeight="1">
      <c r="C286" s="210">
        <v>278.0</v>
      </c>
      <c r="D286" s="211">
        <v>52048.0</v>
      </c>
      <c r="E286" s="210">
        <f t="shared" si="2"/>
        <v>892566.9642</v>
      </c>
      <c r="F286" s="210">
        <f t="shared" si="3"/>
        <v>207814.7339</v>
      </c>
      <c r="G286" s="210">
        <f t="shared" si="4"/>
        <v>1100381.698</v>
      </c>
      <c r="H286" s="170">
        <f t="shared" si="6"/>
        <v>81410297.95</v>
      </c>
      <c r="I286" s="210">
        <f t="shared" si="5"/>
        <v>82</v>
      </c>
      <c r="K286" s="174"/>
      <c r="L286" s="5"/>
      <c r="M286" s="222">
        <v>278.0</v>
      </c>
      <c r="N286" s="223">
        <v>52048.0</v>
      </c>
      <c r="O286" s="222">
        <v>443125.24519552523</v>
      </c>
      <c r="P286" s="222">
        <v>103172.04042595427</v>
      </c>
      <c r="Q286" s="222">
        <v>546297.2856214795</v>
      </c>
      <c r="R286" s="224">
        <v>4.041708878489113E7</v>
      </c>
      <c r="S286" s="222">
        <v>82.0</v>
      </c>
      <c r="T286" s="225"/>
    </row>
    <row r="287" ht="12.0" customHeight="1">
      <c r="C287" s="210">
        <v>279.0</v>
      </c>
      <c r="D287" s="211">
        <v>52079.0</v>
      </c>
      <c r="E287" s="210">
        <f t="shared" si="2"/>
        <v>894820.6958</v>
      </c>
      <c r="F287" s="210">
        <f t="shared" si="3"/>
        <v>205561.0023</v>
      </c>
      <c r="G287" s="210">
        <f t="shared" si="4"/>
        <v>1100381.698</v>
      </c>
      <c r="H287" s="170">
        <f t="shared" si="6"/>
        <v>80515477.25</v>
      </c>
      <c r="I287" s="210">
        <f t="shared" si="5"/>
        <v>81</v>
      </c>
      <c r="K287" s="174"/>
      <c r="L287" s="5"/>
      <c r="M287" s="222">
        <v>279.0</v>
      </c>
      <c r="N287" s="223">
        <v>52079.0</v>
      </c>
      <c r="O287" s="222">
        <v>444244.1364396439</v>
      </c>
      <c r="P287" s="222">
        <v>102053.14918183559</v>
      </c>
      <c r="Q287" s="222">
        <v>546297.2856214795</v>
      </c>
      <c r="R287" s="224">
        <v>3.9972844648451485E7</v>
      </c>
      <c r="S287" s="222">
        <v>81.0</v>
      </c>
      <c r="T287" s="225"/>
    </row>
    <row r="288" ht="12.0" customHeight="1">
      <c r="C288" s="210">
        <v>280.0</v>
      </c>
      <c r="D288" s="211">
        <v>52110.0</v>
      </c>
      <c r="E288" s="210">
        <f t="shared" si="2"/>
        <v>897080.118</v>
      </c>
      <c r="F288" s="210">
        <f t="shared" si="3"/>
        <v>203301.5801</v>
      </c>
      <c r="G288" s="210">
        <f t="shared" si="4"/>
        <v>1100381.698</v>
      </c>
      <c r="H288" s="170">
        <f t="shared" si="6"/>
        <v>79618397.13</v>
      </c>
      <c r="I288" s="210">
        <f t="shared" si="5"/>
        <v>80</v>
      </c>
      <c r="K288" s="174"/>
      <c r="L288" s="5"/>
      <c r="M288" s="222">
        <v>280.0</v>
      </c>
      <c r="N288" s="223">
        <v>52110.0</v>
      </c>
      <c r="O288" s="222">
        <v>445365.852884154</v>
      </c>
      <c r="P288" s="222">
        <v>100931.4327373255</v>
      </c>
      <c r="Q288" s="222">
        <v>546297.2856214795</v>
      </c>
      <c r="R288" s="224">
        <v>3.952747879556733E7</v>
      </c>
      <c r="S288" s="222">
        <v>80.0</v>
      </c>
      <c r="T288" s="225"/>
    </row>
    <row r="289" ht="12.0" customHeight="1">
      <c r="C289" s="210">
        <v>281.0</v>
      </c>
      <c r="D289" s="211">
        <v>52140.0</v>
      </c>
      <c r="E289" s="210">
        <f t="shared" si="2"/>
        <v>899345.2453</v>
      </c>
      <c r="F289" s="210">
        <f t="shared" si="3"/>
        <v>201036.4528</v>
      </c>
      <c r="G289" s="210">
        <f t="shared" si="4"/>
        <v>1100381.698</v>
      </c>
      <c r="H289" s="170">
        <f t="shared" si="6"/>
        <v>78719051.89</v>
      </c>
      <c r="I289" s="210">
        <f t="shared" si="5"/>
        <v>79</v>
      </c>
      <c r="K289" s="174"/>
      <c r="L289" s="5"/>
      <c r="M289" s="222">
        <v>281.0</v>
      </c>
      <c r="N289" s="223">
        <v>52140.0</v>
      </c>
      <c r="O289" s="222">
        <v>446490.4016626865</v>
      </c>
      <c r="P289" s="222">
        <v>99806.88395879301</v>
      </c>
      <c r="Q289" s="222">
        <v>546297.2856214795</v>
      </c>
      <c r="R289" s="224">
        <v>3.908098839390465E7</v>
      </c>
      <c r="S289" s="222">
        <v>79.0</v>
      </c>
      <c r="T289" s="225"/>
    </row>
    <row r="290" ht="12.0" customHeight="1">
      <c r="C290" s="210">
        <v>282.0</v>
      </c>
      <c r="D290" s="211">
        <v>52171.0</v>
      </c>
      <c r="E290" s="210">
        <f t="shared" si="2"/>
        <v>901616.0921</v>
      </c>
      <c r="F290" s="210">
        <f t="shared" si="3"/>
        <v>198765.606</v>
      </c>
      <c r="G290" s="210">
        <f t="shared" si="4"/>
        <v>1100381.698</v>
      </c>
      <c r="H290" s="170">
        <f t="shared" si="6"/>
        <v>77817435.79</v>
      </c>
      <c r="I290" s="210">
        <f t="shared" si="5"/>
        <v>78</v>
      </c>
      <c r="K290" s="174"/>
      <c r="L290" s="5"/>
      <c r="M290" s="222">
        <v>282.0</v>
      </c>
      <c r="N290" s="223">
        <v>52171.0</v>
      </c>
      <c r="O290" s="222">
        <v>447617.78992688475</v>
      </c>
      <c r="P290" s="222">
        <v>98679.49569459475</v>
      </c>
      <c r="Q290" s="222">
        <v>546297.2856214795</v>
      </c>
      <c r="R290" s="224">
        <v>3.863337060397776E7</v>
      </c>
      <c r="S290" s="222">
        <v>78.0</v>
      </c>
      <c r="T290" s="225"/>
    </row>
    <row r="291" ht="12.0" customHeight="1">
      <c r="C291" s="210">
        <v>283.0</v>
      </c>
      <c r="D291" s="211">
        <v>52201.0</v>
      </c>
      <c r="E291" s="210">
        <f t="shared" si="2"/>
        <v>903892.6727</v>
      </c>
      <c r="F291" s="210">
        <f t="shared" si="3"/>
        <v>196489.0254</v>
      </c>
      <c r="G291" s="210">
        <f t="shared" si="4"/>
        <v>1100381.698</v>
      </c>
      <c r="H291" s="170">
        <f t="shared" si="6"/>
        <v>76913543.12</v>
      </c>
      <c r="I291" s="210">
        <f t="shared" si="5"/>
        <v>77</v>
      </c>
      <c r="K291" s="174"/>
      <c r="L291" s="5"/>
      <c r="M291" s="222">
        <v>283.0</v>
      </c>
      <c r="N291" s="223">
        <v>52201.0</v>
      </c>
      <c r="O291" s="222">
        <v>448748.0248464502</v>
      </c>
      <c r="P291" s="222">
        <v>97549.26077502931</v>
      </c>
      <c r="Q291" s="222">
        <v>546297.2856214795</v>
      </c>
      <c r="R291" s="224">
        <v>3.818462257913131E7</v>
      </c>
      <c r="S291" s="222">
        <v>77.0</v>
      </c>
      <c r="T291" s="225"/>
    </row>
    <row r="292" ht="12.0" customHeight="1">
      <c r="C292" s="210">
        <v>284.0</v>
      </c>
      <c r="D292" s="211">
        <v>52232.0</v>
      </c>
      <c r="E292" s="210">
        <f t="shared" si="2"/>
        <v>906175.0017</v>
      </c>
      <c r="F292" s="210">
        <f t="shared" si="3"/>
        <v>194206.6964</v>
      </c>
      <c r="G292" s="210">
        <f t="shared" si="4"/>
        <v>1100381.698</v>
      </c>
      <c r="H292" s="170">
        <f t="shared" si="6"/>
        <v>76007368.12</v>
      </c>
      <c r="I292" s="210">
        <f t="shared" si="5"/>
        <v>76</v>
      </c>
      <c r="K292" s="174"/>
      <c r="L292" s="5"/>
      <c r="M292" s="222">
        <v>284.0</v>
      </c>
      <c r="N292" s="223">
        <v>52232.0</v>
      </c>
      <c r="O292" s="222">
        <v>449881.11360918754</v>
      </c>
      <c r="P292" s="222">
        <v>96416.17201229197</v>
      </c>
      <c r="Q292" s="222">
        <v>546297.2856214795</v>
      </c>
      <c r="R292" s="224">
        <v>3.7734741465522125E7</v>
      </c>
      <c r="S292" s="222">
        <v>76.0</v>
      </c>
      <c r="T292" s="225"/>
    </row>
    <row r="293" ht="12.0" customHeight="1">
      <c r="C293" s="210">
        <v>285.0</v>
      </c>
      <c r="D293" s="211">
        <v>52263.0</v>
      </c>
      <c r="E293" s="210">
        <f t="shared" si="2"/>
        <v>908463.0936</v>
      </c>
      <c r="F293" s="210">
        <f t="shared" si="3"/>
        <v>191918.6045</v>
      </c>
      <c r="G293" s="210">
        <f t="shared" si="4"/>
        <v>1100381.698</v>
      </c>
      <c r="H293" s="170">
        <f t="shared" si="6"/>
        <v>75098905.03</v>
      </c>
      <c r="I293" s="210">
        <f t="shared" si="5"/>
        <v>75</v>
      </c>
      <c r="K293" s="174"/>
      <c r="L293" s="5"/>
      <c r="M293" s="222">
        <v>285.0</v>
      </c>
      <c r="N293" s="223">
        <v>52263.0</v>
      </c>
      <c r="O293" s="222">
        <v>451017.06342105067</v>
      </c>
      <c r="P293" s="222">
        <v>95280.22220042883</v>
      </c>
      <c r="Q293" s="222">
        <v>546297.2856214795</v>
      </c>
      <c r="R293" s="224">
        <v>3.728372440210108E7</v>
      </c>
      <c r="S293" s="222">
        <v>75.0</v>
      </c>
      <c r="T293" s="225"/>
    </row>
    <row r="294" ht="12.0" customHeight="1">
      <c r="C294" s="210">
        <v>286.0</v>
      </c>
      <c r="D294" s="211">
        <v>52291.0</v>
      </c>
      <c r="E294" s="210">
        <f t="shared" si="2"/>
        <v>910756.9629</v>
      </c>
      <c r="F294" s="210">
        <f t="shared" si="3"/>
        <v>189624.7352</v>
      </c>
      <c r="G294" s="210">
        <f t="shared" si="4"/>
        <v>1100381.698</v>
      </c>
      <c r="H294" s="170">
        <f t="shared" si="6"/>
        <v>74188148.06</v>
      </c>
      <c r="I294" s="210">
        <f t="shared" si="5"/>
        <v>74</v>
      </c>
      <c r="K294" s="174"/>
      <c r="L294" s="5"/>
      <c r="M294" s="222">
        <v>286.0</v>
      </c>
      <c r="N294" s="223">
        <v>52291.0</v>
      </c>
      <c r="O294" s="222">
        <v>452155.88150618883</v>
      </c>
      <c r="P294" s="222">
        <v>94141.40411529067</v>
      </c>
      <c r="Q294" s="222">
        <v>546297.2856214795</v>
      </c>
      <c r="R294" s="224">
        <v>3.683156852059489E7</v>
      </c>
      <c r="S294" s="222">
        <v>74.0</v>
      </c>
      <c r="T294" s="225"/>
    </row>
    <row r="295" ht="12.0" customHeight="1">
      <c r="C295" s="210">
        <v>287.0</v>
      </c>
      <c r="D295" s="211">
        <v>52322.0</v>
      </c>
      <c r="E295" s="210">
        <f t="shared" si="2"/>
        <v>913056.6242</v>
      </c>
      <c r="F295" s="210">
        <f t="shared" si="3"/>
        <v>187325.0739</v>
      </c>
      <c r="G295" s="210">
        <f t="shared" si="4"/>
        <v>1100381.698</v>
      </c>
      <c r="H295" s="170">
        <f t="shared" si="6"/>
        <v>73275091.44</v>
      </c>
      <c r="I295" s="210">
        <f t="shared" si="5"/>
        <v>73</v>
      </c>
      <c r="K295" s="174"/>
      <c r="L295" s="5"/>
      <c r="M295" s="222">
        <v>287.0</v>
      </c>
      <c r="N295" s="223">
        <v>52322.0</v>
      </c>
      <c r="O295" s="222">
        <v>453297.575106992</v>
      </c>
      <c r="P295" s="222">
        <v>92999.71051448752</v>
      </c>
      <c r="Q295" s="222">
        <v>546297.2856214795</v>
      </c>
      <c r="R295" s="224">
        <v>3.6378270945487894E7</v>
      </c>
      <c r="S295" s="222">
        <v>73.0</v>
      </c>
      <c r="T295" s="225"/>
    </row>
    <row r="296" ht="12.0" customHeight="1">
      <c r="C296" s="210">
        <v>288.0</v>
      </c>
      <c r="D296" s="211">
        <v>52352.0</v>
      </c>
      <c r="E296" s="210">
        <f t="shared" si="2"/>
        <v>915362.0922</v>
      </c>
      <c r="F296" s="210">
        <f t="shared" si="3"/>
        <v>185019.6059</v>
      </c>
      <c r="G296" s="210">
        <f t="shared" si="4"/>
        <v>1100381.698</v>
      </c>
      <c r="H296" s="170">
        <f t="shared" si="6"/>
        <v>72359729.35</v>
      </c>
      <c r="I296" s="210">
        <f t="shared" si="5"/>
        <v>72</v>
      </c>
      <c r="K296" s="174"/>
      <c r="L296" s="5"/>
      <c r="M296" s="222">
        <v>288.0</v>
      </c>
      <c r="N296" s="223">
        <v>52352.0</v>
      </c>
      <c r="O296" s="222">
        <v>454442.1514841371</v>
      </c>
      <c r="P296" s="222">
        <v>91855.1341373424</v>
      </c>
      <c r="Q296" s="222">
        <v>546297.2856214795</v>
      </c>
      <c r="R296" s="224">
        <v>3.5923828794003755E7</v>
      </c>
      <c r="S296" s="222">
        <v>72.0</v>
      </c>
      <c r="T296" s="225"/>
    </row>
    <row r="297" ht="12.0" customHeight="1">
      <c r="C297" s="210">
        <v>289.0</v>
      </c>
      <c r="D297" s="211">
        <v>52383.0</v>
      </c>
      <c r="E297" s="210">
        <f t="shared" si="2"/>
        <v>917673.3815</v>
      </c>
      <c r="F297" s="210">
        <f t="shared" si="3"/>
        <v>182708.3166</v>
      </c>
      <c r="G297" s="210">
        <f t="shared" si="4"/>
        <v>1100381.698</v>
      </c>
      <c r="H297" s="170">
        <f t="shared" si="6"/>
        <v>71442055.97</v>
      </c>
      <c r="I297" s="210">
        <f t="shared" si="5"/>
        <v>71</v>
      </c>
      <c r="K297" s="174"/>
      <c r="L297" s="5"/>
      <c r="M297" s="222">
        <v>289.0</v>
      </c>
      <c r="N297" s="223">
        <v>52383.0</v>
      </c>
      <c r="O297" s="222">
        <v>455589.61791663454</v>
      </c>
      <c r="P297" s="222">
        <v>90707.66770484496</v>
      </c>
      <c r="Q297" s="222">
        <v>546297.2856214795</v>
      </c>
      <c r="R297" s="224">
        <v>3.546823917608712E7</v>
      </c>
      <c r="S297" s="222">
        <v>71.0</v>
      </c>
      <c r="T297" s="225"/>
    </row>
    <row r="298" ht="12.0" customHeight="1">
      <c r="C298" s="210">
        <v>290.0</v>
      </c>
      <c r="D298" s="211">
        <v>52413.0</v>
      </c>
      <c r="E298" s="210">
        <f t="shared" si="2"/>
        <v>919990.5068</v>
      </c>
      <c r="F298" s="210">
        <f t="shared" si="3"/>
        <v>180391.1913</v>
      </c>
      <c r="G298" s="210">
        <f t="shared" si="4"/>
        <v>1100381.698</v>
      </c>
      <c r="H298" s="170">
        <f t="shared" si="6"/>
        <v>70522065.46</v>
      </c>
      <c r="I298" s="210">
        <f t="shared" si="5"/>
        <v>70</v>
      </c>
      <c r="K298" s="174"/>
      <c r="L298" s="5"/>
      <c r="M298" s="222">
        <v>290.0</v>
      </c>
      <c r="N298" s="223">
        <v>52413.0</v>
      </c>
      <c r="O298" s="222">
        <v>456739.98170187406</v>
      </c>
      <c r="P298" s="222">
        <v>89557.30391960545</v>
      </c>
      <c r="Q298" s="222">
        <v>546297.2856214795</v>
      </c>
      <c r="R298" s="224">
        <v>3.5011499194385245E7</v>
      </c>
      <c r="S298" s="222">
        <v>70.0</v>
      </c>
      <c r="T298" s="225"/>
    </row>
    <row r="299" ht="12.0" customHeight="1">
      <c r="C299" s="210">
        <v>291.0</v>
      </c>
      <c r="D299" s="211">
        <v>52444.0</v>
      </c>
      <c r="E299" s="210">
        <f t="shared" si="2"/>
        <v>922313.4828</v>
      </c>
      <c r="F299" s="210">
        <f t="shared" si="3"/>
        <v>178068.2153</v>
      </c>
      <c r="G299" s="210">
        <f t="shared" si="4"/>
        <v>1100381.698</v>
      </c>
      <c r="H299" s="170">
        <f t="shared" si="6"/>
        <v>69599751.98</v>
      </c>
      <c r="I299" s="210">
        <f t="shared" si="5"/>
        <v>69</v>
      </c>
      <c r="K299" s="174"/>
      <c r="L299" s="5"/>
      <c r="M299" s="222">
        <v>291.0</v>
      </c>
      <c r="N299" s="223">
        <v>52444.0</v>
      </c>
      <c r="O299" s="222">
        <v>457893.2501556713</v>
      </c>
      <c r="P299" s="222">
        <v>88404.03546580818</v>
      </c>
      <c r="Q299" s="222">
        <v>546297.2856214795</v>
      </c>
      <c r="R299" s="224">
        <v>3.455360594422957E7</v>
      </c>
      <c r="S299" s="222">
        <v>69.0</v>
      </c>
      <c r="T299" s="225"/>
    </row>
    <row r="300" ht="12.0" customHeight="1">
      <c r="C300" s="210">
        <v>292.0</v>
      </c>
      <c r="D300" s="211">
        <v>52475.0</v>
      </c>
      <c r="E300" s="210">
        <f t="shared" si="2"/>
        <v>924642.3244</v>
      </c>
      <c r="F300" s="210">
        <f t="shared" si="3"/>
        <v>175739.3737</v>
      </c>
      <c r="G300" s="210">
        <f t="shared" si="4"/>
        <v>1100381.698</v>
      </c>
      <c r="H300" s="170">
        <f t="shared" si="6"/>
        <v>68675109.65</v>
      </c>
      <c r="I300" s="210">
        <f t="shared" si="5"/>
        <v>68</v>
      </c>
      <c r="K300" s="174"/>
      <c r="L300" s="5"/>
      <c r="M300" s="222">
        <v>292.0</v>
      </c>
      <c r="N300" s="223">
        <v>52475.0</v>
      </c>
      <c r="O300" s="222">
        <v>459049.43061231443</v>
      </c>
      <c r="P300" s="222">
        <v>87247.85500916507</v>
      </c>
      <c r="Q300" s="222">
        <v>546297.2856214795</v>
      </c>
      <c r="R300" s="224">
        <v>3.409455651361726E7</v>
      </c>
      <c r="S300" s="222">
        <v>68.0</v>
      </c>
      <c r="T300" s="225"/>
    </row>
    <row r="301" ht="12.0" customHeight="1">
      <c r="C301" s="210">
        <v>293.0</v>
      </c>
      <c r="D301" s="211">
        <v>52505.0</v>
      </c>
      <c r="E301" s="210">
        <f t="shared" si="2"/>
        <v>926977.0462</v>
      </c>
      <c r="F301" s="210">
        <f t="shared" si="3"/>
        <v>173404.6519</v>
      </c>
      <c r="G301" s="210">
        <f t="shared" si="4"/>
        <v>1100381.698</v>
      </c>
      <c r="H301" s="170">
        <f t="shared" si="6"/>
        <v>67748132.61</v>
      </c>
      <c r="I301" s="210">
        <f t="shared" si="5"/>
        <v>67</v>
      </c>
      <c r="K301" s="174"/>
      <c r="L301" s="5"/>
      <c r="M301" s="222">
        <v>293.0</v>
      </c>
      <c r="N301" s="223">
        <v>52505.0</v>
      </c>
      <c r="O301" s="222">
        <v>460208.5304246105</v>
      </c>
      <c r="P301" s="222">
        <v>86088.75519686902</v>
      </c>
      <c r="Q301" s="222">
        <v>546297.2856214795</v>
      </c>
      <c r="R301" s="224">
        <v>3.363434798319265E7</v>
      </c>
      <c r="S301" s="222">
        <v>67.0</v>
      </c>
      <c r="T301" s="225"/>
    </row>
    <row r="302" ht="12.0" customHeight="1">
      <c r="C302" s="210">
        <v>294.0</v>
      </c>
      <c r="D302" s="211">
        <v>52536.0</v>
      </c>
      <c r="E302" s="210">
        <f t="shared" si="2"/>
        <v>929317.6633</v>
      </c>
      <c r="F302" s="210">
        <f t="shared" si="3"/>
        <v>171064.0348</v>
      </c>
      <c r="G302" s="210">
        <f t="shared" si="4"/>
        <v>1100381.698</v>
      </c>
      <c r="H302" s="170">
        <f t="shared" si="6"/>
        <v>66818814.94</v>
      </c>
      <c r="I302" s="210">
        <f t="shared" si="5"/>
        <v>66</v>
      </c>
      <c r="K302" s="174"/>
      <c r="L302" s="5"/>
      <c r="M302" s="222">
        <v>294.0</v>
      </c>
      <c r="N302" s="223">
        <v>52536.0</v>
      </c>
      <c r="O302" s="222">
        <v>461370.55696393264</v>
      </c>
      <c r="P302" s="222">
        <v>84926.72865754686</v>
      </c>
      <c r="Q302" s="222">
        <v>546297.2856214795</v>
      </c>
      <c r="R302" s="224">
        <v>3.317297742622872E7</v>
      </c>
      <c r="S302" s="222">
        <v>66.0</v>
      </c>
      <c r="T302" s="225"/>
    </row>
    <row r="303" ht="12.0" customHeight="1">
      <c r="C303" s="210">
        <v>295.0</v>
      </c>
      <c r="D303" s="211">
        <v>52566.0</v>
      </c>
      <c r="E303" s="210">
        <f t="shared" si="2"/>
        <v>931664.1904</v>
      </c>
      <c r="F303" s="210">
        <f t="shared" si="3"/>
        <v>168717.5077</v>
      </c>
      <c r="G303" s="210">
        <f t="shared" si="4"/>
        <v>1100381.698</v>
      </c>
      <c r="H303" s="170">
        <f t="shared" si="6"/>
        <v>65887150.75</v>
      </c>
      <c r="I303" s="210">
        <f t="shared" si="5"/>
        <v>65</v>
      </c>
      <c r="K303" s="174"/>
      <c r="L303" s="5"/>
      <c r="M303" s="222">
        <v>295.0</v>
      </c>
      <c r="N303" s="223">
        <v>52566.0</v>
      </c>
      <c r="O303" s="222">
        <v>462535.51762026653</v>
      </c>
      <c r="P303" s="222">
        <v>83761.76800121297</v>
      </c>
      <c r="Q303" s="222">
        <v>546297.2856214795</v>
      </c>
      <c r="R303" s="224">
        <v>3.2710441908608455E7</v>
      </c>
      <c r="S303" s="222">
        <v>65.0</v>
      </c>
      <c r="T303" s="225"/>
    </row>
    <row r="304" ht="12.0" customHeight="1">
      <c r="C304" s="210">
        <v>296.0</v>
      </c>
      <c r="D304" s="211">
        <v>52597.0</v>
      </c>
      <c r="E304" s="210">
        <f t="shared" si="2"/>
        <v>934016.6425</v>
      </c>
      <c r="F304" s="210">
        <f t="shared" si="3"/>
        <v>166365.0556</v>
      </c>
      <c r="G304" s="210">
        <f t="shared" si="4"/>
        <v>1100381.698</v>
      </c>
      <c r="H304" s="170">
        <f t="shared" si="6"/>
        <v>64953134.11</v>
      </c>
      <c r="I304" s="210">
        <f t="shared" si="5"/>
        <v>64</v>
      </c>
      <c r="K304" s="174"/>
      <c r="L304" s="5"/>
      <c r="M304" s="222">
        <v>296.0</v>
      </c>
      <c r="N304" s="223">
        <v>52597.0</v>
      </c>
      <c r="O304" s="222">
        <v>463703.41980225773</v>
      </c>
      <c r="P304" s="222">
        <v>82593.86581922177</v>
      </c>
      <c r="Q304" s="222">
        <v>546297.2856214795</v>
      </c>
      <c r="R304" s="224">
        <v>3.22467384888062E7</v>
      </c>
      <c r="S304" s="222">
        <v>64.0</v>
      </c>
      <c r="T304" s="225"/>
    </row>
    <row r="305" ht="12.0" customHeight="1">
      <c r="C305" s="210">
        <v>297.0</v>
      </c>
      <c r="D305" s="211">
        <v>52628.0</v>
      </c>
      <c r="E305" s="210">
        <f t="shared" si="2"/>
        <v>936375.0345</v>
      </c>
      <c r="F305" s="210">
        <f t="shared" si="3"/>
        <v>164006.6636</v>
      </c>
      <c r="G305" s="210">
        <f t="shared" si="4"/>
        <v>1100381.698</v>
      </c>
      <c r="H305" s="170">
        <f t="shared" si="6"/>
        <v>64016759.07</v>
      </c>
      <c r="I305" s="210">
        <f t="shared" si="5"/>
        <v>63</v>
      </c>
      <c r="K305" s="174"/>
      <c r="L305" s="5"/>
      <c r="M305" s="222">
        <v>297.0</v>
      </c>
      <c r="N305" s="223">
        <v>52628.0</v>
      </c>
      <c r="O305" s="222">
        <v>464874.2709372584</v>
      </c>
      <c r="P305" s="222">
        <v>81423.01468422113</v>
      </c>
      <c r="Q305" s="222">
        <v>546297.2856214795</v>
      </c>
      <c r="R305" s="224">
        <v>3.178186421786894E7</v>
      </c>
      <c r="S305" s="222">
        <v>63.0</v>
      </c>
      <c r="T305" s="225"/>
    </row>
    <row r="306" ht="12.0" customHeight="1">
      <c r="C306" s="210">
        <v>298.0</v>
      </c>
      <c r="D306" s="211">
        <v>52657.0</v>
      </c>
      <c r="E306" s="210">
        <f t="shared" si="2"/>
        <v>938739.3814</v>
      </c>
      <c r="F306" s="210">
        <f t="shared" si="3"/>
        <v>161642.3167</v>
      </c>
      <c r="G306" s="210">
        <f t="shared" si="4"/>
        <v>1100381.698</v>
      </c>
      <c r="H306" s="170">
        <f t="shared" si="6"/>
        <v>63078019.69</v>
      </c>
      <c r="I306" s="210">
        <f t="shared" si="5"/>
        <v>62</v>
      </c>
      <c r="K306" s="174"/>
      <c r="L306" s="5"/>
      <c r="M306" s="222">
        <v>298.0</v>
      </c>
      <c r="N306" s="223">
        <v>52657.0</v>
      </c>
      <c r="O306" s="222">
        <v>466048.078471375</v>
      </c>
      <c r="P306" s="222">
        <v>80249.20715010451</v>
      </c>
      <c r="Q306" s="222">
        <v>546297.2856214795</v>
      </c>
      <c r="R306" s="224">
        <v>3.1315816139397565E7</v>
      </c>
      <c r="S306" s="222">
        <v>62.0</v>
      </c>
      <c r="T306" s="225"/>
    </row>
    <row r="307" ht="12.0" customHeight="1">
      <c r="C307" s="210">
        <v>299.0</v>
      </c>
      <c r="D307" s="211">
        <v>52688.0</v>
      </c>
      <c r="E307" s="210">
        <f t="shared" si="2"/>
        <v>941109.6984</v>
      </c>
      <c r="F307" s="210">
        <f t="shared" si="3"/>
        <v>159271.9997</v>
      </c>
      <c r="G307" s="210">
        <f t="shared" si="4"/>
        <v>1100381.698</v>
      </c>
      <c r="H307" s="170">
        <f t="shared" si="6"/>
        <v>62136909.99</v>
      </c>
      <c r="I307" s="210">
        <f t="shared" si="5"/>
        <v>61</v>
      </c>
      <c r="K307" s="174"/>
      <c r="L307" s="5"/>
      <c r="M307" s="222">
        <v>299.0</v>
      </c>
      <c r="N307" s="223">
        <v>52688.0</v>
      </c>
      <c r="O307" s="222">
        <v>467224.84986951516</v>
      </c>
      <c r="P307" s="222">
        <v>79072.43575196434</v>
      </c>
      <c r="Q307" s="222">
        <v>546297.2856214795</v>
      </c>
      <c r="R307" s="224">
        <v>3.084859128952805E7</v>
      </c>
      <c r="S307" s="222">
        <v>61.0</v>
      </c>
      <c r="T307" s="225"/>
    </row>
    <row r="308" ht="12.0" customHeight="1">
      <c r="C308" s="210">
        <v>300.0</v>
      </c>
      <c r="D308" s="211">
        <v>52718.0</v>
      </c>
      <c r="E308" s="210">
        <f t="shared" si="2"/>
        <v>943486.0004</v>
      </c>
      <c r="F308" s="210">
        <f t="shared" si="3"/>
        <v>156895.6977</v>
      </c>
      <c r="G308" s="210">
        <f t="shared" si="4"/>
        <v>1100381.698</v>
      </c>
      <c r="H308" s="170">
        <f t="shared" si="6"/>
        <v>61193423.99</v>
      </c>
      <c r="I308" s="210">
        <f t="shared" si="5"/>
        <v>60</v>
      </c>
      <c r="K308" s="174"/>
      <c r="L308" s="5"/>
      <c r="M308" s="222">
        <v>300.0</v>
      </c>
      <c r="N308" s="223">
        <v>52718.0</v>
      </c>
      <c r="O308" s="222">
        <v>468404.5926154358</v>
      </c>
      <c r="P308" s="222">
        <v>77892.69300604373</v>
      </c>
      <c r="Q308" s="222">
        <v>546297.2856214795</v>
      </c>
      <c r="R308" s="224">
        <v>3.0380186696912613E7</v>
      </c>
      <c r="S308" s="222">
        <v>60.0</v>
      </c>
      <c r="T308" s="225"/>
    </row>
    <row r="309" ht="12.0" customHeight="1">
      <c r="C309" s="210">
        <v>301.0</v>
      </c>
      <c r="D309" s="211">
        <v>52749.0</v>
      </c>
      <c r="E309" s="210">
        <f t="shared" si="2"/>
        <v>945868.3025</v>
      </c>
      <c r="F309" s="210">
        <f t="shared" si="3"/>
        <v>154513.3956</v>
      </c>
      <c r="G309" s="210">
        <f t="shared" si="4"/>
        <v>1100381.698</v>
      </c>
      <c r="H309" s="170">
        <f t="shared" si="6"/>
        <v>60247555.69</v>
      </c>
      <c r="I309" s="210">
        <f t="shared" si="5"/>
        <v>59</v>
      </c>
      <c r="K309" s="174"/>
      <c r="L309" s="5"/>
      <c r="M309" s="222">
        <v>301.0</v>
      </c>
      <c r="N309" s="223">
        <v>52749.0</v>
      </c>
      <c r="O309" s="222">
        <v>469587.31421178975</v>
      </c>
      <c r="P309" s="222">
        <v>76709.97140968975</v>
      </c>
      <c r="Q309" s="222">
        <v>546297.2856214795</v>
      </c>
      <c r="R309" s="224">
        <v>2.9910599382700823E7</v>
      </c>
      <c r="S309" s="222">
        <v>59.0</v>
      </c>
      <c r="T309" s="225"/>
    </row>
    <row r="310" ht="12.0" customHeight="1">
      <c r="C310" s="210">
        <v>302.0</v>
      </c>
      <c r="D310" s="211">
        <v>52779.0</v>
      </c>
      <c r="E310" s="210">
        <f t="shared" si="2"/>
        <v>948256.62</v>
      </c>
      <c r="F310" s="210">
        <f t="shared" si="3"/>
        <v>152125.0781</v>
      </c>
      <c r="G310" s="210">
        <f t="shared" si="4"/>
        <v>1100381.698</v>
      </c>
      <c r="H310" s="170">
        <f t="shared" si="6"/>
        <v>59299299.07</v>
      </c>
      <c r="I310" s="210">
        <f t="shared" si="5"/>
        <v>58</v>
      </c>
      <c r="K310" s="174"/>
      <c r="L310" s="5"/>
      <c r="M310" s="222">
        <v>302.0</v>
      </c>
      <c r="N310" s="223">
        <v>52779.0</v>
      </c>
      <c r="O310" s="222">
        <v>470773.0221801745</v>
      </c>
      <c r="P310" s="222">
        <v>75524.26344130503</v>
      </c>
      <c r="Q310" s="222">
        <v>546297.2856214795</v>
      </c>
      <c r="R310" s="224">
        <v>2.943982636052065E7</v>
      </c>
      <c r="S310" s="222">
        <v>58.0</v>
      </c>
      <c r="T310" s="225"/>
    </row>
    <row r="311" ht="12.0" customHeight="1">
      <c r="C311" s="210">
        <v>303.0</v>
      </c>
      <c r="D311" s="211">
        <v>52810.0</v>
      </c>
      <c r="E311" s="210">
        <f t="shared" si="2"/>
        <v>950650.9679</v>
      </c>
      <c r="F311" s="210">
        <f t="shared" si="3"/>
        <v>149730.7302</v>
      </c>
      <c r="G311" s="210">
        <f t="shared" si="4"/>
        <v>1100381.698</v>
      </c>
      <c r="H311" s="170">
        <f t="shared" si="6"/>
        <v>58348648.1</v>
      </c>
      <c r="I311" s="210">
        <f t="shared" si="5"/>
        <v>57</v>
      </c>
      <c r="K311" s="174"/>
      <c r="L311" s="5"/>
      <c r="M311" s="222">
        <v>303.0</v>
      </c>
      <c r="N311" s="223">
        <v>52810.0</v>
      </c>
      <c r="O311" s="222">
        <v>471961.72406117944</v>
      </c>
      <c r="P311" s="222">
        <v>74335.56156030006</v>
      </c>
      <c r="Q311" s="222">
        <v>546297.2856214795</v>
      </c>
      <c r="R311" s="224">
        <v>2.896786463645947E7</v>
      </c>
      <c r="S311" s="222">
        <v>57.0</v>
      </c>
      <c r="T311" s="225"/>
    </row>
    <row r="312" ht="12.0" customHeight="1">
      <c r="C312" s="210">
        <v>304.0</v>
      </c>
      <c r="D312" s="211">
        <v>52841.0</v>
      </c>
      <c r="E312" s="210">
        <f t="shared" si="2"/>
        <v>953051.3616</v>
      </c>
      <c r="F312" s="210">
        <f t="shared" si="3"/>
        <v>147330.3365</v>
      </c>
      <c r="G312" s="210">
        <f t="shared" si="4"/>
        <v>1100381.698</v>
      </c>
      <c r="H312" s="170">
        <f t="shared" si="6"/>
        <v>57395596.74</v>
      </c>
      <c r="I312" s="210">
        <f t="shared" si="5"/>
        <v>56</v>
      </c>
      <c r="K312" s="174"/>
      <c r="L312" s="5"/>
      <c r="M312" s="222">
        <v>304.0</v>
      </c>
      <c r="N312" s="223">
        <v>52841.0</v>
      </c>
      <c r="O312" s="222">
        <v>473153.42741443386</v>
      </c>
      <c r="P312" s="222">
        <v>73143.85820704565</v>
      </c>
      <c r="Q312" s="222">
        <v>546297.2856214795</v>
      </c>
      <c r="R312" s="224">
        <v>2.8494711209045038E7</v>
      </c>
      <c r="S312" s="222">
        <v>56.0</v>
      </c>
      <c r="T312" s="225"/>
    </row>
    <row r="313" ht="12.0" customHeight="1">
      <c r="C313" s="210">
        <v>305.0</v>
      </c>
      <c r="D313" s="211">
        <v>52871.0</v>
      </c>
      <c r="E313" s="210">
        <f t="shared" si="2"/>
        <v>955457.8163</v>
      </c>
      <c r="F313" s="210">
        <f t="shared" si="3"/>
        <v>144923.8818</v>
      </c>
      <c r="G313" s="210">
        <f t="shared" si="4"/>
        <v>1100381.698</v>
      </c>
      <c r="H313" s="170">
        <f t="shared" si="6"/>
        <v>56440138.93</v>
      </c>
      <c r="I313" s="210">
        <f t="shared" si="5"/>
        <v>55</v>
      </c>
      <c r="K313" s="174"/>
      <c r="L313" s="5"/>
      <c r="M313" s="222">
        <v>305.0</v>
      </c>
      <c r="N313" s="223">
        <v>52871.0</v>
      </c>
      <c r="O313" s="222">
        <v>474348.1398186553</v>
      </c>
      <c r="P313" s="222">
        <v>71949.14580282418</v>
      </c>
      <c r="Q313" s="222">
        <v>546297.2856214795</v>
      </c>
      <c r="R313" s="224">
        <v>2.8020363069226384E7</v>
      </c>
      <c r="S313" s="222">
        <v>55.0</v>
      </c>
      <c r="T313" s="225"/>
    </row>
    <row r="314" ht="12.0" customHeight="1">
      <c r="C314" s="210">
        <v>306.0</v>
      </c>
      <c r="D314" s="211">
        <v>52902.0</v>
      </c>
      <c r="E314" s="210">
        <f t="shared" si="2"/>
        <v>957870.3473</v>
      </c>
      <c r="F314" s="210">
        <f t="shared" si="3"/>
        <v>142511.3508</v>
      </c>
      <c r="G314" s="210">
        <f t="shared" si="4"/>
        <v>1100381.698</v>
      </c>
      <c r="H314" s="170">
        <f t="shared" si="6"/>
        <v>55482268.58</v>
      </c>
      <c r="I314" s="210">
        <f t="shared" si="5"/>
        <v>54</v>
      </c>
      <c r="K314" s="174"/>
      <c r="L314" s="5"/>
      <c r="M314" s="222">
        <v>306.0</v>
      </c>
      <c r="N314" s="223">
        <v>52902.0</v>
      </c>
      <c r="O314" s="222">
        <v>475545.86887169746</v>
      </c>
      <c r="P314" s="222">
        <v>70751.41674978205</v>
      </c>
      <c r="Q314" s="222">
        <v>546297.2856214795</v>
      </c>
      <c r="R314" s="224">
        <v>2.7544817200354688E7</v>
      </c>
      <c r="S314" s="222">
        <v>54.0</v>
      </c>
      <c r="T314" s="225"/>
    </row>
    <row r="315" ht="12.0" customHeight="1">
      <c r="C315" s="210">
        <v>307.0</v>
      </c>
      <c r="D315" s="211">
        <v>52932.0</v>
      </c>
      <c r="E315" s="210">
        <f t="shared" si="2"/>
        <v>960288.9699</v>
      </c>
      <c r="F315" s="210">
        <f t="shared" si="3"/>
        <v>140092.7282</v>
      </c>
      <c r="G315" s="210">
        <f t="shared" si="4"/>
        <v>1100381.698</v>
      </c>
      <c r="H315" s="170">
        <f t="shared" si="6"/>
        <v>54521979.61</v>
      </c>
      <c r="I315" s="210">
        <f t="shared" si="5"/>
        <v>53</v>
      </c>
      <c r="K315" s="174"/>
      <c r="L315" s="5"/>
      <c r="M315" s="222">
        <v>307.0</v>
      </c>
      <c r="N315" s="223">
        <v>52932.0</v>
      </c>
      <c r="O315" s="222">
        <v>476746.62219059846</v>
      </c>
      <c r="P315" s="222">
        <v>69550.66343088105</v>
      </c>
      <c r="Q315" s="222">
        <v>546297.2856214795</v>
      </c>
      <c r="R315" s="224">
        <v>2.706807057816409E7</v>
      </c>
      <c r="S315" s="222">
        <v>53.0</v>
      </c>
      <c r="T315" s="225"/>
    </row>
    <row r="316" ht="12.0" customHeight="1">
      <c r="C316" s="210">
        <v>308.0</v>
      </c>
      <c r="D316" s="211">
        <v>52963.0</v>
      </c>
      <c r="E316" s="210">
        <f t="shared" si="2"/>
        <v>962713.6996</v>
      </c>
      <c r="F316" s="210">
        <f t="shared" si="3"/>
        <v>137667.9985</v>
      </c>
      <c r="G316" s="210">
        <f t="shared" si="4"/>
        <v>1100381.698</v>
      </c>
      <c r="H316" s="170">
        <f t="shared" si="6"/>
        <v>53559265.91</v>
      </c>
      <c r="I316" s="210">
        <f t="shared" si="5"/>
        <v>52</v>
      </c>
      <c r="K316" s="174"/>
      <c r="L316" s="5"/>
      <c r="M316" s="222">
        <v>308.0</v>
      </c>
      <c r="N316" s="223">
        <v>52963.0</v>
      </c>
      <c r="O316" s="222">
        <v>477950.40741162974</v>
      </c>
      <c r="P316" s="222">
        <v>68346.87820984976</v>
      </c>
      <c r="Q316" s="222">
        <v>546297.2856214795</v>
      </c>
      <c r="R316" s="224">
        <v>2.659012017075246E7</v>
      </c>
      <c r="S316" s="222">
        <v>52.0</v>
      </c>
      <c r="T316" s="225"/>
    </row>
    <row r="317" ht="12.0" customHeight="1">
      <c r="C317" s="210">
        <v>309.0</v>
      </c>
      <c r="D317" s="211">
        <v>52994.0</v>
      </c>
      <c r="E317" s="210">
        <f t="shared" si="2"/>
        <v>965144.5517</v>
      </c>
      <c r="F317" s="210">
        <f t="shared" si="3"/>
        <v>135237.1464</v>
      </c>
      <c r="G317" s="210">
        <f t="shared" si="4"/>
        <v>1100381.698</v>
      </c>
      <c r="H317" s="170">
        <f t="shared" si="6"/>
        <v>52594121.36</v>
      </c>
      <c r="I317" s="210">
        <f t="shared" si="5"/>
        <v>51</v>
      </c>
      <c r="K317" s="174"/>
      <c r="L317" s="5"/>
      <c r="M317" s="222">
        <v>309.0</v>
      </c>
      <c r="N317" s="223">
        <v>52994.0</v>
      </c>
      <c r="O317" s="222">
        <v>479157.23219034413</v>
      </c>
      <c r="P317" s="222">
        <v>67140.05343113537</v>
      </c>
      <c r="Q317" s="222">
        <v>546297.2856214795</v>
      </c>
      <c r="R317" s="224">
        <v>2.6110962938562114E7</v>
      </c>
      <c r="S317" s="222">
        <v>51.0</v>
      </c>
      <c r="T317" s="225"/>
    </row>
    <row r="318" ht="12.0" customHeight="1">
      <c r="C318" s="210">
        <v>310.0</v>
      </c>
      <c r="D318" s="211">
        <v>53022.0</v>
      </c>
      <c r="E318" s="210">
        <f t="shared" si="2"/>
        <v>967581.5417</v>
      </c>
      <c r="F318" s="210">
        <f t="shared" si="3"/>
        <v>132800.1564</v>
      </c>
      <c r="G318" s="210">
        <f t="shared" si="4"/>
        <v>1100381.698</v>
      </c>
      <c r="H318" s="170">
        <f t="shared" si="6"/>
        <v>51626539.82</v>
      </c>
      <c r="I318" s="210">
        <f t="shared" si="5"/>
        <v>50</v>
      </c>
      <c r="K318" s="174"/>
      <c r="L318" s="5"/>
      <c r="M318" s="222">
        <v>310.0</v>
      </c>
      <c r="N318" s="223">
        <v>53022.0</v>
      </c>
      <c r="O318" s="222">
        <v>480367.1042016247</v>
      </c>
      <c r="P318" s="222">
        <v>65930.18141985481</v>
      </c>
      <c r="Q318" s="222">
        <v>546297.2856214795</v>
      </c>
      <c r="R318" s="224">
        <v>2.5630595834360488E7</v>
      </c>
      <c r="S318" s="222">
        <v>50.0</v>
      </c>
      <c r="T318" s="225"/>
    </row>
    <row r="319" ht="12.0" customHeight="1">
      <c r="C319" s="210">
        <v>311.0</v>
      </c>
      <c r="D319" s="211">
        <v>53053.0</v>
      </c>
      <c r="E319" s="210">
        <f t="shared" si="2"/>
        <v>970024.6851</v>
      </c>
      <c r="F319" s="210">
        <f t="shared" si="3"/>
        <v>130357.013</v>
      </c>
      <c r="G319" s="210">
        <f t="shared" si="4"/>
        <v>1100381.698</v>
      </c>
      <c r="H319" s="170">
        <f t="shared" si="6"/>
        <v>50656515.13</v>
      </c>
      <c r="I319" s="210">
        <f t="shared" si="5"/>
        <v>49</v>
      </c>
      <c r="K319" s="174"/>
      <c r="L319" s="5"/>
      <c r="M319" s="222">
        <v>311.0</v>
      </c>
      <c r="N319" s="223">
        <v>53053.0</v>
      </c>
      <c r="O319" s="222">
        <v>481580.0311397338</v>
      </c>
      <c r="P319" s="222">
        <v>64717.25448174571</v>
      </c>
      <c r="Q319" s="222">
        <v>546297.2856214795</v>
      </c>
      <c r="R319" s="224">
        <v>2.5149015803220753E7</v>
      </c>
      <c r="S319" s="222">
        <v>49.0</v>
      </c>
      <c r="T319" s="225"/>
    </row>
    <row r="320" ht="12.0" customHeight="1">
      <c r="C320" s="210">
        <v>312.0</v>
      </c>
      <c r="D320" s="211">
        <v>53083.0</v>
      </c>
      <c r="E320" s="210">
        <f t="shared" si="2"/>
        <v>972473.9974</v>
      </c>
      <c r="F320" s="210">
        <f t="shared" si="3"/>
        <v>127907.7007</v>
      </c>
      <c r="G320" s="210">
        <f t="shared" si="4"/>
        <v>1100381.698</v>
      </c>
      <c r="H320" s="170">
        <f t="shared" si="6"/>
        <v>49684041.13</v>
      </c>
      <c r="I320" s="210">
        <f t="shared" si="5"/>
        <v>48</v>
      </c>
      <c r="K320" s="174"/>
      <c r="L320" s="5"/>
      <c r="M320" s="222">
        <v>312.0</v>
      </c>
      <c r="N320" s="223">
        <v>53083.0</v>
      </c>
      <c r="O320" s="222">
        <v>482796.0207183617</v>
      </c>
      <c r="P320" s="222">
        <v>63501.264903117786</v>
      </c>
      <c r="Q320" s="222">
        <v>546297.2856214795</v>
      </c>
      <c r="R320" s="224">
        <v>2.466621978250239E7</v>
      </c>
      <c r="S320" s="222">
        <v>48.0</v>
      </c>
      <c r="T320" s="225"/>
    </row>
    <row r="321" ht="12.0" customHeight="1">
      <c r="C321" s="210">
        <v>313.0</v>
      </c>
      <c r="D321" s="211">
        <v>53114.0</v>
      </c>
      <c r="E321" s="210">
        <f t="shared" si="2"/>
        <v>974929.4942</v>
      </c>
      <c r="F321" s="210">
        <f t="shared" si="3"/>
        <v>125452.2039</v>
      </c>
      <c r="G321" s="210">
        <f t="shared" si="4"/>
        <v>1100381.698</v>
      </c>
      <c r="H321" s="170">
        <f t="shared" si="6"/>
        <v>48709111.64</v>
      </c>
      <c r="I321" s="210">
        <f t="shared" si="5"/>
        <v>47</v>
      </c>
      <c r="K321" s="174"/>
      <c r="L321" s="5"/>
      <c r="M321" s="222">
        <v>313.0</v>
      </c>
      <c r="N321" s="223">
        <v>53114.0</v>
      </c>
      <c r="O321" s="222">
        <v>484015.0806706755</v>
      </c>
      <c r="P321" s="222">
        <v>62282.20495080401</v>
      </c>
      <c r="Q321" s="222">
        <v>546297.2856214795</v>
      </c>
      <c r="R321" s="224">
        <v>2.4182204701831713E7</v>
      </c>
      <c r="S321" s="222">
        <v>47.0</v>
      </c>
      <c r="T321" s="225"/>
    </row>
    <row r="322" ht="12.0" customHeight="1">
      <c r="C322" s="210">
        <v>314.0</v>
      </c>
      <c r="D322" s="211">
        <v>53144.0</v>
      </c>
      <c r="E322" s="210">
        <f t="shared" si="2"/>
        <v>977391.1912</v>
      </c>
      <c r="F322" s="210">
        <f t="shared" si="3"/>
        <v>122990.5069</v>
      </c>
      <c r="G322" s="210">
        <f t="shared" si="4"/>
        <v>1100381.698</v>
      </c>
      <c r="H322" s="170">
        <f t="shared" si="6"/>
        <v>47731720.45</v>
      </c>
      <c r="I322" s="210">
        <f t="shared" si="5"/>
        <v>46</v>
      </c>
      <c r="K322" s="174"/>
      <c r="L322" s="5"/>
      <c r="M322" s="222">
        <v>314.0</v>
      </c>
      <c r="N322" s="223">
        <v>53144.0</v>
      </c>
      <c r="O322" s="222">
        <v>485237.21874936897</v>
      </c>
      <c r="P322" s="222">
        <v>61060.06687211053</v>
      </c>
      <c r="Q322" s="222">
        <v>546297.2856214795</v>
      </c>
      <c r="R322" s="224">
        <v>2.3696967483082343E7</v>
      </c>
      <c r="S322" s="222">
        <v>46.0</v>
      </c>
      <c r="T322" s="225"/>
    </row>
    <row r="323" ht="12.0" customHeight="1">
      <c r="C323" s="210">
        <v>315.0</v>
      </c>
      <c r="D323" s="211">
        <v>53175.0</v>
      </c>
      <c r="E323" s="210">
        <f t="shared" si="2"/>
        <v>979859.104</v>
      </c>
      <c r="F323" s="210">
        <f t="shared" si="3"/>
        <v>120522.5941</v>
      </c>
      <c r="G323" s="210">
        <f t="shared" si="4"/>
        <v>1100381.698</v>
      </c>
      <c r="H323" s="170">
        <f t="shared" si="6"/>
        <v>46751861.34</v>
      </c>
      <c r="I323" s="210">
        <f t="shared" si="5"/>
        <v>45</v>
      </c>
      <c r="K323" s="174"/>
      <c r="L323" s="5"/>
      <c r="M323" s="222">
        <v>315.0</v>
      </c>
      <c r="N323" s="223">
        <v>53175.0</v>
      </c>
      <c r="O323" s="222">
        <v>486462.44272671104</v>
      </c>
      <c r="P323" s="222">
        <v>59834.84289476846</v>
      </c>
      <c r="Q323" s="222">
        <v>546297.2856214795</v>
      </c>
      <c r="R323" s="224">
        <v>2.321050504035563E7</v>
      </c>
      <c r="S323" s="222">
        <v>45.0</v>
      </c>
      <c r="T323" s="225"/>
    </row>
    <row r="324" ht="12.0" customHeight="1">
      <c r="C324" s="210">
        <v>316.0</v>
      </c>
      <c r="D324" s="211">
        <v>53206.0</v>
      </c>
      <c r="E324" s="210">
        <f t="shared" si="2"/>
        <v>982333.2482</v>
      </c>
      <c r="F324" s="210">
        <f t="shared" si="3"/>
        <v>118048.4499</v>
      </c>
      <c r="G324" s="210">
        <f t="shared" si="4"/>
        <v>1100381.698</v>
      </c>
      <c r="H324" s="170">
        <f t="shared" si="6"/>
        <v>45769528.1</v>
      </c>
      <c r="I324" s="210">
        <f t="shared" si="5"/>
        <v>44</v>
      </c>
      <c r="K324" s="174"/>
      <c r="L324" s="5"/>
      <c r="M324" s="222">
        <v>316.0</v>
      </c>
      <c r="N324" s="223">
        <v>53206.0</v>
      </c>
      <c r="O324" s="222">
        <v>487690.7603945961</v>
      </c>
      <c r="P324" s="222">
        <v>58606.525226883416</v>
      </c>
      <c r="Q324" s="222">
        <v>546297.2856214795</v>
      </c>
      <c r="R324" s="224">
        <v>2.2722814279961035E7</v>
      </c>
      <c r="S324" s="222">
        <v>44.0</v>
      </c>
      <c r="T324" s="225"/>
    </row>
    <row r="325" ht="12.0" customHeight="1">
      <c r="C325" s="210">
        <v>317.0</v>
      </c>
      <c r="D325" s="211">
        <v>53236.0</v>
      </c>
      <c r="E325" s="210">
        <f t="shared" si="2"/>
        <v>984813.6397</v>
      </c>
      <c r="F325" s="210">
        <f t="shared" si="3"/>
        <v>115568.0584</v>
      </c>
      <c r="G325" s="210">
        <f t="shared" si="4"/>
        <v>1100381.698</v>
      </c>
      <c r="H325" s="170">
        <f t="shared" si="6"/>
        <v>44784714.46</v>
      </c>
      <c r="I325" s="210">
        <f t="shared" si="5"/>
        <v>43</v>
      </c>
      <c r="K325" s="174"/>
      <c r="L325" s="5"/>
      <c r="M325" s="222">
        <v>317.0</v>
      </c>
      <c r="N325" s="223">
        <v>53236.0</v>
      </c>
      <c r="O325" s="222">
        <v>488922.1795645924</v>
      </c>
      <c r="P325" s="222">
        <v>57375.106056887074</v>
      </c>
      <c r="Q325" s="222">
        <v>546297.2856214795</v>
      </c>
      <c r="R325" s="224">
        <v>2.2233892100396443E7</v>
      </c>
      <c r="S325" s="222">
        <v>43.0</v>
      </c>
      <c r="T325" s="225"/>
    </row>
    <row r="326" ht="12.0" customHeight="1">
      <c r="C326" s="210">
        <v>318.0</v>
      </c>
      <c r="D326" s="211">
        <v>53267.0</v>
      </c>
      <c r="E326" s="210">
        <f t="shared" si="2"/>
        <v>987300.2941</v>
      </c>
      <c r="F326" s="210">
        <f t="shared" si="3"/>
        <v>113081.404</v>
      </c>
      <c r="G326" s="210">
        <f t="shared" si="4"/>
        <v>1100381.698</v>
      </c>
      <c r="H326" s="170">
        <f t="shared" si="6"/>
        <v>43797414.16</v>
      </c>
      <c r="I326" s="210">
        <f t="shared" si="5"/>
        <v>42</v>
      </c>
      <c r="K326" s="174"/>
      <c r="L326" s="5"/>
      <c r="M326" s="222">
        <v>318.0</v>
      </c>
      <c r="N326" s="223">
        <v>53267.0</v>
      </c>
      <c r="O326" s="222">
        <v>490156.70806799305</v>
      </c>
      <c r="P326" s="222">
        <v>56140.57755348645</v>
      </c>
      <c r="Q326" s="222">
        <v>546297.2856214795</v>
      </c>
      <c r="R326" s="224">
        <v>2.174373539232845E7</v>
      </c>
      <c r="S326" s="222">
        <v>42.0</v>
      </c>
      <c r="T326" s="225"/>
    </row>
    <row r="327" ht="12.0" customHeight="1">
      <c r="C327" s="210">
        <v>319.0</v>
      </c>
      <c r="D327" s="211">
        <v>53297.0</v>
      </c>
      <c r="E327" s="210">
        <f t="shared" si="2"/>
        <v>989793.2273</v>
      </c>
      <c r="F327" s="210">
        <f t="shared" si="3"/>
        <v>110588.4708</v>
      </c>
      <c r="G327" s="210">
        <f t="shared" si="4"/>
        <v>1100381.698</v>
      </c>
      <c r="H327" s="170">
        <f t="shared" si="6"/>
        <v>42807620.93</v>
      </c>
      <c r="I327" s="210">
        <f t="shared" si="5"/>
        <v>41</v>
      </c>
      <c r="K327" s="174"/>
      <c r="L327" s="5"/>
      <c r="M327" s="222">
        <v>319.0</v>
      </c>
      <c r="N327" s="223">
        <v>53297.0</v>
      </c>
      <c r="O327" s="222">
        <v>491394.3537558647</v>
      </c>
      <c r="P327" s="222">
        <v>54902.93186561478</v>
      </c>
      <c r="Q327" s="222">
        <v>546297.2856214795</v>
      </c>
      <c r="R327" s="224">
        <v>2.1252341038572583E7</v>
      </c>
      <c r="S327" s="222">
        <v>41.0</v>
      </c>
      <c r="T327" s="225"/>
    </row>
    <row r="328" ht="12.0" customHeight="1">
      <c r="C328" s="210">
        <v>320.0</v>
      </c>
      <c r="D328" s="211">
        <v>53328.0</v>
      </c>
      <c r="E328" s="210">
        <f t="shared" si="2"/>
        <v>992292.4552</v>
      </c>
      <c r="F328" s="210">
        <f t="shared" si="3"/>
        <v>108089.2429</v>
      </c>
      <c r="G328" s="210">
        <f t="shared" si="4"/>
        <v>1100381.698</v>
      </c>
      <c r="H328" s="170">
        <f t="shared" si="6"/>
        <v>41815328.48</v>
      </c>
      <c r="I328" s="210">
        <f t="shared" si="5"/>
        <v>40</v>
      </c>
      <c r="K328" s="174"/>
      <c r="L328" s="5"/>
      <c r="M328" s="222">
        <v>320.0</v>
      </c>
      <c r="N328" s="223">
        <v>53328.0</v>
      </c>
      <c r="O328" s="222">
        <v>492635.1244990982</v>
      </c>
      <c r="P328" s="222">
        <v>53662.16112238128</v>
      </c>
      <c r="Q328" s="222">
        <v>546297.2856214795</v>
      </c>
      <c r="R328" s="224">
        <v>2.0759705914073486E7</v>
      </c>
      <c r="S328" s="222">
        <v>40.0</v>
      </c>
      <c r="T328" s="225"/>
    </row>
    <row r="329" ht="12.0" customHeight="1">
      <c r="C329" s="210">
        <v>321.0</v>
      </c>
      <c r="D329" s="211">
        <v>53359.0</v>
      </c>
      <c r="E329" s="210">
        <f t="shared" si="2"/>
        <v>994797.9937</v>
      </c>
      <c r="F329" s="210">
        <f t="shared" si="3"/>
        <v>105583.7044</v>
      </c>
      <c r="G329" s="210">
        <f t="shared" si="4"/>
        <v>1100381.698</v>
      </c>
      <c r="H329" s="170">
        <f t="shared" si="6"/>
        <v>40820530.49</v>
      </c>
      <c r="I329" s="210">
        <f t="shared" si="5"/>
        <v>39</v>
      </c>
      <c r="K329" s="174"/>
      <c r="L329" s="5"/>
      <c r="M329" s="222">
        <v>321.0</v>
      </c>
      <c r="N329" s="223">
        <v>53359.0</v>
      </c>
      <c r="O329" s="222">
        <v>493879.0281884585</v>
      </c>
      <c r="P329" s="222">
        <v>52418.257433020975</v>
      </c>
      <c r="Q329" s="222">
        <v>546297.2856214795</v>
      </c>
      <c r="R329" s="224">
        <v>2.0265826885885026E7</v>
      </c>
      <c r="S329" s="222">
        <v>39.0</v>
      </c>
      <c r="T329" s="225"/>
    </row>
    <row r="330" ht="12.0" customHeight="1">
      <c r="C330" s="210">
        <v>322.0</v>
      </c>
      <c r="D330" s="211">
        <v>53387.0</v>
      </c>
      <c r="E330" s="210">
        <f t="shared" si="2"/>
        <v>997309.8586</v>
      </c>
      <c r="F330" s="210">
        <f t="shared" si="3"/>
        <v>103071.8395</v>
      </c>
      <c r="G330" s="210">
        <f t="shared" si="4"/>
        <v>1100381.698</v>
      </c>
      <c r="H330" s="170">
        <f t="shared" si="6"/>
        <v>39823220.63</v>
      </c>
      <c r="I330" s="210">
        <f t="shared" si="5"/>
        <v>38</v>
      </c>
      <c r="K330" s="174"/>
      <c r="L330" s="5"/>
      <c r="M330" s="222">
        <v>322.0</v>
      </c>
      <c r="N330" s="223">
        <v>53387.0</v>
      </c>
      <c r="O330" s="222">
        <v>495126.0727346344</v>
      </c>
      <c r="P330" s="222">
        <v>51171.21288684511</v>
      </c>
      <c r="Q330" s="222">
        <v>546297.2856214795</v>
      </c>
      <c r="R330" s="224">
        <v>1.977070081315039E7</v>
      </c>
      <c r="S330" s="222">
        <v>38.0</v>
      </c>
      <c r="T330" s="225"/>
    </row>
    <row r="331" ht="12.0" customHeight="1">
      <c r="C331" s="210">
        <v>323.0</v>
      </c>
      <c r="D331" s="211">
        <v>53418.0</v>
      </c>
      <c r="E331" s="210">
        <f t="shared" si="2"/>
        <v>999828.066</v>
      </c>
      <c r="F331" s="210">
        <f t="shared" si="3"/>
        <v>100553.6321</v>
      </c>
      <c r="G331" s="210">
        <f t="shared" si="4"/>
        <v>1100381.698</v>
      </c>
      <c r="H331" s="170">
        <f t="shared" si="6"/>
        <v>38823392.56</v>
      </c>
      <c r="I331" s="210">
        <f t="shared" si="5"/>
        <v>37</v>
      </c>
      <c r="K331" s="174"/>
      <c r="L331" s="5"/>
      <c r="M331" s="222">
        <v>323.0</v>
      </c>
      <c r="N331" s="223">
        <v>53418.0</v>
      </c>
      <c r="O331" s="222">
        <v>496376.2660682893</v>
      </c>
      <c r="P331" s="222">
        <v>49921.01955319021</v>
      </c>
      <c r="Q331" s="222">
        <v>546297.2856214795</v>
      </c>
      <c r="R331" s="224">
        <v>1.92743245470821E7</v>
      </c>
      <c r="S331" s="222">
        <v>37.0</v>
      </c>
      <c r="T331" s="225"/>
    </row>
    <row r="332" ht="12.0" customHeight="1">
      <c r="C332" s="210">
        <v>324.0</v>
      </c>
      <c r="D332" s="211">
        <v>53448.0</v>
      </c>
      <c r="E332" s="210">
        <f t="shared" si="2"/>
        <v>1002352.632</v>
      </c>
      <c r="F332" s="210">
        <f t="shared" si="3"/>
        <v>98029.06622</v>
      </c>
      <c r="G332" s="210">
        <f t="shared" si="4"/>
        <v>1100381.698</v>
      </c>
      <c r="H332" s="170">
        <f t="shared" si="6"/>
        <v>37821039.93</v>
      </c>
      <c r="I332" s="210">
        <f t="shared" si="5"/>
        <v>36</v>
      </c>
      <c r="K332" s="174"/>
      <c r="L332" s="5"/>
      <c r="M332" s="222">
        <v>324.0</v>
      </c>
      <c r="N332" s="223">
        <v>53448.0</v>
      </c>
      <c r="O332" s="222">
        <v>497629.6161401117</v>
      </c>
      <c r="P332" s="222">
        <v>48667.669481367804</v>
      </c>
      <c r="Q332" s="222">
        <v>546297.2856214795</v>
      </c>
      <c r="R332" s="224">
        <v>1.8776694930941988E7</v>
      </c>
      <c r="S332" s="222">
        <v>36.0</v>
      </c>
      <c r="T332" s="225"/>
    </row>
    <row r="333" ht="12.0" customHeight="1">
      <c r="C333" s="210">
        <v>325.0</v>
      </c>
      <c r="D333" s="211">
        <v>53479.0</v>
      </c>
      <c r="E333" s="210">
        <f t="shared" si="2"/>
        <v>1004883.572</v>
      </c>
      <c r="F333" s="210">
        <f t="shared" si="3"/>
        <v>95498.12582</v>
      </c>
      <c r="G333" s="210">
        <f t="shared" si="4"/>
        <v>1100381.698</v>
      </c>
      <c r="H333" s="170">
        <f t="shared" si="6"/>
        <v>36816156.36</v>
      </c>
      <c r="I333" s="210">
        <f t="shared" si="5"/>
        <v>35</v>
      </c>
      <c r="K333" s="174"/>
      <c r="L333" s="5"/>
      <c r="M333" s="222">
        <v>325.0</v>
      </c>
      <c r="N333" s="223">
        <v>53479.0</v>
      </c>
      <c r="O333" s="222">
        <v>498886.1309208655</v>
      </c>
      <c r="P333" s="222">
        <v>47411.15470061399</v>
      </c>
      <c r="Q333" s="222">
        <v>546297.2856214795</v>
      </c>
      <c r="R333" s="224">
        <v>1.8277808800021123E7</v>
      </c>
      <c r="S333" s="222">
        <v>35.0</v>
      </c>
      <c r="T333" s="225"/>
    </row>
    <row r="334" ht="12.0" customHeight="1">
      <c r="C334" s="210">
        <v>326.0</v>
      </c>
      <c r="D334" s="211">
        <v>53509.0</v>
      </c>
      <c r="E334" s="210">
        <f t="shared" si="2"/>
        <v>1007420.903</v>
      </c>
      <c r="F334" s="210">
        <f t="shared" si="3"/>
        <v>92960.7948</v>
      </c>
      <c r="G334" s="210">
        <f t="shared" si="4"/>
        <v>1100381.698</v>
      </c>
      <c r="H334" s="170">
        <f t="shared" si="6"/>
        <v>35808735.45</v>
      </c>
      <c r="I334" s="210">
        <f t="shared" si="5"/>
        <v>34</v>
      </c>
      <c r="K334" s="174"/>
      <c r="L334" s="5"/>
      <c r="M334" s="222">
        <v>326.0</v>
      </c>
      <c r="N334" s="223">
        <v>53509.0</v>
      </c>
      <c r="O334" s="222">
        <v>500145.8184014407</v>
      </c>
      <c r="P334" s="222">
        <v>46151.467220038816</v>
      </c>
      <c r="Q334" s="222">
        <v>546297.2856214795</v>
      </c>
      <c r="R334" s="224">
        <v>1.7777662981619682E7</v>
      </c>
      <c r="S334" s="222">
        <v>34.0</v>
      </c>
      <c r="T334" s="225"/>
    </row>
    <row r="335" ht="12.0" customHeight="1">
      <c r="C335" s="210">
        <v>327.0</v>
      </c>
      <c r="D335" s="211">
        <v>53540.0</v>
      </c>
      <c r="E335" s="210">
        <f t="shared" si="2"/>
        <v>1009964.641</v>
      </c>
      <c r="F335" s="210">
        <f t="shared" si="3"/>
        <v>90417.05702</v>
      </c>
      <c r="G335" s="210">
        <f t="shared" si="4"/>
        <v>1100381.698</v>
      </c>
      <c r="H335" s="170">
        <f t="shared" si="6"/>
        <v>34798770.81</v>
      </c>
      <c r="I335" s="210">
        <f t="shared" si="5"/>
        <v>33</v>
      </c>
      <c r="K335" s="174"/>
      <c r="L335" s="5"/>
      <c r="M335" s="222">
        <v>327.0</v>
      </c>
      <c r="N335" s="223">
        <v>53540.0</v>
      </c>
      <c r="O335" s="222">
        <v>501408.6865929043</v>
      </c>
      <c r="P335" s="222">
        <v>44888.599028575176</v>
      </c>
      <c r="Q335" s="222">
        <v>546297.2856214795</v>
      </c>
      <c r="R335" s="224">
        <v>1.727625429502678E7</v>
      </c>
      <c r="S335" s="222">
        <v>33.0</v>
      </c>
      <c r="T335" s="225"/>
    </row>
    <row r="336" ht="12.0" customHeight="1">
      <c r="C336" s="210">
        <v>328.0</v>
      </c>
      <c r="D336" s="211">
        <v>53571.0</v>
      </c>
      <c r="E336" s="210">
        <f t="shared" si="2"/>
        <v>1012514.802</v>
      </c>
      <c r="F336" s="210">
        <f t="shared" si="3"/>
        <v>87866.8963</v>
      </c>
      <c r="G336" s="210">
        <f t="shared" si="4"/>
        <v>1100381.698</v>
      </c>
      <c r="H336" s="170">
        <f t="shared" si="6"/>
        <v>33786256.01</v>
      </c>
      <c r="I336" s="210">
        <f t="shared" si="5"/>
        <v>32</v>
      </c>
      <c r="K336" s="174"/>
      <c r="L336" s="5"/>
      <c r="M336" s="222">
        <v>328.0</v>
      </c>
      <c r="N336" s="223">
        <v>53571.0</v>
      </c>
      <c r="O336" s="222">
        <v>502674.7435265514</v>
      </c>
      <c r="P336" s="222">
        <v>43622.542094928096</v>
      </c>
      <c r="Q336" s="222">
        <v>546297.2856214795</v>
      </c>
      <c r="R336" s="224">
        <v>1.6773579551500227E7</v>
      </c>
      <c r="S336" s="222">
        <v>32.0</v>
      </c>
      <c r="T336" s="225"/>
    </row>
    <row r="337" ht="12.0" customHeight="1">
      <c r="C337" s="210">
        <v>329.0</v>
      </c>
      <c r="D337" s="211">
        <v>53601.0</v>
      </c>
      <c r="E337" s="210">
        <f t="shared" si="2"/>
        <v>1015071.402</v>
      </c>
      <c r="F337" s="210">
        <f t="shared" si="3"/>
        <v>85310.29643</v>
      </c>
      <c r="G337" s="210">
        <f t="shared" si="4"/>
        <v>1100381.698</v>
      </c>
      <c r="H337" s="170">
        <f t="shared" si="6"/>
        <v>32771184.61</v>
      </c>
      <c r="I337" s="210">
        <f t="shared" si="5"/>
        <v>31</v>
      </c>
      <c r="K337" s="174"/>
      <c r="L337" s="5"/>
      <c r="M337" s="222">
        <v>329.0</v>
      </c>
      <c r="N337" s="223">
        <v>53601.0</v>
      </c>
      <c r="O337" s="222">
        <v>503943.9972539559</v>
      </c>
      <c r="P337" s="222">
        <v>42353.28836752358</v>
      </c>
      <c r="Q337" s="222">
        <v>546297.2856214795</v>
      </c>
      <c r="R337" s="224">
        <v>1.6269635554246271E7</v>
      </c>
      <c r="S337" s="222">
        <v>31.0</v>
      </c>
      <c r="T337" s="225"/>
    </row>
    <row r="338" ht="12.0" customHeight="1">
      <c r="C338" s="210">
        <v>330.0</v>
      </c>
      <c r="D338" s="211">
        <v>53632.0</v>
      </c>
      <c r="E338" s="210">
        <f t="shared" si="2"/>
        <v>1017634.457</v>
      </c>
      <c r="F338" s="210">
        <f t="shared" si="3"/>
        <v>82747.24114</v>
      </c>
      <c r="G338" s="210">
        <f t="shared" si="4"/>
        <v>1100381.698</v>
      </c>
      <c r="H338" s="170">
        <f t="shared" si="6"/>
        <v>31753550.15</v>
      </c>
      <c r="I338" s="210">
        <f t="shared" si="5"/>
        <v>30</v>
      </c>
      <c r="K338" s="174"/>
      <c r="L338" s="5"/>
      <c r="M338" s="222">
        <v>330.0</v>
      </c>
      <c r="N338" s="223">
        <v>53632.0</v>
      </c>
      <c r="O338" s="222">
        <v>505216.45584702224</v>
      </c>
      <c r="P338" s="222">
        <v>41080.82977445726</v>
      </c>
      <c r="Q338" s="222">
        <v>546297.2856214795</v>
      </c>
      <c r="R338" s="224">
        <v>1.5764419098399248E7</v>
      </c>
      <c r="S338" s="222">
        <v>30.0</v>
      </c>
      <c r="T338" s="225"/>
    </row>
    <row r="339" ht="12.0" customHeight="1">
      <c r="C339" s="210">
        <v>331.0</v>
      </c>
      <c r="D339" s="211">
        <v>53662.0</v>
      </c>
      <c r="E339" s="210">
        <f t="shared" si="2"/>
        <v>1020203.984</v>
      </c>
      <c r="F339" s="210">
        <f t="shared" si="3"/>
        <v>80177.71413</v>
      </c>
      <c r="G339" s="210">
        <f t="shared" si="4"/>
        <v>1100381.698</v>
      </c>
      <c r="H339" s="170">
        <f t="shared" si="6"/>
        <v>30733346.17</v>
      </c>
      <c r="I339" s="210">
        <f t="shared" si="5"/>
        <v>29</v>
      </c>
      <c r="K339" s="174"/>
      <c r="L339" s="5"/>
      <c r="M339" s="222">
        <v>331.0</v>
      </c>
      <c r="N339" s="223">
        <v>53662.0</v>
      </c>
      <c r="O339" s="222">
        <v>506492.12739803595</v>
      </c>
      <c r="P339" s="222">
        <v>39805.15822344355</v>
      </c>
      <c r="Q339" s="222">
        <v>546297.2856214795</v>
      </c>
      <c r="R339" s="224">
        <v>1.5257926971001212E7</v>
      </c>
      <c r="S339" s="222">
        <v>29.0</v>
      </c>
      <c r="T339" s="225"/>
    </row>
    <row r="340" ht="12.0" customHeight="1">
      <c r="C340" s="210">
        <v>332.0</v>
      </c>
      <c r="D340" s="211">
        <v>53693.0</v>
      </c>
      <c r="E340" s="210">
        <f t="shared" si="2"/>
        <v>1022779.999</v>
      </c>
      <c r="F340" s="210">
        <f t="shared" si="3"/>
        <v>77601.69907</v>
      </c>
      <c r="G340" s="210">
        <f t="shared" si="4"/>
        <v>1100381.698</v>
      </c>
      <c r="H340" s="170">
        <f t="shared" si="6"/>
        <v>29710566.17</v>
      </c>
      <c r="I340" s="210">
        <f t="shared" si="5"/>
        <v>28</v>
      </c>
      <c r="K340" s="174"/>
      <c r="L340" s="5"/>
      <c r="M340" s="222">
        <v>332.0</v>
      </c>
      <c r="N340" s="223">
        <v>53693.0</v>
      </c>
      <c r="O340" s="222">
        <v>507771.02001971594</v>
      </c>
      <c r="P340" s="222">
        <v>38526.26560176356</v>
      </c>
      <c r="Q340" s="222">
        <v>546297.2856214795</v>
      </c>
      <c r="R340" s="224">
        <v>1.4750155950981496E7</v>
      </c>
      <c r="S340" s="222">
        <v>28.0</v>
      </c>
      <c r="T340" s="225"/>
    </row>
    <row r="341" ht="12.0" customHeight="1">
      <c r="C341" s="210">
        <v>333.0</v>
      </c>
      <c r="D341" s="211">
        <v>53724.0</v>
      </c>
      <c r="E341" s="210">
        <f t="shared" si="2"/>
        <v>1025362.519</v>
      </c>
      <c r="F341" s="210">
        <f t="shared" si="3"/>
        <v>75019.17958</v>
      </c>
      <c r="G341" s="210">
        <f t="shared" si="4"/>
        <v>1100381.698</v>
      </c>
      <c r="H341" s="170">
        <f t="shared" si="6"/>
        <v>28685203.65</v>
      </c>
      <c r="I341" s="210">
        <f t="shared" si="5"/>
        <v>27</v>
      </c>
      <c r="K341" s="174"/>
      <c r="L341" s="5"/>
      <c r="M341" s="222">
        <v>333.0</v>
      </c>
      <c r="N341" s="223">
        <v>53724.0</v>
      </c>
      <c r="O341" s="222">
        <v>509053.1418452658</v>
      </c>
      <c r="P341" s="222">
        <v>37244.14377621369</v>
      </c>
      <c r="Q341" s="222">
        <v>546297.2856214795</v>
      </c>
      <c r="R341" s="224">
        <v>1.424110280913623E7</v>
      </c>
      <c r="S341" s="222">
        <v>27.0</v>
      </c>
      <c r="T341" s="225"/>
    </row>
    <row r="342" ht="12.0" customHeight="1">
      <c r="C342" s="210">
        <v>334.0</v>
      </c>
      <c r="D342" s="211">
        <v>53752.0</v>
      </c>
      <c r="E342" s="210">
        <f t="shared" si="2"/>
        <v>1027951.559</v>
      </c>
      <c r="F342" s="210">
        <f t="shared" si="3"/>
        <v>72430.13922</v>
      </c>
      <c r="G342" s="210">
        <f t="shared" si="4"/>
        <v>1100381.698</v>
      </c>
      <c r="H342" s="170">
        <f t="shared" si="6"/>
        <v>27657252.09</v>
      </c>
      <c r="I342" s="210">
        <f t="shared" si="5"/>
        <v>26</v>
      </c>
      <c r="K342" s="174"/>
      <c r="L342" s="5"/>
      <c r="M342" s="222">
        <v>334.0</v>
      </c>
      <c r="N342" s="223">
        <v>53752.0</v>
      </c>
      <c r="O342" s="222">
        <v>510338.50102842506</v>
      </c>
      <c r="P342" s="222">
        <v>35958.78459305444</v>
      </c>
      <c r="Q342" s="222">
        <v>546297.2856214795</v>
      </c>
      <c r="R342" s="224">
        <v>1.3730764308107805E7</v>
      </c>
      <c r="S342" s="222">
        <v>26.0</v>
      </c>
      <c r="T342" s="225"/>
    </row>
    <row r="343" ht="12.0" customHeight="1">
      <c r="C343" s="210">
        <v>335.0</v>
      </c>
      <c r="D343" s="211">
        <v>53783.0</v>
      </c>
      <c r="E343" s="210">
        <f t="shared" si="2"/>
        <v>1030547.137</v>
      </c>
      <c r="F343" s="210">
        <f t="shared" si="3"/>
        <v>69834.56153</v>
      </c>
      <c r="G343" s="210">
        <f t="shared" si="4"/>
        <v>1100381.698</v>
      </c>
      <c r="H343" s="170">
        <f t="shared" si="6"/>
        <v>26626704.96</v>
      </c>
      <c r="I343" s="210">
        <f t="shared" si="5"/>
        <v>25</v>
      </c>
      <c r="K343" s="174"/>
      <c r="L343" s="5"/>
      <c r="M343" s="222">
        <v>335.0</v>
      </c>
      <c r="N343" s="223">
        <v>53783.0</v>
      </c>
      <c r="O343" s="222">
        <v>511627.1057435218</v>
      </c>
      <c r="P343" s="222">
        <v>34670.17987795768</v>
      </c>
      <c r="Q343" s="222">
        <v>546297.2856214795</v>
      </c>
      <c r="R343" s="224">
        <v>1.3219137202364283E7</v>
      </c>
      <c r="S343" s="222">
        <v>25.0</v>
      </c>
      <c r="T343" s="225"/>
    </row>
    <row r="344" ht="12.0" customHeight="1">
      <c r="C344" s="210">
        <v>336.0</v>
      </c>
      <c r="D344" s="211">
        <v>53813.0</v>
      </c>
      <c r="E344" s="210">
        <f t="shared" si="2"/>
        <v>1033149.268</v>
      </c>
      <c r="F344" s="210">
        <f t="shared" si="3"/>
        <v>67232.43001</v>
      </c>
      <c r="G344" s="210">
        <f t="shared" si="4"/>
        <v>1100381.698</v>
      </c>
      <c r="H344" s="170">
        <f t="shared" si="6"/>
        <v>25593555.69</v>
      </c>
      <c r="I344" s="210">
        <f t="shared" si="5"/>
        <v>24</v>
      </c>
      <c r="K344" s="174"/>
      <c r="L344" s="5"/>
      <c r="M344" s="222">
        <v>336.0</v>
      </c>
      <c r="N344" s="223">
        <v>53813.0</v>
      </c>
      <c r="O344" s="222">
        <v>512918.96418552427</v>
      </c>
      <c r="P344" s="222">
        <v>33378.32143595524</v>
      </c>
      <c r="Q344" s="222">
        <v>546297.2856214795</v>
      </c>
      <c r="R344" s="224">
        <v>1.2706218238178758E7</v>
      </c>
      <c r="S344" s="222">
        <v>24.0</v>
      </c>
      <c r="T344" s="225"/>
    </row>
    <row r="345" ht="12.0" customHeight="1">
      <c r="C345" s="210">
        <v>337.0</v>
      </c>
      <c r="D345" s="211">
        <v>53844.0</v>
      </c>
      <c r="E345" s="210">
        <f t="shared" si="2"/>
        <v>1035757.97</v>
      </c>
      <c r="F345" s="210">
        <f t="shared" si="3"/>
        <v>64623.72811</v>
      </c>
      <c r="G345" s="210">
        <f t="shared" si="4"/>
        <v>1100381.698</v>
      </c>
      <c r="H345" s="170">
        <f t="shared" si="6"/>
        <v>24557797.72</v>
      </c>
      <c r="I345" s="210">
        <f t="shared" si="5"/>
        <v>23</v>
      </c>
      <c r="K345" s="174"/>
      <c r="L345" s="5"/>
      <c r="M345" s="222">
        <v>337.0</v>
      </c>
      <c r="N345" s="223">
        <v>53844.0</v>
      </c>
      <c r="O345" s="222">
        <v>514214.0845700926</v>
      </c>
      <c r="P345" s="222">
        <v>32083.201051386888</v>
      </c>
      <c r="Q345" s="222">
        <v>546297.2856214795</v>
      </c>
      <c r="R345" s="224">
        <v>1.2192004153608665E7</v>
      </c>
      <c r="S345" s="222">
        <v>23.0</v>
      </c>
      <c r="T345" s="225"/>
    </row>
    <row r="346" ht="12.0" customHeight="1">
      <c r="C346" s="210">
        <v>338.0</v>
      </c>
      <c r="D346" s="211">
        <v>53874.0</v>
      </c>
      <c r="E346" s="210">
        <f t="shared" si="2"/>
        <v>1038373.259</v>
      </c>
      <c r="F346" s="210">
        <f t="shared" si="3"/>
        <v>62008.43924</v>
      </c>
      <c r="G346" s="210">
        <f t="shared" si="4"/>
        <v>1100381.698</v>
      </c>
      <c r="H346" s="170">
        <f t="shared" si="6"/>
        <v>23519424.46</v>
      </c>
      <c r="I346" s="210">
        <f t="shared" si="5"/>
        <v>22</v>
      </c>
      <c r="K346" s="174"/>
      <c r="L346" s="5"/>
      <c r="M346" s="222">
        <v>338.0</v>
      </c>
      <c r="N346" s="223">
        <v>53874.0</v>
      </c>
      <c r="O346" s="222">
        <v>515512.4751336322</v>
      </c>
      <c r="P346" s="222">
        <v>30784.81048784731</v>
      </c>
      <c r="Q346" s="222">
        <v>546297.2856214795</v>
      </c>
      <c r="R346" s="224">
        <v>1.1676491678475033E7</v>
      </c>
      <c r="S346" s="222">
        <v>22.0</v>
      </c>
      <c r="T346" s="225"/>
    </row>
    <row r="347" ht="12.0" customHeight="1">
      <c r="C347" s="210">
        <v>339.0</v>
      </c>
      <c r="D347" s="211">
        <v>53905.0</v>
      </c>
      <c r="E347" s="210">
        <f t="shared" si="2"/>
        <v>1040995.151</v>
      </c>
      <c r="F347" s="210">
        <f t="shared" si="3"/>
        <v>59386.54676</v>
      </c>
      <c r="G347" s="210">
        <f t="shared" si="4"/>
        <v>1100381.698</v>
      </c>
      <c r="H347" s="170">
        <f t="shared" si="6"/>
        <v>22478429.31</v>
      </c>
      <c r="I347" s="210">
        <f t="shared" si="5"/>
        <v>21</v>
      </c>
      <c r="K347" s="174"/>
      <c r="L347" s="5"/>
      <c r="M347" s="222">
        <v>339.0</v>
      </c>
      <c r="N347" s="223">
        <v>53905.0</v>
      </c>
      <c r="O347" s="222">
        <v>516814.1441333446</v>
      </c>
      <c r="P347" s="222">
        <v>29483.14148813492</v>
      </c>
      <c r="Q347" s="222">
        <v>546297.2856214795</v>
      </c>
      <c r="R347" s="224">
        <v>1.115967753434169E7</v>
      </c>
      <c r="S347" s="222">
        <v>21.0</v>
      </c>
      <c r="T347" s="225"/>
    </row>
    <row r="348" ht="12.0" customHeight="1">
      <c r="C348" s="210">
        <v>340.0</v>
      </c>
      <c r="D348" s="211">
        <v>53936.0</v>
      </c>
      <c r="E348" s="210">
        <f t="shared" si="2"/>
        <v>1043623.664</v>
      </c>
      <c r="F348" s="210">
        <f t="shared" si="3"/>
        <v>56758.034</v>
      </c>
      <c r="G348" s="210">
        <f t="shared" si="4"/>
        <v>1100381.698</v>
      </c>
      <c r="H348" s="170">
        <f t="shared" si="6"/>
        <v>21434805.64</v>
      </c>
      <c r="I348" s="210">
        <f t="shared" si="5"/>
        <v>20</v>
      </c>
      <c r="K348" s="174"/>
      <c r="L348" s="5"/>
      <c r="M348" s="222">
        <v>340.0</v>
      </c>
      <c r="N348" s="223">
        <v>53936.0</v>
      </c>
      <c r="O348" s="222">
        <v>518119.0998472813</v>
      </c>
      <c r="P348" s="222">
        <v>28178.18577419821</v>
      </c>
      <c r="Q348" s="222">
        <v>546297.2856214795</v>
      </c>
      <c r="R348" s="224">
        <v>1.0641558434494408E7</v>
      </c>
      <c r="S348" s="222">
        <v>20.0</v>
      </c>
      <c r="T348" s="225"/>
    </row>
    <row r="349" ht="12.0" customHeight="1">
      <c r="C349" s="210">
        <v>341.0</v>
      </c>
      <c r="D349" s="211">
        <v>53966.0</v>
      </c>
      <c r="E349" s="210">
        <f t="shared" si="2"/>
        <v>1046258.814</v>
      </c>
      <c r="F349" s="210">
        <f t="shared" si="3"/>
        <v>54122.88425</v>
      </c>
      <c r="G349" s="210">
        <f t="shared" si="4"/>
        <v>1100381.698</v>
      </c>
      <c r="H349" s="170">
        <f t="shared" si="6"/>
        <v>20388546.83</v>
      </c>
      <c r="I349" s="210">
        <f t="shared" si="5"/>
        <v>19</v>
      </c>
      <c r="K349" s="174"/>
      <c r="L349" s="5"/>
      <c r="M349" s="222">
        <v>341.0</v>
      </c>
      <c r="N349" s="223">
        <v>53966.0</v>
      </c>
      <c r="O349" s="222">
        <v>519427.3505743956</v>
      </c>
      <c r="P349" s="222">
        <v>26869.935047083884</v>
      </c>
      <c r="Q349" s="222">
        <v>546297.2856214795</v>
      </c>
      <c r="R349" s="224">
        <v>1.0122131083920013E7</v>
      </c>
      <c r="S349" s="222">
        <v>19.0</v>
      </c>
      <c r="T349" s="225"/>
    </row>
    <row r="350" ht="12.0" customHeight="1">
      <c r="C350" s="210">
        <v>342.0</v>
      </c>
      <c r="D350" s="211">
        <v>53997.0</v>
      </c>
      <c r="E350" s="210">
        <f t="shared" si="2"/>
        <v>1048900.617</v>
      </c>
      <c r="F350" s="210">
        <f t="shared" si="3"/>
        <v>51481.08074</v>
      </c>
      <c r="G350" s="210">
        <f t="shared" si="4"/>
        <v>1100381.698</v>
      </c>
      <c r="H350" s="170">
        <f t="shared" si="6"/>
        <v>19339646.21</v>
      </c>
      <c r="I350" s="210">
        <f t="shared" si="5"/>
        <v>18</v>
      </c>
      <c r="K350" s="174"/>
      <c r="L350" s="5"/>
      <c r="M350" s="222">
        <v>342.0</v>
      </c>
      <c r="N350" s="223">
        <v>53997.0</v>
      </c>
      <c r="O350" s="222">
        <v>520738.904634596</v>
      </c>
      <c r="P350" s="222">
        <v>25558.38098688348</v>
      </c>
      <c r="Q350" s="222">
        <v>546297.2856214795</v>
      </c>
      <c r="R350" s="224">
        <v>9601392.179285416</v>
      </c>
      <c r="S350" s="222">
        <v>18.0</v>
      </c>
      <c r="T350" s="225"/>
    </row>
    <row r="351" ht="12.0" customHeight="1">
      <c r="C351" s="210">
        <v>343.0</v>
      </c>
      <c r="D351" s="211">
        <v>54027.0</v>
      </c>
      <c r="E351" s="210">
        <f t="shared" si="2"/>
        <v>1051549.091</v>
      </c>
      <c r="F351" s="210">
        <f t="shared" si="3"/>
        <v>48832.60668</v>
      </c>
      <c r="G351" s="210">
        <f t="shared" si="4"/>
        <v>1100381.698</v>
      </c>
      <c r="H351" s="170">
        <f t="shared" si="6"/>
        <v>18288097.12</v>
      </c>
      <c r="I351" s="210">
        <f t="shared" si="5"/>
        <v>17</v>
      </c>
      <c r="K351" s="174"/>
      <c r="L351" s="5"/>
      <c r="M351" s="222">
        <v>343.0</v>
      </c>
      <c r="N351" s="223">
        <v>54027.0</v>
      </c>
      <c r="O351" s="222">
        <v>522053.77036879834</v>
      </c>
      <c r="P351" s="222">
        <v>24243.515252681158</v>
      </c>
      <c r="Q351" s="222">
        <v>546297.2856214795</v>
      </c>
      <c r="R351" s="224">
        <v>9079338.408916619</v>
      </c>
      <c r="S351" s="222">
        <v>17.0</v>
      </c>
      <c r="T351" s="225"/>
    </row>
    <row r="352" ht="12.0" customHeight="1">
      <c r="C352" s="210">
        <v>344.0</v>
      </c>
      <c r="D352" s="211">
        <v>54058.0</v>
      </c>
      <c r="E352" s="210">
        <f t="shared" si="2"/>
        <v>1054204.253</v>
      </c>
      <c r="F352" s="210">
        <f t="shared" si="3"/>
        <v>46177.44523</v>
      </c>
      <c r="G352" s="210">
        <f t="shared" si="4"/>
        <v>1100381.698</v>
      </c>
      <c r="H352" s="170">
        <f t="shared" si="6"/>
        <v>17233892.87</v>
      </c>
      <c r="I352" s="210">
        <f t="shared" si="5"/>
        <v>16</v>
      </c>
      <c r="K352" s="174"/>
      <c r="L352" s="5"/>
      <c r="M352" s="222">
        <v>344.0</v>
      </c>
      <c r="N352" s="223">
        <v>54058.0</v>
      </c>
      <c r="O352" s="222">
        <v>523371.9561389796</v>
      </c>
      <c r="P352" s="222">
        <v>22925.329482499918</v>
      </c>
      <c r="Q352" s="222">
        <v>546297.2856214795</v>
      </c>
      <c r="R352" s="224">
        <v>8555966.452777639</v>
      </c>
      <c r="S352" s="222">
        <v>16.0</v>
      </c>
      <c r="T352" s="225"/>
    </row>
    <row r="353" ht="12.0" customHeight="1">
      <c r="C353" s="210">
        <v>345.0</v>
      </c>
      <c r="D353" s="211">
        <v>54089.0</v>
      </c>
      <c r="E353" s="210">
        <f t="shared" si="2"/>
        <v>1056866.119</v>
      </c>
      <c r="F353" s="210">
        <f t="shared" si="3"/>
        <v>43515.57949</v>
      </c>
      <c r="G353" s="210">
        <f t="shared" si="4"/>
        <v>1100381.698</v>
      </c>
      <c r="H353" s="170">
        <f t="shared" si="6"/>
        <v>16177026.75</v>
      </c>
      <c r="I353" s="210">
        <f t="shared" si="5"/>
        <v>15</v>
      </c>
      <c r="K353" s="174"/>
      <c r="L353" s="5"/>
      <c r="M353" s="222">
        <v>345.0</v>
      </c>
      <c r="N353" s="223">
        <v>54089.0</v>
      </c>
      <c r="O353" s="222">
        <v>524693.4703282305</v>
      </c>
      <c r="P353" s="222">
        <v>21603.815293248976</v>
      </c>
      <c r="Q353" s="222">
        <v>546297.2856214795</v>
      </c>
      <c r="R353" s="224">
        <v>8031272.982449409</v>
      </c>
      <c r="S353" s="222">
        <v>15.0</v>
      </c>
      <c r="T353" s="225"/>
    </row>
    <row r="354" ht="12.0" customHeight="1">
      <c r="C354" s="210">
        <v>346.0</v>
      </c>
      <c r="D354" s="211">
        <v>54118.0</v>
      </c>
      <c r="E354" s="210">
        <f t="shared" si="2"/>
        <v>1059534.706</v>
      </c>
      <c r="F354" s="210">
        <f t="shared" si="3"/>
        <v>40846.99254</v>
      </c>
      <c r="G354" s="210">
        <f t="shared" si="4"/>
        <v>1100381.698</v>
      </c>
      <c r="H354" s="170">
        <f t="shared" si="6"/>
        <v>15117492.04</v>
      </c>
      <c r="I354" s="210">
        <f t="shared" si="5"/>
        <v>14</v>
      </c>
      <c r="K354" s="174"/>
      <c r="L354" s="5"/>
      <c r="M354" s="222">
        <v>346.0</v>
      </c>
      <c r="N354" s="223">
        <v>54118.0</v>
      </c>
      <c r="O354" s="222">
        <v>526018.3213408093</v>
      </c>
      <c r="P354" s="222">
        <v>20278.96428067016</v>
      </c>
      <c r="Q354" s="222">
        <v>546297.2856214795</v>
      </c>
      <c r="R354" s="224">
        <v>7505254.661108599</v>
      </c>
      <c r="S354" s="222">
        <v>14.0</v>
      </c>
      <c r="T354" s="225"/>
    </row>
    <row r="355" ht="12.0" customHeight="1">
      <c r="C355" s="210">
        <v>347.0</v>
      </c>
      <c r="D355" s="211">
        <v>54149.0</v>
      </c>
      <c r="E355" s="210">
        <f t="shared" si="2"/>
        <v>1062210.031</v>
      </c>
      <c r="F355" s="210">
        <f t="shared" si="3"/>
        <v>38171.66741</v>
      </c>
      <c r="G355" s="210">
        <f t="shared" si="4"/>
        <v>1100381.698</v>
      </c>
      <c r="H355" s="170">
        <f t="shared" si="6"/>
        <v>14055282.01</v>
      </c>
      <c r="I355" s="210">
        <f t="shared" si="5"/>
        <v>13</v>
      </c>
      <c r="K355" s="174"/>
      <c r="L355" s="5"/>
      <c r="M355" s="222">
        <v>347.0</v>
      </c>
      <c r="N355" s="223">
        <v>54149.0</v>
      </c>
      <c r="O355" s="222">
        <v>527346.5176021948</v>
      </c>
      <c r="P355" s="222">
        <v>18950.768019284704</v>
      </c>
      <c r="Q355" s="222">
        <v>546297.2856214795</v>
      </c>
      <c r="R355" s="224">
        <v>6977908.143506404</v>
      </c>
      <c r="S355" s="222">
        <v>13.0</v>
      </c>
      <c r="T355" s="225"/>
    </row>
    <row r="356" ht="12.0" customHeight="1">
      <c r="C356" s="210">
        <v>348.0</v>
      </c>
      <c r="D356" s="211">
        <v>54179.0</v>
      </c>
      <c r="E356" s="210">
        <f t="shared" si="2"/>
        <v>1064892.111</v>
      </c>
      <c r="F356" s="210">
        <f t="shared" si="3"/>
        <v>35489.58708</v>
      </c>
      <c r="G356" s="210">
        <f t="shared" si="4"/>
        <v>1100381.698</v>
      </c>
      <c r="H356" s="170">
        <f t="shared" si="6"/>
        <v>12990389.9</v>
      </c>
      <c r="I356" s="210">
        <f t="shared" si="5"/>
        <v>12</v>
      </c>
      <c r="K356" s="174"/>
      <c r="L356" s="5"/>
      <c r="M356" s="222">
        <v>348.0</v>
      </c>
      <c r="N356" s="223">
        <v>54179.0</v>
      </c>
      <c r="O356" s="222">
        <v>528678.0675591404</v>
      </c>
      <c r="P356" s="222">
        <v>17619.218062339118</v>
      </c>
      <c r="Q356" s="222">
        <v>546297.2856214795</v>
      </c>
      <c r="R356" s="224">
        <v>6449230.075947263</v>
      </c>
      <c r="S356" s="222">
        <v>12.0</v>
      </c>
      <c r="T356" s="225"/>
    </row>
    <row r="357" ht="12.0" customHeight="1">
      <c r="C357" s="210">
        <v>349.0</v>
      </c>
      <c r="D357" s="211">
        <v>54210.0</v>
      </c>
      <c r="E357" s="210">
        <f t="shared" si="2"/>
        <v>1067580.964</v>
      </c>
      <c r="F357" s="210">
        <f t="shared" si="3"/>
        <v>32800.7345</v>
      </c>
      <c r="G357" s="210">
        <f t="shared" si="4"/>
        <v>1100381.698</v>
      </c>
      <c r="H357" s="170">
        <f t="shared" si="6"/>
        <v>11922808.94</v>
      </c>
      <c r="I357" s="210">
        <f t="shared" si="5"/>
        <v>11</v>
      </c>
      <c r="K357" s="174"/>
      <c r="L357" s="5"/>
      <c r="M357" s="222">
        <v>349.0</v>
      </c>
      <c r="N357" s="223">
        <v>54210.0</v>
      </c>
      <c r="O357" s="222">
        <v>530012.9796797272</v>
      </c>
      <c r="P357" s="222">
        <v>16284.305941752275</v>
      </c>
      <c r="Q357" s="222">
        <v>546297.2856214795</v>
      </c>
      <c r="R357" s="224">
        <v>5919217.096267536</v>
      </c>
      <c r="S357" s="222">
        <v>11.0</v>
      </c>
      <c r="T357" s="225"/>
    </row>
    <row r="358" ht="12.0" customHeight="1">
      <c r="C358" s="210">
        <v>350.0</v>
      </c>
      <c r="D358" s="211">
        <v>54240.0</v>
      </c>
      <c r="E358" s="210">
        <f t="shared" si="2"/>
        <v>1070276.606</v>
      </c>
      <c r="F358" s="210">
        <f t="shared" si="3"/>
        <v>30105.09257</v>
      </c>
      <c r="G358" s="210">
        <f t="shared" si="4"/>
        <v>1100381.698</v>
      </c>
      <c r="H358" s="170">
        <f t="shared" si="6"/>
        <v>10852532.33</v>
      </c>
      <c r="I358" s="210">
        <f t="shared" si="5"/>
        <v>10</v>
      </c>
      <c r="K358" s="174"/>
      <c r="L358" s="5"/>
      <c r="M358" s="222">
        <v>350.0</v>
      </c>
      <c r="N358" s="223">
        <v>54240.0</v>
      </c>
      <c r="O358" s="222">
        <v>531351.2624534186</v>
      </c>
      <c r="P358" s="222">
        <v>14946.023168060929</v>
      </c>
      <c r="Q358" s="222">
        <v>546297.2856214795</v>
      </c>
      <c r="R358" s="224">
        <v>5387865.833814118</v>
      </c>
      <c r="S358" s="222">
        <v>10.0</v>
      </c>
      <c r="T358" s="225"/>
    </row>
    <row r="359" ht="12.0" customHeight="1">
      <c r="C359" s="210">
        <v>351.0</v>
      </c>
      <c r="D359" s="211">
        <v>54271.0</v>
      </c>
      <c r="E359" s="210">
        <f t="shared" si="2"/>
        <v>1072979.054</v>
      </c>
      <c r="F359" s="210">
        <f t="shared" si="3"/>
        <v>27402.64414</v>
      </c>
      <c r="G359" s="210">
        <f t="shared" si="4"/>
        <v>1100381.698</v>
      </c>
      <c r="H359" s="170">
        <f t="shared" si="6"/>
        <v>9779553.279</v>
      </c>
      <c r="I359" s="210">
        <f t="shared" si="5"/>
        <v>9</v>
      </c>
      <c r="K359" s="174"/>
      <c r="L359" s="5"/>
      <c r="M359" s="222">
        <v>351.0</v>
      </c>
      <c r="N359" s="223">
        <v>54271.0</v>
      </c>
      <c r="O359" s="222">
        <v>532692.9243911133</v>
      </c>
      <c r="P359" s="222">
        <v>13604.361230366165</v>
      </c>
      <c r="Q359" s="222">
        <v>546297.2856214795</v>
      </c>
      <c r="R359" s="224">
        <v>4855172.909423005</v>
      </c>
      <c r="S359" s="222">
        <v>9.0</v>
      </c>
      <c r="T359" s="225"/>
    </row>
    <row r="360" ht="12.0" customHeight="1">
      <c r="C360" s="210">
        <v>352.0</v>
      </c>
      <c r="D360" s="211">
        <v>54302.0</v>
      </c>
      <c r="E360" s="210">
        <f t="shared" si="2"/>
        <v>1075688.326</v>
      </c>
      <c r="F360" s="210">
        <f t="shared" si="3"/>
        <v>24693.37203</v>
      </c>
      <c r="G360" s="210">
        <f t="shared" si="4"/>
        <v>1100381.698</v>
      </c>
      <c r="H360" s="170">
        <f t="shared" si="6"/>
        <v>8703864.952</v>
      </c>
      <c r="I360" s="210">
        <f t="shared" si="5"/>
        <v>8</v>
      </c>
      <c r="K360" s="174"/>
      <c r="L360" s="5"/>
      <c r="M360" s="222">
        <v>352.0</v>
      </c>
      <c r="N360" s="223">
        <v>54302.0</v>
      </c>
      <c r="O360" s="222">
        <v>534037.9740252009</v>
      </c>
      <c r="P360" s="222">
        <v>12259.311596278567</v>
      </c>
      <c r="Q360" s="222">
        <v>546297.2856214795</v>
      </c>
      <c r="R360" s="224">
        <v>4321134.935397804</v>
      </c>
      <c r="S360" s="222">
        <v>8.0</v>
      </c>
      <c r="T360" s="225"/>
    </row>
    <row r="361" ht="12.0" customHeight="1">
      <c r="C361" s="210">
        <v>353.0</v>
      </c>
      <c r="D361" s="211">
        <v>54332.0</v>
      </c>
      <c r="E361" s="210">
        <f t="shared" si="2"/>
        <v>1078404.439</v>
      </c>
      <c r="F361" s="210">
        <f t="shared" si="3"/>
        <v>21977.259</v>
      </c>
      <c r="G361" s="210">
        <f t="shared" si="4"/>
        <v>1100381.698</v>
      </c>
      <c r="H361" s="170">
        <f t="shared" si="6"/>
        <v>7625460.513</v>
      </c>
      <c r="I361" s="210">
        <f t="shared" si="5"/>
        <v>7</v>
      </c>
      <c r="K361" s="174"/>
      <c r="L361" s="5"/>
      <c r="M361" s="222">
        <v>353.0</v>
      </c>
      <c r="N361" s="223">
        <v>54332.0</v>
      </c>
      <c r="O361" s="222">
        <v>535386.4199096146</v>
      </c>
      <c r="P361" s="222">
        <v>10910.865711864899</v>
      </c>
      <c r="Q361" s="222">
        <v>546297.2856214795</v>
      </c>
      <c r="R361" s="224">
        <v>3785748.515488189</v>
      </c>
      <c r="S361" s="222">
        <v>7.0</v>
      </c>
      <c r="T361" s="225"/>
    </row>
    <row r="362" ht="12.0" customHeight="1">
      <c r="C362" s="210">
        <v>354.0</v>
      </c>
      <c r="D362" s="211">
        <v>54363.0</v>
      </c>
      <c r="E362" s="210">
        <f t="shared" si="2"/>
        <v>1081127.41</v>
      </c>
      <c r="F362" s="210">
        <f t="shared" si="3"/>
        <v>19254.2878</v>
      </c>
      <c r="G362" s="210">
        <f t="shared" si="4"/>
        <v>1100381.698</v>
      </c>
      <c r="H362" s="170">
        <f t="shared" si="6"/>
        <v>6544333.103</v>
      </c>
      <c r="I362" s="210">
        <f t="shared" si="5"/>
        <v>6</v>
      </c>
      <c r="K362" s="174"/>
      <c r="L362" s="5"/>
      <c r="M362" s="222">
        <v>354.0</v>
      </c>
      <c r="N362" s="223">
        <v>54363.0</v>
      </c>
      <c r="O362" s="222">
        <v>536738.2706198863</v>
      </c>
      <c r="P362" s="222">
        <v>9559.015001593158</v>
      </c>
      <c r="Q362" s="222">
        <v>546297.2856214795</v>
      </c>
      <c r="R362" s="224">
        <v>3249010.2448683027</v>
      </c>
      <c r="S362" s="222">
        <v>6.0</v>
      </c>
      <c r="T362" s="225"/>
    </row>
    <row r="363" ht="12.0" customHeight="1">
      <c r="C363" s="210">
        <v>355.0</v>
      </c>
      <c r="D363" s="211">
        <v>54393.0</v>
      </c>
      <c r="E363" s="210">
        <f t="shared" si="2"/>
        <v>1083857.257</v>
      </c>
      <c r="F363" s="210">
        <f t="shared" si="3"/>
        <v>16524.44109</v>
      </c>
      <c r="G363" s="210">
        <f t="shared" si="4"/>
        <v>1100381.698</v>
      </c>
      <c r="H363" s="170">
        <f t="shared" si="6"/>
        <v>5460475.846</v>
      </c>
      <c r="I363" s="210">
        <f t="shared" si="5"/>
        <v>5</v>
      </c>
      <c r="K363" s="174"/>
      <c r="L363" s="5"/>
      <c r="M363" s="222">
        <v>355.0</v>
      </c>
      <c r="N363" s="223">
        <v>54393.0</v>
      </c>
      <c r="O363" s="222">
        <v>538093.5347532016</v>
      </c>
      <c r="P363" s="222">
        <v>8203.750868277857</v>
      </c>
      <c r="Q363" s="222">
        <v>546297.2856214795</v>
      </c>
      <c r="R363" s="224">
        <v>2710916.710115101</v>
      </c>
      <c r="S363" s="222">
        <v>5.0</v>
      </c>
      <c r="T363" s="225"/>
    </row>
    <row r="364" ht="12.0" customHeight="1">
      <c r="C364" s="210">
        <v>356.0</v>
      </c>
      <c r="D364" s="211">
        <v>54424.0</v>
      </c>
      <c r="E364" s="210">
        <f t="shared" si="2"/>
        <v>1086593.997</v>
      </c>
      <c r="F364" s="210">
        <f t="shared" si="3"/>
        <v>13787.70151</v>
      </c>
      <c r="G364" s="210">
        <f t="shared" si="4"/>
        <v>1100381.698</v>
      </c>
      <c r="H364" s="170">
        <f t="shared" si="6"/>
        <v>4373881.849</v>
      </c>
      <c r="I364" s="210">
        <f t="shared" si="5"/>
        <v>4</v>
      </c>
      <c r="K364" s="174"/>
      <c r="L364" s="5"/>
      <c r="M364" s="222">
        <v>356.0</v>
      </c>
      <c r="N364" s="223">
        <v>54424.0</v>
      </c>
      <c r="O364" s="222">
        <v>539452.2209284534</v>
      </c>
      <c r="P364" s="222">
        <v>6845.064693026128</v>
      </c>
      <c r="Q364" s="222">
        <v>546297.2856214795</v>
      </c>
      <c r="R364" s="224">
        <v>2171464.489186648</v>
      </c>
      <c r="S364" s="222">
        <v>4.0</v>
      </c>
      <c r="T364" s="225"/>
    </row>
    <row r="365" ht="12.0" customHeight="1">
      <c r="C365" s="210">
        <v>357.0</v>
      </c>
      <c r="D365" s="211">
        <v>54455.0</v>
      </c>
      <c r="E365" s="210">
        <f t="shared" si="2"/>
        <v>1089337.646</v>
      </c>
      <c r="F365" s="210">
        <f t="shared" si="3"/>
        <v>11044.05167</v>
      </c>
      <c r="G365" s="210">
        <f t="shared" si="4"/>
        <v>1100381.698</v>
      </c>
      <c r="H365" s="170">
        <f t="shared" si="6"/>
        <v>3284544.203</v>
      </c>
      <c r="I365" s="210">
        <f t="shared" si="5"/>
        <v>3</v>
      </c>
      <c r="K365" s="174"/>
      <c r="L365" s="5"/>
      <c r="M365" s="222">
        <v>357.0</v>
      </c>
      <c r="N365" s="223">
        <v>54455.0</v>
      </c>
      <c r="O365" s="222">
        <v>540814.3377862978</v>
      </c>
      <c r="P365" s="222">
        <v>5482.947835181723</v>
      </c>
      <c r="Q365" s="222">
        <v>546297.2856214795</v>
      </c>
      <c r="R365" s="224">
        <v>1630650.15140035</v>
      </c>
      <c r="S365" s="222">
        <v>3.0</v>
      </c>
      <c r="T365" s="225"/>
    </row>
    <row r="366" ht="12.0" customHeight="1">
      <c r="C366" s="210">
        <v>358.0</v>
      </c>
      <c r="D366" s="211">
        <v>54483.0</v>
      </c>
      <c r="E366" s="210">
        <f t="shared" si="2"/>
        <v>1092088.224</v>
      </c>
      <c r="F366" s="210">
        <f t="shared" si="3"/>
        <v>8293.474113</v>
      </c>
      <c r="G366" s="210">
        <f t="shared" si="4"/>
        <v>1100381.698</v>
      </c>
      <c r="H366" s="170">
        <f t="shared" si="6"/>
        <v>2192455.979</v>
      </c>
      <c r="I366" s="210">
        <f t="shared" si="5"/>
        <v>2</v>
      </c>
      <c r="K366" s="174"/>
      <c r="L366" s="5"/>
      <c r="M366" s="222">
        <v>358.0</v>
      </c>
      <c r="N366" s="223">
        <v>54483.0</v>
      </c>
      <c r="O366" s="222">
        <v>542179.8939892082</v>
      </c>
      <c r="P366" s="222">
        <v>4117.3916322713485</v>
      </c>
      <c r="Q366" s="222">
        <v>546297.2856214795</v>
      </c>
      <c r="R366" s="224">
        <v>1088470.2574111419</v>
      </c>
      <c r="S366" s="222">
        <v>2.0</v>
      </c>
      <c r="T366" s="225"/>
    </row>
    <row r="367" ht="12.0" customHeight="1">
      <c r="C367" s="210">
        <v>359.0</v>
      </c>
      <c r="D367" s="211">
        <v>54514.0</v>
      </c>
      <c r="E367" s="210">
        <f t="shared" si="2"/>
        <v>1094845.747</v>
      </c>
      <c r="F367" s="210">
        <f t="shared" si="3"/>
        <v>5535.951347</v>
      </c>
      <c r="G367" s="210">
        <f t="shared" si="4"/>
        <v>1100381.698</v>
      </c>
      <c r="H367" s="170">
        <f t="shared" si="6"/>
        <v>1097610.232</v>
      </c>
      <c r="I367" s="210">
        <f t="shared" si="5"/>
        <v>1</v>
      </c>
      <c r="K367" s="174"/>
      <c r="L367" s="5"/>
      <c r="M367" s="222">
        <v>359.0</v>
      </c>
      <c r="N367" s="223">
        <v>54514.0</v>
      </c>
      <c r="O367" s="222">
        <v>543548.898221531</v>
      </c>
      <c r="P367" s="222">
        <v>2748.3873999485513</v>
      </c>
      <c r="Q367" s="222">
        <v>546297.2856214795</v>
      </c>
      <c r="R367" s="224">
        <v>544921.3591896109</v>
      </c>
      <c r="S367" s="222">
        <v>1.0</v>
      </c>
      <c r="T367" s="225"/>
    </row>
    <row r="368" ht="12.0" customHeight="1">
      <c r="C368" s="210">
        <v>360.0</v>
      </c>
      <c r="D368" s="211">
        <v>54544.0</v>
      </c>
      <c r="E368" s="210">
        <f t="shared" si="2"/>
        <v>1097610.232</v>
      </c>
      <c r="F368" s="210">
        <f t="shared" si="3"/>
        <v>2771.465836</v>
      </c>
      <c r="G368" s="210">
        <f t="shared" si="4"/>
        <v>1100381.698</v>
      </c>
      <c r="H368" s="170">
        <f t="shared" si="6"/>
        <v>0.00001162430272</v>
      </c>
      <c r="I368" s="210">
        <f t="shared" si="5"/>
        <v>0</v>
      </c>
      <c r="K368" s="174"/>
      <c r="L368" s="5"/>
      <c r="M368" s="222">
        <v>360.0</v>
      </c>
      <c r="N368" s="223">
        <v>54544.0</v>
      </c>
      <c r="O368" s="222">
        <v>544921.3591895403</v>
      </c>
      <c r="P368" s="222">
        <v>1375.9264319392387</v>
      </c>
      <c r="Q368" s="222">
        <v>546297.2856214795</v>
      </c>
      <c r="R368" s="224">
        <v>7.066410034894943E-8</v>
      </c>
      <c r="S368" s="222">
        <v>0.0</v>
      </c>
      <c r="T368" s="225"/>
    </row>
    <row r="369" ht="12.0" customHeight="1">
      <c r="E369" s="4"/>
      <c r="F369" s="4"/>
      <c r="G369" s="4"/>
      <c r="H369" s="5"/>
      <c r="I369" s="146"/>
      <c r="K369" s="174"/>
      <c r="L369" s="5"/>
      <c r="T369" s="179"/>
    </row>
    <row r="370" ht="12.0" customHeight="1">
      <c r="E370" s="4"/>
      <c r="F370" s="4"/>
      <c r="G370" s="4"/>
      <c r="H370" s="5"/>
      <c r="I370" s="146"/>
      <c r="K370" s="174"/>
      <c r="L370" s="5"/>
      <c r="T370" s="179"/>
    </row>
    <row r="371" ht="12.0" customHeight="1">
      <c r="E371" s="4"/>
      <c r="F371" s="4"/>
      <c r="G371" s="4"/>
      <c r="H371" s="5"/>
      <c r="I371" s="146"/>
      <c r="K371" s="174"/>
      <c r="L371" s="5"/>
      <c r="T371" s="179"/>
    </row>
    <row r="372" ht="12.0" customHeight="1">
      <c r="E372" s="4"/>
      <c r="F372" s="4"/>
      <c r="G372" s="4"/>
      <c r="H372" s="5"/>
      <c r="I372" s="146"/>
      <c r="K372" s="174"/>
      <c r="L372" s="5"/>
      <c r="T372" s="179"/>
    </row>
    <row r="373" ht="12.0" customHeight="1">
      <c r="E373" s="4"/>
      <c r="F373" s="4"/>
      <c r="G373" s="4"/>
      <c r="H373" s="5"/>
      <c r="I373" s="146"/>
      <c r="K373" s="174"/>
      <c r="L373" s="5"/>
      <c r="T373" s="179"/>
    </row>
    <row r="374" ht="12.0" customHeight="1">
      <c r="E374" s="4"/>
      <c r="F374" s="4"/>
      <c r="G374" s="4"/>
      <c r="H374" s="5"/>
      <c r="I374" s="146"/>
      <c r="K374" s="174"/>
      <c r="L374" s="5"/>
      <c r="T374" s="179"/>
    </row>
    <row r="375" ht="12.0" customHeight="1">
      <c r="E375" s="4"/>
      <c r="F375" s="4"/>
      <c r="G375" s="4"/>
      <c r="H375" s="5"/>
      <c r="I375" s="146"/>
      <c r="K375" s="174"/>
      <c r="L375" s="5"/>
      <c r="T375" s="179"/>
    </row>
    <row r="376" ht="12.0" customHeight="1">
      <c r="E376" s="4"/>
      <c r="F376" s="4"/>
      <c r="G376" s="4"/>
      <c r="H376" s="5"/>
      <c r="I376" s="146"/>
      <c r="K376" s="174"/>
      <c r="L376" s="5"/>
      <c r="T376" s="179"/>
    </row>
    <row r="377" ht="12.0" customHeight="1">
      <c r="E377" s="4"/>
      <c r="F377" s="4"/>
      <c r="G377" s="4"/>
      <c r="H377" s="5"/>
      <c r="I377" s="146"/>
      <c r="K377" s="174"/>
      <c r="L377" s="5"/>
      <c r="T377" s="179"/>
    </row>
    <row r="378" ht="12.0" customHeight="1">
      <c r="E378" s="4"/>
      <c r="F378" s="4"/>
      <c r="G378" s="4"/>
      <c r="H378" s="5"/>
      <c r="I378" s="146"/>
      <c r="K378" s="174"/>
      <c r="L378" s="5"/>
      <c r="T378" s="179"/>
    </row>
    <row r="379" ht="12.0" customHeight="1">
      <c r="E379" s="4"/>
      <c r="F379" s="4"/>
      <c r="G379" s="4"/>
      <c r="H379" s="5"/>
      <c r="I379" s="146"/>
      <c r="K379" s="174"/>
      <c r="L379" s="5"/>
      <c r="T379" s="179"/>
    </row>
    <row r="380" ht="12.0" customHeight="1">
      <c r="E380" s="4"/>
      <c r="F380" s="4"/>
      <c r="G380" s="4"/>
      <c r="H380" s="5"/>
      <c r="I380" s="146"/>
      <c r="K380" s="174"/>
      <c r="L380" s="5"/>
      <c r="T380" s="179"/>
    </row>
    <row r="381" ht="12.0" customHeight="1">
      <c r="E381" s="4"/>
      <c r="F381" s="4"/>
      <c r="G381" s="4"/>
      <c r="H381" s="5"/>
      <c r="I381" s="146"/>
      <c r="K381" s="174"/>
      <c r="L381" s="5"/>
      <c r="T381" s="179"/>
    </row>
    <row r="382" ht="12.0" customHeight="1">
      <c r="E382" s="4"/>
      <c r="F382" s="4"/>
      <c r="G382" s="4"/>
      <c r="H382" s="5"/>
      <c r="I382" s="146"/>
      <c r="K382" s="174"/>
      <c r="L382" s="5"/>
      <c r="T382" s="179"/>
    </row>
    <row r="383" ht="12.0" customHeight="1">
      <c r="E383" s="4"/>
      <c r="F383" s="4"/>
      <c r="G383" s="4"/>
      <c r="H383" s="5"/>
      <c r="I383" s="146"/>
      <c r="K383" s="174"/>
      <c r="L383" s="5"/>
      <c r="T383" s="179"/>
    </row>
    <row r="384" ht="12.0" customHeight="1">
      <c r="E384" s="4"/>
      <c r="F384" s="4"/>
      <c r="G384" s="4"/>
      <c r="H384" s="5"/>
      <c r="I384" s="146"/>
      <c r="K384" s="174"/>
      <c r="L384" s="5"/>
      <c r="T384" s="179"/>
    </row>
    <row r="385" ht="12.0" customHeight="1">
      <c r="E385" s="4"/>
      <c r="F385" s="4"/>
      <c r="G385" s="4"/>
      <c r="H385" s="5"/>
      <c r="I385" s="146"/>
      <c r="K385" s="174"/>
      <c r="L385" s="5"/>
      <c r="T385" s="179"/>
    </row>
    <row r="386" ht="12.0" customHeight="1">
      <c r="E386" s="4"/>
      <c r="F386" s="4"/>
      <c r="G386" s="4"/>
      <c r="H386" s="5"/>
      <c r="I386" s="146"/>
      <c r="K386" s="174"/>
      <c r="L386" s="5"/>
      <c r="T386" s="179"/>
    </row>
    <row r="387" ht="12.0" customHeight="1">
      <c r="E387" s="4"/>
      <c r="F387" s="4"/>
      <c r="G387" s="4"/>
      <c r="H387" s="5"/>
      <c r="I387" s="146"/>
      <c r="K387" s="174"/>
      <c r="L387" s="5"/>
      <c r="T387" s="179"/>
    </row>
    <row r="388" ht="12.0" customHeight="1">
      <c r="E388" s="4"/>
      <c r="F388" s="4"/>
      <c r="G388" s="4"/>
      <c r="H388" s="5"/>
      <c r="I388" s="146"/>
      <c r="K388" s="174"/>
      <c r="L388" s="5"/>
      <c r="T388" s="179"/>
    </row>
    <row r="389" ht="12.0" customHeight="1">
      <c r="E389" s="4"/>
      <c r="F389" s="4"/>
      <c r="G389" s="4"/>
      <c r="H389" s="5"/>
      <c r="I389" s="146"/>
      <c r="K389" s="174"/>
      <c r="L389" s="5"/>
      <c r="T389" s="179"/>
    </row>
    <row r="390" ht="12.0" customHeight="1">
      <c r="E390" s="4"/>
      <c r="F390" s="4"/>
      <c r="G390" s="4"/>
      <c r="H390" s="5"/>
      <c r="I390" s="146"/>
      <c r="K390" s="174"/>
      <c r="L390" s="5"/>
      <c r="T390" s="179"/>
    </row>
    <row r="391" ht="12.0" customHeight="1">
      <c r="E391" s="4"/>
      <c r="F391" s="4"/>
      <c r="G391" s="4"/>
      <c r="H391" s="5"/>
      <c r="I391" s="146"/>
      <c r="K391" s="174"/>
      <c r="L391" s="5"/>
      <c r="T391" s="179"/>
    </row>
    <row r="392" ht="12.0" customHeight="1">
      <c r="E392" s="4"/>
      <c r="F392" s="4"/>
      <c r="G392" s="4"/>
      <c r="H392" s="5"/>
      <c r="I392" s="146"/>
      <c r="K392" s="174"/>
      <c r="L392" s="5"/>
      <c r="T392" s="179"/>
    </row>
    <row r="393" ht="12.0" customHeight="1">
      <c r="E393" s="4"/>
      <c r="F393" s="4"/>
      <c r="G393" s="4"/>
      <c r="H393" s="5"/>
      <c r="I393" s="146"/>
      <c r="K393" s="174"/>
      <c r="L393" s="5"/>
      <c r="T393" s="179"/>
    </row>
    <row r="394" ht="12.0" customHeight="1">
      <c r="E394" s="4"/>
      <c r="F394" s="4"/>
      <c r="G394" s="4"/>
      <c r="H394" s="5"/>
      <c r="I394" s="146"/>
      <c r="K394" s="174"/>
      <c r="L394" s="5"/>
      <c r="T394" s="179"/>
    </row>
    <row r="395" ht="12.0" customHeight="1">
      <c r="E395" s="4"/>
      <c r="F395" s="4"/>
      <c r="G395" s="4"/>
      <c r="H395" s="5"/>
      <c r="I395" s="146"/>
      <c r="K395" s="174"/>
      <c r="L395" s="5"/>
      <c r="T395" s="179"/>
    </row>
    <row r="396" ht="12.0" customHeight="1">
      <c r="E396" s="4"/>
      <c r="F396" s="4"/>
      <c r="G396" s="4"/>
      <c r="H396" s="5"/>
      <c r="I396" s="146"/>
      <c r="K396" s="174"/>
      <c r="L396" s="5"/>
      <c r="T396" s="179"/>
    </row>
    <row r="397" ht="12.0" customHeight="1">
      <c r="E397" s="4"/>
      <c r="F397" s="4"/>
      <c r="G397" s="4"/>
      <c r="H397" s="5"/>
      <c r="I397" s="146"/>
      <c r="K397" s="174"/>
      <c r="L397" s="5"/>
      <c r="T397" s="179"/>
    </row>
    <row r="398" ht="12.0" customHeight="1">
      <c r="E398" s="4"/>
      <c r="F398" s="4"/>
      <c r="G398" s="4"/>
      <c r="H398" s="5"/>
      <c r="I398" s="146"/>
      <c r="K398" s="174"/>
      <c r="L398" s="5"/>
      <c r="T398" s="179"/>
    </row>
    <row r="399" ht="12.0" customHeight="1">
      <c r="E399" s="4"/>
      <c r="F399" s="4"/>
      <c r="G399" s="4"/>
      <c r="H399" s="5"/>
      <c r="I399" s="146"/>
      <c r="K399" s="174"/>
      <c r="L399" s="5"/>
      <c r="T399" s="179"/>
    </row>
    <row r="400" ht="12.0" customHeight="1">
      <c r="E400" s="4"/>
      <c r="F400" s="4"/>
      <c r="G400" s="4"/>
      <c r="H400" s="5"/>
      <c r="I400" s="146"/>
      <c r="K400" s="174"/>
      <c r="L400" s="5"/>
      <c r="T400" s="179"/>
    </row>
    <row r="401" ht="12.0" customHeight="1">
      <c r="E401" s="4"/>
      <c r="F401" s="4"/>
      <c r="G401" s="4"/>
      <c r="H401" s="5"/>
      <c r="I401" s="146"/>
      <c r="K401" s="174"/>
      <c r="L401" s="5"/>
      <c r="T401" s="179"/>
    </row>
    <row r="402" ht="12.0" customHeight="1">
      <c r="E402" s="4"/>
      <c r="F402" s="4"/>
      <c r="G402" s="4"/>
      <c r="H402" s="5"/>
      <c r="I402" s="146"/>
      <c r="K402" s="174"/>
      <c r="L402" s="5"/>
      <c r="T402" s="179"/>
    </row>
    <row r="403" ht="12.0" customHeight="1">
      <c r="E403" s="4"/>
      <c r="F403" s="4"/>
      <c r="G403" s="4"/>
      <c r="H403" s="5"/>
      <c r="I403" s="146"/>
      <c r="K403" s="174"/>
      <c r="L403" s="5"/>
      <c r="T403" s="179"/>
    </row>
    <row r="404" ht="12.0" customHeight="1">
      <c r="E404" s="4"/>
      <c r="F404" s="4"/>
      <c r="G404" s="4"/>
      <c r="H404" s="5"/>
      <c r="I404" s="146"/>
      <c r="K404" s="174"/>
      <c r="L404" s="5"/>
      <c r="T404" s="179"/>
    </row>
    <row r="405" ht="12.0" customHeight="1">
      <c r="E405" s="4"/>
      <c r="F405" s="4"/>
      <c r="G405" s="4"/>
      <c r="H405" s="5"/>
      <c r="I405" s="146"/>
      <c r="K405" s="174"/>
      <c r="L405" s="5"/>
      <c r="T405" s="179"/>
    </row>
    <row r="406" ht="12.0" customHeight="1">
      <c r="E406" s="4"/>
      <c r="F406" s="4"/>
      <c r="G406" s="4"/>
      <c r="H406" s="5"/>
      <c r="I406" s="146"/>
      <c r="K406" s="174"/>
      <c r="L406" s="5"/>
      <c r="T406" s="179"/>
    </row>
    <row r="407" ht="12.0" customHeight="1">
      <c r="E407" s="4"/>
      <c r="F407" s="4"/>
      <c r="G407" s="4"/>
      <c r="H407" s="5"/>
      <c r="I407" s="146"/>
      <c r="K407" s="174"/>
      <c r="L407" s="5"/>
      <c r="T407" s="179"/>
    </row>
    <row r="408" ht="12.0" customHeight="1">
      <c r="E408" s="4"/>
      <c r="F408" s="4"/>
      <c r="G408" s="4"/>
      <c r="H408" s="5"/>
      <c r="I408" s="146"/>
      <c r="K408" s="174"/>
      <c r="L408" s="5"/>
      <c r="T408" s="179"/>
    </row>
    <row r="409" ht="12.0" customHeight="1">
      <c r="E409" s="4"/>
      <c r="F409" s="4"/>
      <c r="G409" s="4"/>
      <c r="H409" s="5"/>
      <c r="I409" s="146"/>
      <c r="K409" s="174"/>
      <c r="L409" s="5"/>
      <c r="T409" s="179"/>
    </row>
    <row r="410" ht="12.0" customHeight="1">
      <c r="E410" s="4"/>
      <c r="F410" s="4"/>
      <c r="G410" s="4"/>
      <c r="H410" s="5"/>
      <c r="I410" s="146"/>
      <c r="K410" s="174"/>
      <c r="L410" s="5"/>
      <c r="T410" s="179"/>
    </row>
    <row r="411" ht="12.0" customHeight="1">
      <c r="E411" s="4"/>
      <c r="F411" s="4"/>
      <c r="G411" s="4"/>
      <c r="H411" s="5"/>
      <c r="I411" s="146"/>
      <c r="K411" s="174"/>
      <c r="L411" s="5"/>
      <c r="T411" s="179"/>
    </row>
    <row r="412" ht="12.0" customHeight="1">
      <c r="E412" s="4"/>
      <c r="F412" s="4"/>
      <c r="G412" s="4"/>
      <c r="H412" s="5"/>
      <c r="I412" s="146"/>
      <c r="K412" s="174"/>
      <c r="L412" s="5"/>
      <c r="T412" s="179"/>
    </row>
    <row r="413" ht="12.0" customHeight="1">
      <c r="E413" s="4"/>
      <c r="F413" s="4"/>
      <c r="G413" s="4"/>
      <c r="H413" s="5"/>
      <c r="I413" s="146"/>
      <c r="K413" s="174"/>
      <c r="L413" s="5"/>
      <c r="T413" s="179"/>
    </row>
    <row r="414" ht="12.0" customHeight="1">
      <c r="E414" s="4"/>
      <c r="F414" s="4"/>
      <c r="G414" s="4"/>
      <c r="H414" s="5"/>
      <c r="I414" s="146"/>
      <c r="K414" s="174"/>
      <c r="L414" s="5"/>
      <c r="T414" s="179"/>
    </row>
    <row r="415" ht="12.0" customHeight="1">
      <c r="E415" s="4"/>
      <c r="F415" s="4"/>
      <c r="G415" s="4"/>
      <c r="H415" s="5"/>
      <c r="I415" s="146"/>
      <c r="K415" s="174"/>
      <c r="L415" s="5"/>
      <c r="T415" s="179"/>
    </row>
    <row r="416" ht="12.0" customHeight="1">
      <c r="E416" s="4"/>
      <c r="F416" s="4"/>
      <c r="G416" s="4"/>
      <c r="H416" s="5"/>
      <c r="I416" s="146"/>
      <c r="K416" s="174"/>
      <c r="L416" s="5"/>
      <c r="T416" s="179"/>
    </row>
    <row r="417" ht="12.0" customHeight="1">
      <c r="E417" s="4"/>
      <c r="F417" s="4"/>
      <c r="G417" s="4"/>
      <c r="H417" s="5"/>
      <c r="I417" s="146"/>
      <c r="K417" s="174"/>
      <c r="L417" s="5"/>
      <c r="T417" s="179"/>
    </row>
    <row r="418" ht="12.0" customHeight="1">
      <c r="E418" s="4"/>
      <c r="F418" s="4"/>
      <c r="G418" s="4"/>
      <c r="H418" s="5"/>
      <c r="I418" s="146"/>
      <c r="K418" s="174"/>
      <c r="L418" s="5"/>
      <c r="T418" s="179"/>
    </row>
    <row r="419" ht="12.0" customHeight="1">
      <c r="E419" s="4"/>
      <c r="F419" s="4"/>
      <c r="G419" s="4"/>
      <c r="H419" s="5"/>
      <c r="I419" s="146"/>
      <c r="K419" s="174"/>
      <c r="L419" s="5"/>
      <c r="T419" s="179"/>
    </row>
    <row r="420" ht="12.0" customHeight="1">
      <c r="E420" s="4"/>
      <c r="F420" s="4"/>
      <c r="G420" s="4"/>
      <c r="H420" s="5"/>
      <c r="I420" s="146"/>
      <c r="K420" s="174"/>
      <c r="L420" s="5"/>
      <c r="T420" s="179"/>
    </row>
    <row r="421" ht="12.0" customHeight="1">
      <c r="E421" s="4"/>
      <c r="F421" s="4"/>
      <c r="G421" s="4"/>
      <c r="H421" s="5"/>
      <c r="I421" s="146"/>
      <c r="K421" s="174"/>
      <c r="L421" s="5"/>
      <c r="T421" s="179"/>
    </row>
    <row r="422" ht="12.0" customHeight="1">
      <c r="E422" s="4"/>
      <c r="F422" s="4"/>
      <c r="G422" s="4"/>
      <c r="H422" s="5"/>
      <c r="I422" s="146"/>
      <c r="K422" s="174"/>
      <c r="L422" s="5"/>
      <c r="T422" s="179"/>
    </row>
    <row r="423" ht="12.0" customHeight="1">
      <c r="E423" s="4"/>
      <c r="F423" s="4"/>
      <c r="G423" s="4"/>
      <c r="H423" s="5"/>
      <c r="I423" s="146"/>
      <c r="K423" s="174"/>
      <c r="L423" s="5"/>
      <c r="T423" s="179"/>
    </row>
    <row r="424" ht="12.0" customHeight="1">
      <c r="E424" s="4"/>
      <c r="F424" s="4"/>
      <c r="G424" s="4"/>
      <c r="H424" s="5"/>
      <c r="I424" s="146"/>
      <c r="K424" s="174"/>
      <c r="L424" s="5"/>
      <c r="T424" s="179"/>
    </row>
    <row r="425" ht="12.0" customHeight="1">
      <c r="E425" s="4"/>
      <c r="F425" s="4"/>
      <c r="G425" s="4"/>
      <c r="H425" s="5"/>
      <c r="I425" s="146"/>
      <c r="K425" s="174"/>
      <c r="L425" s="5"/>
      <c r="T425" s="179"/>
    </row>
    <row r="426" ht="12.0" customHeight="1">
      <c r="E426" s="4"/>
      <c r="F426" s="4"/>
      <c r="G426" s="4"/>
      <c r="H426" s="5"/>
      <c r="I426" s="146"/>
      <c r="K426" s="174"/>
      <c r="L426" s="5"/>
      <c r="T426" s="179"/>
    </row>
    <row r="427" ht="12.0" customHeight="1">
      <c r="E427" s="4"/>
      <c r="F427" s="4"/>
      <c r="G427" s="4"/>
      <c r="H427" s="5"/>
      <c r="I427" s="146"/>
      <c r="K427" s="174"/>
      <c r="L427" s="5"/>
      <c r="T427" s="179"/>
    </row>
    <row r="428" ht="12.0" customHeight="1">
      <c r="E428" s="4"/>
      <c r="F428" s="4"/>
      <c r="G428" s="4"/>
      <c r="H428" s="5"/>
      <c r="I428" s="146"/>
      <c r="K428" s="174"/>
      <c r="L428" s="5"/>
      <c r="T428" s="179"/>
    </row>
    <row r="429" ht="12.0" customHeight="1">
      <c r="E429" s="4"/>
      <c r="F429" s="4"/>
      <c r="G429" s="4"/>
      <c r="H429" s="5"/>
      <c r="I429" s="146"/>
      <c r="K429" s="174"/>
      <c r="L429" s="5"/>
      <c r="T429" s="179"/>
    </row>
    <row r="430" ht="12.0" customHeight="1">
      <c r="E430" s="4"/>
      <c r="F430" s="4"/>
      <c r="G430" s="4"/>
      <c r="H430" s="5"/>
      <c r="I430" s="146"/>
      <c r="K430" s="174"/>
      <c r="L430" s="5"/>
      <c r="T430" s="179"/>
    </row>
    <row r="431" ht="12.0" customHeight="1">
      <c r="E431" s="4"/>
      <c r="F431" s="4"/>
      <c r="G431" s="4"/>
      <c r="H431" s="5"/>
      <c r="I431" s="146"/>
      <c r="K431" s="174"/>
      <c r="L431" s="5"/>
      <c r="T431" s="179"/>
    </row>
    <row r="432" ht="12.0" customHeight="1">
      <c r="E432" s="4"/>
      <c r="F432" s="4"/>
      <c r="G432" s="4"/>
      <c r="H432" s="5"/>
      <c r="I432" s="146"/>
      <c r="K432" s="174"/>
      <c r="L432" s="5"/>
      <c r="T432" s="179"/>
    </row>
    <row r="433" ht="12.0" customHeight="1">
      <c r="E433" s="4"/>
      <c r="F433" s="4"/>
      <c r="G433" s="4"/>
      <c r="H433" s="5"/>
      <c r="I433" s="146"/>
      <c r="K433" s="174"/>
      <c r="L433" s="5"/>
      <c r="T433" s="179"/>
    </row>
    <row r="434" ht="12.0" customHeight="1">
      <c r="E434" s="4"/>
      <c r="F434" s="4"/>
      <c r="G434" s="4"/>
      <c r="H434" s="5"/>
      <c r="I434" s="146"/>
      <c r="K434" s="174"/>
      <c r="L434" s="5"/>
      <c r="T434" s="179"/>
    </row>
    <row r="435" ht="12.0" customHeight="1">
      <c r="E435" s="4"/>
      <c r="F435" s="4"/>
      <c r="G435" s="4"/>
      <c r="H435" s="5"/>
      <c r="I435" s="146"/>
      <c r="K435" s="174"/>
      <c r="L435" s="5"/>
      <c r="T435" s="179"/>
    </row>
    <row r="436" ht="12.0" customHeight="1">
      <c r="E436" s="4"/>
      <c r="F436" s="4"/>
      <c r="G436" s="4"/>
      <c r="H436" s="5"/>
      <c r="I436" s="146"/>
      <c r="K436" s="174"/>
      <c r="L436" s="5"/>
      <c r="T436" s="179"/>
    </row>
    <row r="437" ht="12.0" customHeight="1">
      <c r="E437" s="4"/>
      <c r="F437" s="4"/>
      <c r="G437" s="4"/>
      <c r="H437" s="5"/>
      <c r="I437" s="146"/>
      <c r="K437" s="174"/>
      <c r="L437" s="5"/>
      <c r="T437" s="179"/>
    </row>
    <row r="438" ht="12.0" customHeight="1">
      <c r="E438" s="4"/>
      <c r="F438" s="4"/>
      <c r="G438" s="4"/>
      <c r="H438" s="5"/>
      <c r="I438" s="146"/>
      <c r="K438" s="174"/>
      <c r="L438" s="5"/>
      <c r="T438" s="179"/>
    </row>
    <row r="439" ht="12.0" customHeight="1">
      <c r="E439" s="4"/>
      <c r="F439" s="4"/>
      <c r="G439" s="4"/>
      <c r="H439" s="5"/>
      <c r="I439" s="146"/>
      <c r="K439" s="174"/>
      <c r="L439" s="5"/>
      <c r="T439" s="179"/>
    </row>
    <row r="440" ht="12.0" customHeight="1">
      <c r="E440" s="4"/>
      <c r="F440" s="4"/>
      <c r="G440" s="4"/>
      <c r="H440" s="5"/>
      <c r="I440" s="146"/>
      <c r="K440" s="174"/>
      <c r="L440" s="5"/>
      <c r="T440" s="179"/>
    </row>
    <row r="441" ht="12.0" customHeight="1">
      <c r="E441" s="4"/>
      <c r="F441" s="4"/>
      <c r="G441" s="4"/>
      <c r="H441" s="5"/>
      <c r="I441" s="146"/>
      <c r="K441" s="174"/>
      <c r="L441" s="5"/>
      <c r="T441" s="179"/>
    </row>
    <row r="442" ht="12.0" customHeight="1">
      <c r="E442" s="4"/>
      <c r="F442" s="4"/>
      <c r="G442" s="4"/>
      <c r="H442" s="5"/>
      <c r="I442" s="146"/>
      <c r="K442" s="174"/>
      <c r="L442" s="5"/>
      <c r="T442" s="179"/>
    </row>
    <row r="443" ht="12.0" customHeight="1">
      <c r="E443" s="4"/>
      <c r="F443" s="4"/>
      <c r="G443" s="4"/>
      <c r="H443" s="5"/>
      <c r="I443" s="146"/>
      <c r="K443" s="174"/>
      <c r="L443" s="5"/>
      <c r="T443" s="179"/>
    </row>
    <row r="444" ht="12.0" customHeight="1">
      <c r="E444" s="4"/>
      <c r="F444" s="4"/>
      <c r="G444" s="4"/>
      <c r="H444" s="5"/>
      <c r="I444" s="146"/>
      <c r="K444" s="174"/>
      <c r="L444" s="5"/>
      <c r="T444" s="179"/>
    </row>
    <row r="445" ht="12.0" customHeight="1">
      <c r="E445" s="4"/>
      <c r="F445" s="4"/>
      <c r="G445" s="4"/>
      <c r="H445" s="5"/>
      <c r="I445" s="146"/>
      <c r="K445" s="174"/>
      <c r="L445" s="5"/>
      <c r="T445" s="179"/>
    </row>
    <row r="446" ht="12.0" customHeight="1">
      <c r="E446" s="4"/>
      <c r="F446" s="4"/>
      <c r="G446" s="4"/>
      <c r="H446" s="5"/>
      <c r="I446" s="146"/>
      <c r="K446" s="174"/>
      <c r="L446" s="5"/>
      <c r="T446" s="179"/>
    </row>
    <row r="447" ht="12.0" customHeight="1">
      <c r="E447" s="4"/>
      <c r="F447" s="4"/>
      <c r="G447" s="4"/>
      <c r="H447" s="5"/>
      <c r="I447" s="146"/>
      <c r="K447" s="174"/>
      <c r="L447" s="5"/>
      <c r="T447" s="179"/>
    </row>
    <row r="448" ht="12.0" customHeight="1">
      <c r="E448" s="4"/>
      <c r="F448" s="4"/>
      <c r="G448" s="4"/>
      <c r="H448" s="5"/>
      <c r="I448" s="146"/>
      <c r="K448" s="174"/>
      <c r="L448" s="5"/>
      <c r="T448" s="179"/>
    </row>
    <row r="449" ht="12.0" customHeight="1">
      <c r="E449" s="4"/>
      <c r="F449" s="4"/>
      <c r="G449" s="4"/>
      <c r="H449" s="5"/>
      <c r="I449" s="146"/>
      <c r="K449" s="174"/>
      <c r="L449" s="5"/>
      <c r="T449" s="179"/>
    </row>
    <row r="450" ht="12.0" customHeight="1">
      <c r="E450" s="4"/>
      <c r="F450" s="4"/>
      <c r="G450" s="4"/>
      <c r="H450" s="5"/>
      <c r="I450" s="146"/>
      <c r="K450" s="174"/>
      <c r="L450" s="5"/>
      <c r="T450" s="179"/>
    </row>
    <row r="451" ht="12.0" customHeight="1">
      <c r="E451" s="4"/>
      <c r="F451" s="4"/>
      <c r="G451" s="4"/>
      <c r="H451" s="5"/>
      <c r="I451" s="146"/>
      <c r="K451" s="174"/>
      <c r="L451" s="5"/>
      <c r="T451" s="179"/>
    </row>
    <row r="452" ht="12.0" customHeight="1">
      <c r="E452" s="4"/>
      <c r="F452" s="4"/>
      <c r="G452" s="4"/>
      <c r="H452" s="5"/>
      <c r="I452" s="146"/>
      <c r="K452" s="174"/>
      <c r="L452" s="5"/>
      <c r="T452" s="179"/>
    </row>
    <row r="453" ht="12.0" customHeight="1">
      <c r="E453" s="4"/>
      <c r="F453" s="4"/>
      <c r="G453" s="4"/>
      <c r="H453" s="5"/>
      <c r="I453" s="146"/>
      <c r="K453" s="174"/>
      <c r="L453" s="5"/>
      <c r="T453" s="179"/>
    </row>
    <row r="454" ht="12.0" customHeight="1">
      <c r="E454" s="4"/>
      <c r="F454" s="4"/>
      <c r="G454" s="4"/>
      <c r="H454" s="5"/>
      <c r="I454" s="146"/>
      <c r="K454" s="174"/>
      <c r="L454" s="5"/>
      <c r="T454" s="179"/>
    </row>
    <row r="455" ht="12.0" customHeight="1">
      <c r="E455" s="4"/>
      <c r="F455" s="4"/>
      <c r="G455" s="4"/>
      <c r="H455" s="5"/>
      <c r="I455" s="146"/>
      <c r="K455" s="174"/>
      <c r="L455" s="5"/>
      <c r="T455" s="179"/>
    </row>
    <row r="456" ht="12.0" customHeight="1">
      <c r="E456" s="4"/>
      <c r="F456" s="4"/>
      <c r="G456" s="4"/>
      <c r="H456" s="5"/>
      <c r="I456" s="146"/>
      <c r="K456" s="174"/>
      <c r="L456" s="5"/>
      <c r="T456" s="179"/>
    </row>
    <row r="457" ht="12.0" customHeight="1">
      <c r="E457" s="4"/>
      <c r="F457" s="4"/>
      <c r="G457" s="4"/>
      <c r="H457" s="5"/>
      <c r="I457" s="146"/>
      <c r="K457" s="174"/>
      <c r="L457" s="5"/>
      <c r="T457" s="179"/>
    </row>
    <row r="458" ht="12.0" customHeight="1">
      <c r="E458" s="4"/>
      <c r="F458" s="4"/>
      <c r="G458" s="4"/>
      <c r="H458" s="5"/>
      <c r="I458" s="146"/>
      <c r="K458" s="174"/>
      <c r="L458" s="5"/>
      <c r="T458" s="179"/>
    </row>
    <row r="459" ht="12.0" customHeight="1">
      <c r="E459" s="4"/>
      <c r="F459" s="4"/>
      <c r="G459" s="4"/>
      <c r="H459" s="5"/>
      <c r="I459" s="146"/>
      <c r="K459" s="174"/>
      <c r="L459" s="5"/>
      <c r="T459" s="179"/>
    </row>
    <row r="460" ht="12.0" customHeight="1">
      <c r="E460" s="4"/>
      <c r="F460" s="4"/>
      <c r="G460" s="4"/>
      <c r="H460" s="5"/>
      <c r="I460" s="146"/>
      <c r="K460" s="174"/>
      <c r="L460" s="5"/>
      <c r="T460" s="179"/>
    </row>
    <row r="461" ht="12.0" customHeight="1">
      <c r="E461" s="4"/>
      <c r="F461" s="4"/>
      <c r="G461" s="4"/>
      <c r="H461" s="5"/>
      <c r="I461" s="146"/>
      <c r="K461" s="174"/>
      <c r="L461" s="5"/>
      <c r="T461" s="179"/>
    </row>
    <row r="462" ht="12.0" customHeight="1">
      <c r="E462" s="4"/>
      <c r="F462" s="4"/>
      <c r="G462" s="4"/>
      <c r="H462" s="5"/>
      <c r="I462" s="146"/>
      <c r="K462" s="174"/>
      <c r="L462" s="5"/>
      <c r="T462" s="179"/>
    </row>
    <row r="463" ht="12.0" customHeight="1">
      <c r="E463" s="4"/>
      <c r="F463" s="4"/>
      <c r="G463" s="4"/>
      <c r="H463" s="5"/>
      <c r="I463" s="146"/>
      <c r="K463" s="174"/>
      <c r="L463" s="5"/>
      <c r="T463" s="179"/>
    </row>
    <row r="464" ht="12.0" customHeight="1">
      <c r="E464" s="4"/>
      <c r="F464" s="4"/>
      <c r="G464" s="4"/>
      <c r="H464" s="5"/>
      <c r="I464" s="146"/>
      <c r="K464" s="174"/>
      <c r="L464" s="5"/>
      <c r="T464" s="179"/>
    </row>
    <row r="465" ht="12.0" customHeight="1">
      <c r="E465" s="4"/>
      <c r="F465" s="4"/>
      <c r="G465" s="4"/>
      <c r="H465" s="5"/>
      <c r="I465" s="146"/>
      <c r="K465" s="174"/>
      <c r="L465" s="5"/>
      <c r="T465" s="179"/>
    </row>
    <row r="466" ht="12.0" customHeight="1">
      <c r="E466" s="4"/>
      <c r="F466" s="4"/>
      <c r="G466" s="4"/>
      <c r="H466" s="5"/>
      <c r="I466" s="146"/>
      <c r="K466" s="174"/>
      <c r="L466" s="5"/>
      <c r="T466" s="179"/>
    </row>
    <row r="467" ht="12.0" customHeight="1">
      <c r="E467" s="4"/>
      <c r="F467" s="4"/>
      <c r="G467" s="4"/>
      <c r="H467" s="5"/>
      <c r="I467" s="146"/>
      <c r="K467" s="174"/>
      <c r="L467" s="5"/>
      <c r="T467" s="179"/>
    </row>
    <row r="468" ht="12.0" customHeight="1">
      <c r="E468" s="4"/>
      <c r="F468" s="4"/>
      <c r="G468" s="4"/>
      <c r="H468" s="5"/>
      <c r="I468" s="146"/>
      <c r="K468" s="174"/>
      <c r="L468" s="5"/>
      <c r="T468" s="179"/>
    </row>
    <row r="469" ht="12.0" customHeight="1">
      <c r="E469" s="4"/>
      <c r="F469" s="4"/>
      <c r="G469" s="4"/>
      <c r="H469" s="5"/>
      <c r="I469" s="146"/>
      <c r="K469" s="174"/>
      <c r="L469" s="5"/>
      <c r="T469" s="179"/>
    </row>
    <row r="470" ht="12.0" customHeight="1">
      <c r="E470" s="4"/>
      <c r="F470" s="4"/>
      <c r="G470" s="4"/>
      <c r="H470" s="5"/>
      <c r="I470" s="146"/>
      <c r="K470" s="174"/>
      <c r="L470" s="5"/>
      <c r="T470" s="179"/>
    </row>
    <row r="471" ht="12.0" customHeight="1">
      <c r="E471" s="4"/>
      <c r="F471" s="4"/>
      <c r="G471" s="4"/>
      <c r="H471" s="5"/>
      <c r="I471" s="146"/>
      <c r="K471" s="174"/>
      <c r="L471" s="5"/>
      <c r="T471" s="179"/>
    </row>
    <row r="472" ht="12.0" customHeight="1">
      <c r="E472" s="4"/>
      <c r="F472" s="4"/>
      <c r="G472" s="4"/>
      <c r="H472" s="5"/>
      <c r="I472" s="146"/>
      <c r="K472" s="174"/>
      <c r="L472" s="5"/>
      <c r="T472" s="179"/>
    </row>
    <row r="473" ht="12.0" customHeight="1">
      <c r="E473" s="4"/>
      <c r="F473" s="4"/>
      <c r="G473" s="4"/>
      <c r="H473" s="5"/>
      <c r="I473" s="146"/>
      <c r="K473" s="174"/>
      <c r="L473" s="5"/>
      <c r="T473" s="179"/>
    </row>
    <row r="474" ht="12.0" customHeight="1">
      <c r="E474" s="4"/>
      <c r="F474" s="4"/>
      <c r="G474" s="4"/>
      <c r="H474" s="5"/>
      <c r="I474" s="146"/>
      <c r="K474" s="174"/>
      <c r="L474" s="5"/>
      <c r="T474" s="179"/>
    </row>
    <row r="475" ht="12.0" customHeight="1">
      <c r="E475" s="4"/>
      <c r="F475" s="4"/>
      <c r="G475" s="4"/>
      <c r="H475" s="5"/>
      <c r="I475" s="146"/>
      <c r="K475" s="174"/>
      <c r="L475" s="5"/>
      <c r="T475" s="179"/>
    </row>
    <row r="476" ht="12.0" customHeight="1">
      <c r="E476" s="4"/>
      <c r="F476" s="4"/>
      <c r="G476" s="4"/>
      <c r="H476" s="5"/>
      <c r="I476" s="146"/>
      <c r="K476" s="174"/>
      <c r="L476" s="5"/>
      <c r="T476" s="179"/>
    </row>
    <row r="477" ht="12.0" customHeight="1">
      <c r="E477" s="4"/>
      <c r="F477" s="4"/>
      <c r="G477" s="4"/>
      <c r="H477" s="5"/>
      <c r="I477" s="146"/>
      <c r="K477" s="174"/>
      <c r="L477" s="5"/>
      <c r="T477" s="179"/>
    </row>
    <row r="478" ht="12.0" customHeight="1">
      <c r="E478" s="4"/>
      <c r="F478" s="4"/>
      <c r="G478" s="4"/>
      <c r="H478" s="5"/>
      <c r="I478" s="146"/>
      <c r="K478" s="174"/>
      <c r="L478" s="5"/>
      <c r="T478" s="179"/>
    </row>
    <row r="479" ht="12.0" customHeight="1">
      <c r="E479" s="4"/>
      <c r="F479" s="4"/>
      <c r="G479" s="4"/>
      <c r="H479" s="5"/>
      <c r="I479" s="146"/>
      <c r="K479" s="174"/>
      <c r="L479" s="5"/>
      <c r="T479" s="179"/>
    </row>
    <row r="480" ht="12.0" customHeight="1">
      <c r="E480" s="4"/>
      <c r="F480" s="4"/>
      <c r="G480" s="4"/>
      <c r="H480" s="5"/>
      <c r="I480" s="146"/>
      <c r="K480" s="174"/>
      <c r="L480" s="5"/>
      <c r="T480" s="179"/>
    </row>
    <row r="481" ht="12.0" customHeight="1">
      <c r="E481" s="4"/>
      <c r="F481" s="4"/>
      <c r="G481" s="4"/>
      <c r="H481" s="5"/>
      <c r="I481" s="146"/>
      <c r="K481" s="174"/>
      <c r="L481" s="5"/>
      <c r="T481" s="179"/>
    </row>
    <row r="482" ht="12.0" customHeight="1">
      <c r="E482" s="4"/>
      <c r="F482" s="4"/>
      <c r="G482" s="4"/>
      <c r="H482" s="5"/>
      <c r="I482" s="146"/>
      <c r="K482" s="174"/>
      <c r="L482" s="5"/>
      <c r="T482" s="179"/>
    </row>
    <row r="483" ht="12.0" customHeight="1">
      <c r="E483" s="4"/>
      <c r="F483" s="4"/>
      <c r="G483" s="4"/>
      <c r="H483" s="5"/>
      <c r="I483" s="146"/>
      <c r="K483" s="174"/>
      <c r="L483" s="5"/>
      <c r="T483" s="179"/>
    </row>
    <row r="484" ht="12.0" customHeight="1">
      <c r="E484" s="4"/>
      <c r="F484" s="4"/>
      <c r="G484" s="4"/>
      <c r="H484" s="5"/>
      <c r="I484" s="146"/>
      <c r="K484" s="174"/>
      <c r="L484" s="5"/>
      <c r="T484" s="179"/>
    </row>
    <row r="485" ht="12.0" customHeight="1">
      <c r="E485" s="4"/>
      <c r="F485" s="4"/>
      <c r="G485" s="4"/>
      <c r="H485" s="5"/>
      <c r="I485" s="146"/>
      <c r="K485" s="174"/>
      <c r="L485" s="5"/>
      <c r="T485" s="179"/>
    </row>
    <row r="486" ht="12.0" customHeight="1">
      <c r="E486" s="4"/>
      <c r="F486" s="4"/>
      <c r="G486" s="4"/>
      <c r="H486" s="5"/>
      <c r="I486" s="146"/>
      <c r="K486" s="174"/>
      <c r="L486" s="5"/>
      <c r="T486" s="179"/>
    </row>
    <row r="487" ht="12.0" customHeight="1">
      <c r="E487" s="4"/>
      <c r="F487" s="4"/>
      <c r="G487" s="4"/>
      <c r="H487" s="5"/>
      <c r="I487" s="146"/>
      <c r="K487" s="174"/>
      <c r="L487" s="5"/>
      <c r="T487" s="179"/>
    </row>
    <row r="488" ht="12.0" customHeight="1">
      <c r="E488" s="4"/>
      <c r="F488" s="4"/>
      <c r="G488" s="4"/>
      <c r="H488" s="5"/>
      <c r="I488" s="146"/>
      <c r="K488" s="174"/>
      <c r="L488" s="5"/>
      <c r="T488" s="179"/>
    </row>
    <row r="489" ht="12.0" customHeight="1">
      <c r="E489" s="4"/>
      <c r="F489" s="4"/>
      <c r="G489" s="4"/>
      <c r="H489" s="5"/>
      <c r="I489" s="146"/>
      <c r="K489" s="174"/>
      <c r="L489" s="5"/>
      <c r="T489" s="179"/>
    </row>
    <row r="490" ht="12.0" customHeight="1">
      <c r="E490" s="4"/>
      <c r="F490" s="4"/>
      <c r="G490" s="4"/>
      <c r="H490" s="5"/>
      <c r="I490" s="146"/>
      <c r="K490" s="174"/>
      <c r="L490" s="5"/>
      <c r="T490" s="179"/>
    </row>
    <row r="491" ht="12.0" customHeight="1">
      <c r="E491" s="4"/>
      <c r="F491" s="4"/>
      <c r="G491" s="4"/>
      <c r="H491" s="5"/>
      <c r="I491" s="146"/>
      <c r="K491" s="174"/>
      <c r="L491" s="5"/>
      <c r="T491" s="179"/>
    </row>
    <row r="492" ht="12.0" customHeight="1">
      <c r="E492" s="4"/>
      <c r="F492" s="4"/>
      <c r="G492" s="4"/>
      <c r="H492" s="5"/>
      <c r="I492" s="146"/>
      <c r="K492" s="174"/>
      <c r="L492" s="5"/>
      <c r="T492" s="179"/>
    </row>
    <row r="493" ht="12.0" customHeight="1">
      <c r="E493" s="4"/>
      <c r="F493" s="4"/>
      <c r="G493" s="4"/>
      <c r="H493" s="5"/>
      <c r="I493" s="146"/>
      <c r="K493" s="174"/>
      <c r="L493" s="5"/>
      <c r="T493" s="179"/>
    </row>
    <row r="494" ht="12.0" customHeight="1">
      <c r="E494" s="4"/>
      <c r="F494" s="4"/>
      <c r="G494" s="4"/>
      <c r="H494" s="5"/>
      <c r="I494" s="146"/>
      <c r="K494" s="174"/>
      <c r="L494" s="5"/>
      <c r="T494" s="179"/>
    </row>
    <row r="495" ht="12.0" customHeight="1">
      <c r="E495" s="4"/>
      <c r="F495" s="4"/>
      <c r="G495" s="4"/>
      <c r="H495" s="5"/>
      <c r="I495" s="146"/>
      <c r="K495" s="174"/>
      <c r="L495" s="5"/>
      <c r="T495" s="179"/>
    </row>
    <row r="496" ht="12.0" customHeight="1">
      <c r="E496" s="4"/>
      <c r="F496" s="4"/>
      <c r="G496" s="4"/>
      <c r="H496" s="5"/>
      <c r="I496" s="146"/>
      <c r="K496" s="174"/>
      <c r="L496" s="5"/>
      <c r="T496" s="179"/>
    </row>
    <row r="497" ht="12.0" customHeight="1">
      <c r="E497" s="4"/>
      <c r="F497" s="4"/>
      <c r="G497" s="4"/>
      <c r="H497" s="5"/>
      <c r="I497" s="146"/>
      <c r="K497" s="174"/>
      <c r="L497" s="5"/>
      <c r="T497" s="179"/>
    </row>
    <row r="498" ht="12.0" customHeight="1">
      <c r="E498" s="4"/>
      <c r="F498" s="4"/>
      <c r="G498" s="4"/>
      <c r="H498" s="5"/>
      <c r="I498" s="146"/>
      <c r="K498" s="174"/>
      <c r="L498" s="5"/>
      <c r="T498" s="179"/>
    </row>
    <row r="499" ht="12.0" customHeight="1">
      <c r="E499" s="4"/>
      <c r="F499" s="4"/>
      <c r="G499" s="4"/>
      <c r="H499" s="5"/>
      <c r="I499" s="146"/>
      <c r="K499" s="174"/>
      <c r="L499" s="5"/>
      <c r="T499" s="179"/>
    </row>
    <row r="500" ht="12.0" customHeight="1">
      <c r="E500" s="4"/>
      <c r="F500" s="4"/>
      <c r="G500" s="4"/>
      <c r="H500" s="5"/>
      <c r="I500" s="146"/>
      <c r="K500" s="174"/>
      <c r="L500" s="5"/>
      <c r="T500" s="179"/>
    </row>
    <row r="501" ht="12.0" customHeight="1">
      <c r="E501" s="4"/>
      <c r="F501" s="4"/>
      <c r="G501" s="4"/>
      <c r="H501" s="5"/>
      <c r="I501" s="146"/>
      <c r="K501" s="174"/>
      <c r="L501" s="5"/>
      <c r="T501" s="179"/>
    </row>
    <row r="502" ht="12.0" customHeight="1">
      <c r="E502" s="4"/>
      <c r="F502" s="4"/>
      <c r="G502" s="4"/>
      <c r="H502" s="5"/>
      <c r="I502" s="146"/>
      <c r="K502" s="174"/>
      <c r="L502" s="5"/>
      <c r="T502" s="179"/>
    </row>
    <row r="503" ht="12.0" customHeight="1">
      <c r="E503" s="4"/>
      <c r="F503" s="4"/>
      <c r="G503" s="4"/>
      <c r="H503" s="5"/>
      <c r="I503" s="146"/>
      <c r="K503" s="174"/>
      <c r="L503" s="5"/>
      <c r="T503" s="179"/>
    </row>
    <row r="504" ht="12.0" customHeight="1">
      <c r="E504" s="4"/>
      <c r="F504" s="4"/>
      <c r="G504" s="4"/>
      <c r="H504" s="5"/>
      <c r="I504" s="146"/>
      <c r="K504" s="174"/>
      <c r="L504" s="5"/>
      <c r="T504" s="179"/>
    </row>
    <row r="505" ht="12.0" customHeight="1">
      <c r="E505" s="4"/>
      <c r="F505" s="4"/>
      <c r="G505" s="4"/>
      <c r="H505" s="5"/>
      <c r="I505" s="146"/>
      <c r="K505" s="174"/>
      <c r="L505" s="5"/>
      <c r="T505" s="179"/>
    </row>
    <row r="506" ht="12.0" customHeight="1">
      <c r="E506" s="4"/>
      <c r="F506" s="4"/>
      <c r="G506" s="4"/>
      <c r="H506" s="5"/>
      <c r="I506" s="146"/>
      <c r="K506" s="174"/>
      <c r="L506" s="5"/>
      <c r="T506" s="179"/>
    </row>
    <row r="507" ht="12.0" customHeight="1">
      <c r="E507" s="4"/>
      <c r="F507" s="4"/>
      <c r="G507" s="4"/>
      <c r="H507" s="5"/>
      <c r="I507" s="146"/>
      <c r="K507" s="174"/>
      <c r="L507" s="5"/>
      <c r="T507" s="179"/>
    </row>
    <row r="508" ht="12.0" customHeight="1">
      <c r="E508" s="4"/>
      <c r="F508" s="4"/>
      <c r="G508" s="4"/>
      <c r="H508" s="5"/>
      <c r="I508" s="146"/>
      <c r="K508" s="174"/>
      <c r="L508" s="5"/>
      <c r="T508" s="179"/>
    </row>
    <row r="509" ht="12.0" customHeight="1">
      <c r="E509" s="4"/>
      <c r="F509" s="4"/>
      <c r="G509" s="4"/>
      <c r="H509" s="5"/>
      <c r="I509" s="146"/>
      <c r="K509" s="174"/>
      <c r="L509" s="5"/>
      <c r="T509" s="179"/>
    </row>
    <row r="510" ht="12.0" customHeight="1">
      <c r="E510" s="4"/>
      <c r="F510" s="4"/>
      <c r="G510" s="4"/>
      <c r="H510" s="5"/>
      <c r="I510" s="146"/>
      <c r="K510" s="174"/>
      <c r="L510" s="5"/>
      <c r="T510" s="179"/>
    </row>
    <row r="511" ht="12.0" customHeight="1">
      <c r="E511" s="4"/>
      <c r="F511" s="4"/>
      <c r="G511" s="4"/>
      <c r="H511" s="5"/>
      <c r="I511" s="146"/>
      <c r="K511" s="174"/>
      <c r="L511" s="5"/>
      <c r="T511" s="179"/>
    </row>
    <row r="512" ht="12.0" customHeight="1">
      <c r="E512" s="4"/>
      <c r="F512" s="4"/>
      <c r="G512" s="4"/>
      <c r="H512" s="5"/>
      <c r="I512" s="146"/>
      <c r="K512" s="174"/>
      <c r="L512" s="5"/>
      <c r="T512" s="179"/>
    </row>
    <row r="513" ht="12.0" customHeight="1">
      <c r="E513" s="4"/>
      <c r="F513" s="4"/>
      <c r="G513" s="4"/>
      <c r="H513" s="5"/>
      <c r="I513" s="146"/>
      <c r="K513" s="174"/>
      <c r="L513" s="5"/>
      <c r="T513" s="179"/>
    </row>
    <row r="514" ht="12.0" customHeight="1">
      <c r="E514" s="4"/>
      <c r="F514" s="4"/>
      <c r="G514" s="4"/>
      <c r="H514" s="5"/>
      <c r="I514" s="146"/>
      <c r="K514" s="174"/>
      <c r="L514" s="5"/>
      <c r="T514" s="179"/>
    </row>
    <row r="515" ht="12.0" customHeight="1">
      <c r="E515" s="4"/>
      <c r="F515" s="4"/>
      <c r="G515" s="4"/>
      <c r="H515" s="5"/>
      <c r="I515" s="146"/>
      <c r="K515" s="174"/>
      <c r="L515" s="5"/>
      <c r="T515" s="179"/>
    </row>
    <row r="516" ht="12.0" customHeight="1">
      <c r="E516" s="4"/>
      <c r="F516" s="4"/>
      <c r="G516" s="4"/>
      <c r="H516" s="5"/>
      <c r="I516" s="146"/>
      <c r="K516" s="174"/>
      <c r="L516" s="5"/>
      <c r="T516" s="179"/>
    </row>
    <row r="517" ht="12.0" customHeight="1">
      <c r="E517" s="4"/>
      <c r="F517" s="4"/>
      <c r="G517" s="4"/>
      <c r="H517" s="5"/>
      <c r="I517" s="146"/>
      <c r="K517" s="174"/>
      <c r="L517" s="5"/>
      <c r="T517" s="179"/>
    </row>
    <row r="518" ht="12.0" customHeight="1">
      <c r="E518" s="4"/>
      <c r="F518" s="4"/>
      <c r="G518" s="4"/>
      <c r="H518" s="5"/>
      <c r="I518" s="146"/>
      <c r="K518" s="174"/>
      <c r="L518" s="5"/>
      <c r="T518" s="179"/>
    </row>
    <row r="519" ht="12.0" customHeight="1">
      <c r="E519" s="4"/>
      <c r="F519" s="4"/>
      <c r="G519" s="4"/>
      <c r="H519" s="5"/>
      <c r="I519" s="146"/>
      <c r="K519" s="174"/>
      <c r="L519" s="5"/>
      <c r="T519" s="179"/>
    </row>
    <row r="520" ht="12.0" customHeight="1">
      <c r="E520" s="4"/>
      <c r="F520" s="4"/>
      <c r="G520" s="4"/>
      <c r="H520" s="5"/>
      <c r="I520" s="146"/>
      <c r="K520" s="174"/>
      <c r="L520" s="5"/>
      <c r="T520" s="179"/>
    </row>
    <row r="521" ht="12.0" customHeight="1">
      <c r="E521" s="4"/>
      <c r="F521" s="4"/>
      <c r="G521" s="4"/>
      <c r="H521" s="5"/>
      <c r="I521" s="146"/>
      <c r="K521" s="174"/>
      <c r="L521" s="5"/>
      <c r="T521" s="179"/>
    </row>
    <row r="522" ht="12.0" customHeight="1">
      <c r="E522" s="4"/>
      <c r="F522" s="4"/>
      <c r="G522" s="4"/>
      <c r="H522" s="5"/>
      <c r="I522" s="146"/>
      <c r="K522" s="174"/>
      <c r="L522" s="5"/>
      <c r="T522" s="179"/>
    </row>
    <row r="523" ht="12.0" customHeight="1">
      <c r="E523" s="4"/>
      <c r="F523" s="4"/>
      <c r="G523" s="4"/>
      <c r="H523" s="5"/>
      <c r="I523" s="146"/>
      <c r="K523" s="174"/>
      <c r="L523" s="5"/>
      <c r="T523" s="179"/>
    </row>
    <row r="524" ht="12.0" customHeight="1">
      <c r="E524" s="4"/>
      <c r="F524" s="4"/>
      <c r="G524" s="4"/>
      <c r="H524" s="5"/>
      <c r="I524" s="146"/>
      <c r="K524" s="174"/>
      <c r="L524" s="5"/>
      <c r="T524" s="179"/>
    </row>
    <row r="525" ht="12.0" customHeight="1">
      <c r="E525" s="4"/>
      <c r="F525" s="4"/>
      <c r="G525" s="4"/>
      <c r="H525" s="5"/>
      <c r="I525" s="146"/>
      <c r="K525" s="174"/>
      <c r="L525" s="5"/>
      <c r="T525" s="179"/>
    </row>
    <row r="526" ht="12.0" customHeight="1">
      <c r="E526" s="4"/>
      <c r="F526" s="4"/>
      <c r="G526" s="4"/>
      <c r="H526" s="5"/>
      <c r="I526" s="146"/>
      <c r="K526" s="174"/>
      <c r="L526" s="5"/>
      <c r="T526" s="179"/>
    </row>
    <row r="527" ht="12.0" customHeight="1">
      <c r="E527" s="4"/>
      <c r="F527" s="4"/>
      <c r="G527" s="4"/>
      <c r="H527" s="5"/>
      <c r="I527" s="146"/>
      <c r="K527" s="174"/>
      <c r="L527" s="5"/>
      <c r="T527" s="179"/>
    </row>
    <row r="528" ht="12.0" customHeight="1">
      <c r="E528" s="4"/>
      <c r="F528" s="4"/>
      <c r="G528" s="4"/>
      <c r="H528" s="5"/>
      <c r="I528" s="146"/>
      <c r="K528" s="174"/>
      <c r="L528" s="5"/>
      <c r="T528" s="179"/>
    </row>
    <row r="529" ht="12.0" customHeight="1">
      <c r="E529" s="4"/>
      <c r="F529" s="4"/>
      <c r="G529" s="4"/>
      <c r="H529" s="5"/>
      <c r="I529" s="146"/>
      <c r="K529" s="174"/>
      <c r="L529" s="5"/>
      <c r="T529" s="179"/>
    </row>
    <row r="530" ht="12.0" customHeight="1">
      <c r="E530" s="4"/>
      <c r="F530" s="4"/>
      <c r="G530" s="4"/>
      <c r="H530" s="5"/>
      <c r="I530" s="146"/>
      <c r="K530" s="174"/>
      <c r="L530" s="5"/>
      <c r="T530" s="179"/>
    </row>
    <row r="531" ht="12.0" customHeight="1">
      <c r="E531" s="4"/>
      <c r="F531" s="4"/>
      <c r="G531" s="4"/>
      <c r="H531" s="5"/>
      <c r="I531" s="146"/>
      <c r="K531" s="174"/>
      <c r="L531" s="5"/>
      <c r="T531" s="179"/>
    </row>
    <row r="532" ht="12.0" customHeight="1">
      <c r="E532" s="4"/>
      <c r="F532" s="4"/>
      <c r="G532" s="4"/>
      <c r="H532" s="5"/>
      <c r="I532" s="146"/>
      <c r="K532" s="174"/>
      <c r="L532" s="5"/>
      <c r="T532" s="179"/>
    </row>
    <row r="533" ht="12.0" customHeight="1">
      <c r="E533" s="4"/>
      <c r="F533" s="4"/>
      <c r="G533" s="4"/>
      <c r="H533" s="5"/>
      <c r="I533" s="146"/>
      <c r="K533" s="174"/>
      <c r="L533" s="5"/>
      <c r="T533" s="179"/>
    </row>
    <row r="534" ht="12.0" customHeight="1">
      <c r="E534" s="4"/>
      <c r="F534" s="4"/>
      <c r="G534" s="4"/>
      <c r="H534" s="5"/>
      <c r="I534" s="146"/>
      <c r="K534" s="174"/>
      <c r="L534" s="5"/>
      <c r="T534" s="179"/>
    </row>
    <row r="535" ht="12.0" customHeight="1">
      <c r="E535" s="4"/>
      <c r="F535" s="4"/>
      <c r="G535" s="4"/>
      <c r="H535" s="5"/>
      <c r="I535" s="146"/>
      <c r="K535" s="174"/>
      <c r="L535" s="5"/>
      <c r="T535" s="179"/>
    </row>
    <row r="536" ht="12.0" customHeight="1">
      <c r="E536" s="4"/>
      <c r="F536" s="4"/>
      <c r="G536" s="4"/>
      <c r="H536" s="5"/>
      <c r="I536" s="146"/>
      <c r="K536" s="174"/>
      <c r="L536" s="5"/>
      <c r="T536" s="179"/>
    </row>
    <row r="537" ht="12.0" customHeight="1">
      <c r="E537" s="4"/>
      <c r="F537" s="4"/>
      <c r="G537" s="4"/>
      <c r="H537" s="5"/>
      <c r="I537" s="146"/>
      <c r="K537" s="174"/>
      <c r="L537" s="5"/>
      <c r="T537" s="179"/>
    </row>
    <row r="538" ht="12.0" customHeight="1">
      <c r="E538" s="4"/>
      <c r="F538" s="4"/>
      <c r="G538" s="4"/>
      <c r="H538" s="5"/>
      <c r="I538" s="146"/>
      <c r="K538" s="174"/>
      <c r="L538" s="5"/>
      <c r="T538" s="179"/>
    </row>
    <row r="539" ht="12.0" customHeight="1">
      <c r="E539" s="4"/>
      <c r="F539" s="4"/>
      <c r="G539" s="4"/>
      <c r="H539" s="5"/>
      <c r="I539" s="146"/>
      <c r="K539" s="174"/>
      <c r="L539" s="5"/>
      <c r="T539" s="179"/>
    </row>
    <row r="540" ht="12.0" customHeight="1">
      <c r="E540" s="4"/>
      <c r="F540" s="4"/>
      <c r="G540" s="4"/>
      <c r="H540" s="5"/>
      <c r="I540" s="146"/>
      <c r="K540" s="174"/>
      <c r="L540" s="5"/>
      <c r="T540" s="179"/>
    </row>
    <row r="541" ht="12.0" customHeight="1">
      <c r="E541" s="4"/>
      <c r="F541" s="4"/>
      <c r="G541" s="4"/>
      <c r="H541" s="5"/>
      <c r="I541" s="146"/>
      <c r="K541" s="174"/>
      <c r="L541" s="5"/>
      <c r="T541" s="179"/>
    </row>
    <row r="542" ht="12.0" customHeight="1">
      <c r="E542" s="4"/>
      <c r="F542" s="4"/>
      <c r="G542" s="4"/>
      <c r="H542" s="5"/>
      <c r="I542" s="146"/>
      <c r="K542" s="174"/>
      <c r="L542" s="5"/>
      <c r="T542" s="179"/>
    </row>
    <row r="543" ht="12.0" customHeight="1">
      <c r="E543" s="4"/>
      <c r="F543" s="4"/>
      <c r="G543" s="4"/>
      <c r="H543" s="5"/>
      <c r="I543" s="146"/>
      <c r="K543" s="174"/>
      <c r="L543" s="5"/>
      <c r="T543" s="179"/>
    </row>
    <row r="544" ht="12.0" customHeight="1">
      <c r="E544" s="4"/>
      <c r="F544" s="4"/>
      <c r="G544" s="4"/>
      <c r="H544" s="5"/>
      <c r="I544" s="146"/>
      <c r="K544" s="174"/>
      <c r="L544" s="5"/>
      <c r="T544" s="179"/>
    </row>
    <row r="545" ht="12.0" customHeight="1">
      <c r="E545" s="4"/>
      <c r="F545" s="4"/>
      <c r="G545" s="4"/>
      <c r="H545" s="5"/>
      <c r="I545" s="146"/>
      <c r="K545" s="174"/>
      <c r="L545" s="5"/>
      <c r="T545" s="179"/>
    </row>
    <row r="546" ht="12.0" customHeight="1">
      <c r="E546" s="4"/>
      <c r="F546" s="4"/>
      <c r="G546" s="4"/>
      <c r="H546" s="5"/>
      <c r="I546" s="146"/>
      <c r="K546" s="174"/>
      <c r="L546" s="5"/>
      <c r="T546" s="179"/>
    </row>
    <row r="547" ht="12.0" customHeight="1">
      <c r="E547" s="4"/>
      <c r="F547" s="4"/>
      <c r="G547" s="4"/>
      <c r="H547" s="5"/>
      <c r="I547" s="146"/>
      <c r="K547" s="174"/>
      <c r="L547" s="5"/>
      <c r="T547" s="179"/>
    </row>
    <row r="548" ht="12.0" customHeight="1">
      <c r="E548" s="4"/>
      <c r="F548" s="4"/>
      <c r="G548" s="4"/>
      <c r="H548" s="5"/>
      <c r="I548" s="146"/>
      <c r="K548" s="174"/>
      <c r="L548" s="5"/>
      <c r="T548" s="179"/>
    </row>
    <row r="549" ht="12.0" customHeight="1">
      <c r="E549" s="4"/>
      <c r="F549" s="4"/>
      <c r="G549" s="4"/>
      <c r="H549" s="5"/>
      <c r="I549" s="146"/>
      <c r="K549" s="174"/>
      <c r="L549" s="5"/>
      <c r="T549" s="179"/>
    </row>
    <row r="550" ht="12.0" customHeight="1">
      <c r="E550" s="4"/>
      <c r="F550" s="4"/>
      <c r="G550" s="4"/>
      <c r="H550" s="5"/>
      <c r="I550" s="146"/>
      <c r="K550" s="174"/>
      <c r="L550" s="5"/>
      <c r="T550" s="179"/>
    </row>
    <row r="551" ht="12.0" customHeight="1">
      <c r="E551" s="4"/>
      <c r="F551" s="4"/>
      <c r="G551" s="4"/>
      <c r="H551" s="5"/>
      <c r="I551" s="146"/>
      <c r="K551" s="174"/>
      <c r="L551" s="5"/>
      <c r="T551" s="179"/>
    </row>
    <row r="552" ht="12.0" customHeight="1">
      <c r="E552" s="4"/>
      <c r="F552" s="4"/>
      <c r="G552" s="4"/>
      <c r="H552" s="5"/>
      <c r="I552" s="146"/>
      <c r="K552" s="174"/>
      <c r="L552" s="5"/>
      <c r="T552" s="179"/>
    </row>
    <row r="553" ht="12.0" customHeight="1">
      <c r="E553" s="4"/>
      <c r="F553" s="4"/>
      <c r="G553" s="4"/>
      <c r="H553" s="5"/>
      <c r="I553" s="146"/>
      <c r="K553" s="174"/>
      <c r="L553" s="5"/>
      <c r="T553" s="179"/>
    </row>
    <row r="554" ht="12.0" customHeight="1">
      <c r="E554" s="4"/>
      <c r="F554" s="4"/>
      <c r="G554" s="4"/>
      <c r="H554" s="5"/>
      <c r="I554" s="146"/>
      <c r="K554" s="174"/>
      <c r="L554" s="5"/>
      <c r="T554" s="179"/>
    </row>
    <row r="555" ht="12.0" customHeight="1">
      <c r="E555" s="4"/>
      <c r="F555" s="4"/>
      <c r="G555" s="4"/>
      <c r="H555" s="5"/>
      <c r="I555" s="146"/>
      <c r="K555" s="174"/>
      <c r="L555" s="5"/>
      <c r="T555" s="179"/>
    </row>
    <row r="556" ht="12.0" customHeight="1">
      <c r="E556" s="4"/>
      <c r="F556" s="4"/>
      <c r="G556" s="4"/>
      <c r="H556" s="5"/>
      <c r="I556" s="146"/>
      <c r="K556" s="174"/>
      <c r="L556" s="5"/>
      <c r="T556" s="179"/>
    </row>
    <row r="557" ht="12.0" customHeight="1">
      <c r="E557" s="4"/>
      <c r="F557" s="4"/>
      <c r="G557" s="4"/>
      <c r="H557" s="5"/>
      <c r="I557" s="146"/>
      <c r="K557" s="174"/>
      <c r="L557" s="5"/>
      <c r="T557" s="179"/>
    </row>
    <row r="558" ht="12.0" customHeight="1">
      <c r="E558" s="4"/>
      <c r="F558" s="4"/>
      <c r="G558" s="4"/>
      <c r="H558" s="5"/>
      <c r="I558" s="146"/>
      <c r="K558" s="174"/>
      <c r="L558" s="5"/>
      <c r="T558" s="179"/>
    </row>
    <row r="559" ht="12.0" customHeight="1">
      <c r="E559" s="4"/>
      <c r="F559" s="4"/>
      <c r="G559" s="4"/>
      <c r="H559" s="5"/>
      <c r="I559" s="146"/>
      <c r="K559" s="174"/>
      <c r="L559" s="5"/>
      <c r="T559" s="179"/>
    </row>
    <row r="560" ht="12.0" customHeight="1">
      <c r="E560" s="4"/>
      <c r="F560" s="4"/>
      <c r="G560" s="4"/>
      <c r="H560" s="5"/>
      <c r="I560" s="146"/>
      <c r="K560" s="174"/>
      <c r="L560" s="5"/>
      <c r="T560" s="179"/>
    </row>
    <row r="561" ht="12.0" customHeight="1">
      <c r="E561" s="4"/>
      <c r="F561" s="4"/>
      <c r="G561" s="4"/>
      <c r="H561" s="5"/>
      <c r="I561" s="146"/>
      <c r="K561" s="174"/>
      <c r="L561" s="5"/>
      <c r="T561" s="179"/>
    </row>
    <row r="562" ht="12.0" customHeight="1">
      <c r="E562" s="4"/>
      <c r="F562" s="4"/>
      <c r="G562" s="4"/>
      <c r="H562" s="5"/>
      <c r="I562" s="146"/>
      <c r="K562" s="174"/>
      <c r="L562" s="5"/>
      <c r="T562" s="179"/>
    </row>
    <row r="563" ht="12.0" customHeight="1">
      <c r="E563" s="4"/>
      <c r="F563" s="4"/>
      <c r="G563" s="4"/>
      <c r="H563" s="5"/>
      <c r="I563" s="146"/>
      <c r="K563" s="174"/>
      <c r="L563" s="5"/>
      <c r="T563" s="179"/>
    </row>
    <row r="564" ht="12.0" customHeight="1">
      <c r="E564" s="4"/>
      <c r="F564" s="4"/>
      <c r="G564" s="4"/>
      <c r="H564" s="5"/>
      <c r="I564" s="146"/>
      <c r="K564" s="174"/>
      <c r="L564" s="5"/>
      <c r="T564" s="179"/>
    </row>
    <row r="565" ht="12.0" customHeight="1">
      <c r="E565" s="4"/>
      <c r="F565" s="4"/>
      <c r="G565" s="4"/>
      <c r="H565" s="5"/>
      <c r="I565" s="146"/>
      <c r="K565" s="174"/>
      <c r="L565" s="5"/>
      <c r="T565" s="179"/>
    </row>
    <row r="566" ht="12.0" customHeight="1">
      <c r="E566" s="4"/>
      <c r="F566" s="4"/>
      <c r="G566" s="4"/>
      <c r="H566" s="5"/>
      <c r="I566" s="146"/>
      <c r="K566" s="174"/>
      <c r="L566" s="5"/>
      <c r="T566" s="179"/>
    </row>
    <row r="567" ht="12.0" customHeight="1">
      <c r="E567" s="4"/>
      <c r="F567" s="4"/>
      <c r="G567" s="4"/>
      <c r="H567" s="5"/>
      <c r="I567" s="146"/>
      <c r="K567" s="174"/>
      <c r="L567" s="5"/>
      <c r="T567" s="179"/>
    </row>
    <row r="568" ht="12.0" customHeight="1">
      <c r="E568" s="4"/>
      <c r="F568" s="4"/>
      <c r="G568" s="4"/>
      <c r="H568" s="5"/>
      <c r="I568" s="146"/>
      <c r="K568" s="174"/>
      <c r="L568" s="5"/>
      <c r="T568" s="179"/>
    </row>
    <row r="569" ht="12.0" customHeight="1">
      <c r="E569" s="4"/>
      <c r="F569" s="4"/>
      <c r="G569" s="4"/>
      <c r="H569" s="5"/>
      <c r="I569" s="146"/>
      <c r="K569" s="174"/>
      <c r="L569" s="5"/>
      <c r="T569" s="179"/>
    </row>
    <row r="570" ht="12.0" customHeight="1">
      <c r="E570" s="4"/>
      <c r="F570" s="4"/>
      <c r="G570" s="4"/>
      <c r="H570" s="5"/>
      <c r="I570" s="146"/>
      <c r="K570" s="174"/>
      <c r="L570" s="5"/>
      <c r="T570" s="179"/>
    </row>
    <row r="571" ht="12.0" customHeight="1">
      <c r="E571" s="4"/>
      <c r="F571" s="4"/>
      <c r="G571" s="4"/>
      <c r="H571" s="5"/>
      <c r="I571" s="146"/>
      <c r="K571" s="174"/>
      <c r="L571" s="5"/>
      <c r="T571" s="179"/>
    </row>
    <row r="572" ht="12.0" customHeight="1">
      <c r="E572" s="4"/>
      <c r="F572" s="4"/>
      <c r="G572" s="4"/>
      <c r="H572" s="5"/>
      <c r="I572" s="146"/>
      <c r="K572" s="174"/>
      <c r="L572" s="5"/>
      <c r="T572" s="179"/>
    </row>
    <row r="573" ht="12.0" customHeight="1">
      <c r="E573" s="4"/>
      <c r="F573" s="4"/>
      <c r="G573" s="4"/>
      <c r="H573" s="5"/>
      <c r="I573" s="146"/>
      <c r="K573" s="174"/>
      <c r="L573" s="5"/>
      <c r="T573" s="179"/>
    </row>
    <row r="574" ht="12.0" customHeight="1">
      <c r="E574" s="4"/>
      <c r="F574" s="4"/>
      <c r="G574" s="4"/>
      <c r="H574" s="5"/>
      <c r="I574" s="146"/>
      <c r="K574" s="174"/>
      <c r="L574" s="5"/>
      <c r="T574" s="179"/>
    </row>
    <row r="575" ht="12.0" customHeight="1">
      <c r="E575" s="4"/>
      <c r="F575" s="4"/>
      <c r="G575" s="4"/>
      <c r="H575" s="5"/>
      <c r="I575" s="146"/>
      <c r="K575" s="174"/>
      <c r="L575" s="5"/>
      <c r="T575" s="179"/>
    </row>
    <row r="576" ht="12.0" customHeight="1">
      <c r="E576" s="4"/>
      <c r="F576" s="4"/>
      <c r="G576" s="4"/>
      <c r="H576" s="5"/>
      <c r="I576" s="146"/>
      <c r="K576" s="174"/>
      <c r="L576" s="5"/>
      <c r="T576" s="179"/>
    </row>
    <row r="577" ht="12.0" customHeight="1">
      <c r="E577" s="4"/>
      <c r="F577" s="4"/>
      <c r="G577" s="4"/>
      <c r="H577" s="5"/>
      <c r="I577" s="146"/>
      <c r="K577" s="174"/>
      <c r="L577" s="5"/>
      <c r="T577" s="179"/>
    </row>
    <row r="578" ht="12.0" customHeight="1">
      <c r="E578" s="4"/>
      <c r="F578" s="4"/>
      <c r="G578" s="4"/>
      <c r="H578" s="5"/>
      <c r="I578" s="146"/>
      <c r="K578" s="174"/>
      <c r="L578" s="5"/>
      <c r="T578" s="179"/>
    </row>
    <row r="579" ht="12.0" customHeight="1">
      <c r="E579" s="4"/>
      <c r="F579" s="4"/>
      <c r="G579" s="4"/>
      <c r="H579" s="5"/>
      <c r="I579" s="146"/>
      <c r="K579" s="174"/>
      <c r="L579" s="5"/>
      <c r="T579" s="179"/>
    </row>
    <row r="580" ht="12.0" customHeight="1">
      <c r="E580" s="4"/>
      <c r="F580" s="4"/>
      <c r="G580" s="4"/>
      <c r="H580" s="5"/>
      <c r="I580" s="146"/>
      <c r="K580" s="174"/>
      <c r="L580" s="5"/>
      <c r="T580" s="179"/>
    </row>
    <row r="581" ht="12.0" customHeight="1">
      <c r="E581" s="4"/>
      <c r="F581" s="4"/>
      <c r="G581" s="4"/>
      <c r="H581" s="5"/>
      <c r="I581" s="146"/>
      <c r="K581" s="174"/>
      <c r="L581" s="5"/>
      <c r="T581" s="179"/>
    </row>
    <row r="582" ht="12.0" customHeight="1">
      <c r="E582" s="4"/>
      <c r="F582" s="4"/>
      <c r="G582" s="4"/>
      <c r="H582" s="5"/>
      <c r="I582" s="146"/>
      <c r="K582" s="174"/>
      <c r="L582" s="5"/>
      <c r="T582" s="179"/>
    </row>
    <row r="583" ht="12.0" customHeight="1">
      <c r="E583" s="4"/>
      <c r="F583" s="4"/>
      <c r="G583" s="4"/>
      <c r="H583" s="5"/>
      <c r="I583" s="146"/>
      <c r="K583" s="174"/>
      <c r="L583" s="5"/>
      <c r="T583" s="179"/>
    </row>
    <row r="584" ht="12.0" customHeight="1">
      <c r="E584" s="4"/>
      <c r="F584" s="4"/>
      <c r="G584" s="4"/>
      <c r="H584" s="5"/>
      <c r="I584" s="146"/>
      <c r="K584" s="174"/>
      <c r="L584" s="5"/>
      <c r="T584" s="179"/>
    </row>
    <row r="585" ht="12.0" customHeight="1">
      <c r="E585" s="4"/>
      <c r="F585" s="4"/>
      <c r="G585" s="4"/>
      <c r="H585" s="5"/>
      <c r="I585" s="146"/>
      <c r="K585" s="174"/>
      <c r="L585" s="5"/>
      <c r="T585" s="179"/>
    </row>
    <row r="586" ht="12.0" customHeight="1">
      <c r="E586" s="4"/>
      <c r="F586" s="4"/>
      <c r="G586" s="4"/>
      <c r="H586" s="5"/>
      <c r="I586" s="146"/>
      <c r="K586" s="174"/>
      <c r="L586" s="5"/>
      <c r="T586" s="179"/>
    </row>
    <row r="587" ht="12.0" customHeight="1">
      <c r="E587" s="4"/>
      <c r="F587" s="4"/>
      <c r="G587" s="4"/>
      <c r="H587" s="5"/>
      <c r="I587" s="146"/>
      <c r="K587" s="174"/>
      <c r="L587" s="5"/>
      <c r="T587" s="179"/>
    </row>
    <row r="588" ht="12.0" customHeight="1">
      <c r="E588" s="4"/>
      <c r="F588" s="4"/>
      <c r="G588" s="4"/>
      <c r="H588" s="5"/>
      <c r="I588" s="146"/>
      <c r="K588" s="174"/>
      <c r="L588" s="5"/>
      <c r="T588" s="179"/>
    </row>
    <row r="589" ht="12.0" customHeight="1">
      <c r="E589" s="4"/>
      <c r="F589" s="4"/>
      <c r="G589" s="4"/>
      <c r="H589" s="5"/>
      <c r="I589" s="146"/>
      <c r="K589" s="174"/>
      <c r="L589" s="5"/>
      <c r="T589" s="179"/>
    </row>
    <row r="590" ht="12.0" customHeight="1">
      <c r="E590" s="4"/>
      <c r="F590" s="4"/>
      <c r="G590" s="4"/>
      <c r="H590" s="5"/>
      <c r="I590" s="146"/>
      <c r="K590" s="174"/>
      <c r="L590" s="5"/>
      <c r="T590" s="179"/>
    </row>
    <row r="591" ht="12.0" customHeight="1">
      <c r="E591" s="4"/>
      <c r="F591" s="4"/>
      <c r="G591" s="4"/>
      <c r="H591" s="5"/>
      <c r="I591" s="146"/>
      <c r="K591" s="174"/>
      <c r="L591" s="5"/>
      <c r="T591" s="179"/>
    </row>
    <row r="592" ht="12.0" customHeight="1">
      <c r="E592" s="4"/>
      <c r="F592" s="4"/>
      <c r="G592" s="4"/>
      <c r="H592" s="5"/>
      <c r="I592" s="146"/>
      <c r="K592" s="174"/>
      <c r="L592" s="5"/>
      <c r="T592" s="179"/>
    </row>
    <row r="593" ht="12.0" customHeight="1">
      <c r="E593" s="4"/>
      <c r="F593" s="4"/>
      <c r="G593" s="4"/>
      <c r="H593" s="5"/>
      <c r="I593" s="146"/>
      <c r="K593" s="174"/>
      <c r="L593" s="5"/>
      <c r="T593" s="179"/>
    </row>
    <row r="594" ht="12.0" customHeight="1">
      <c r="E594" s="4"/>
      <c r="F594" s="4"/>
      <c r="G594" s="4"/>
      <c r="H594" s="5"/>
      <c r="I594" s="146"/>
      <c r="K594" s="174"/>
      <c r="L594" s="5"/>
      <c r="T594" s="179"/>
    </row>
    <row r="595" ht="12.0" customHeight="1">
      <c r="E595" s="4"/>
      <c r="F595" s="4"/>
      <c r="G595" s="4"/>
      <c r="H595" s="5"/>
      <c r="I595" s="146"/>
      <c r="K595" s="174"/>
      <c r="L595" s="5"/>
      <c r="T595" s="179"/>
    </row>
    <row r="596" ht="12.0" customHeight="1">
      <c r="E596" s="4"/>
      <c r="F596" s="4"/>
      <c r="G596" s="4"/>
      <c r="H596" s="5"/>
      <c r="I596" s="146"/>
      <c r="K596" s="174"/>
      <c r="L596" s="5"/>
      <c r="T596" s="179"/>
    </row>
    <row r="597" ht="12.0" customHeight="1">
      <c r="E597" s="4"/>
      <c r="F597" s="4"/>
      <c r="G597" s="4"/>
      <c r="H597" s="5"/>
      <c r="I597" s="146"/>
      <c r="K597" s="174"/>
      <c r="L597" s="5"/>
      <c r="T597" s="179"/>
    </row>
    <row r="598" ht="12.0" customHeight="1">
      <c r="E598" s="4"/>
      <c r="F598" s="4"/>
      <c r="G598" s="4"/>
      <c r="H598" s="5"/>
      <c r="I598" s="146"/>
      <c r="K598" s="174"/>
      <c r="L598" s="5"/>
      <c r="T598" s="179"/>
    </row>
    <row r="599" ht="12.0" customHeight="1">
      <c r="E599" s="4"/>
      <c r="F599" s="4"/>
      <c r="G599" s="4"/>
      <c r="H599" s="5"/>
      <c r="I599" s="146"/>
      <c r="K599" s="174"/>
      <c r="L599" s="5"/>
      <c r="T599" s="179"/>
    </row>
    <row r="600" ht="12.0" customHeight="1">
      <c r="E600" s="4"/>
      <c r="F600" s="4"/>
      <c r="G600" s="4"/>
      <c r="H600" s="5"/>
      <c r="I600" s="146"/>
      <c r="K600" s="174"/>
      <c r="L600" s="5"/>
      <c r="T600" s="179"/>
    </row>
    <row r="601" ht="12.0" customHeight="1">
      <c r="E601" s="4"/>
      <c r="F601" s="4"/>
      <c r="G601" s="4"/>
      <c r="H601" s="5"/>
      <c r="I601" s="146"/>
      <c r="K601" s="174"/>
      <c r="L601" s="5"/>
      <c r="T601" s="179"/>
    </row>
    <row r="602" ht="12.0" customHeight="1">
      <c r="E602" s="4"/>
      <c r="F602" s="4"/>
      <c r="G602" s="4"/>
      <c r="H602" s="5"/>
      <c r="I602" s="146"/>
      <c r="K602" s="174"/>
      <c r="L602" s="5"/>
      <c r="T602" s="179"/>
    </row>
    <row r="603" ht="12.0" customHeight="1">
      <c r="E603" s="4"/>
      <c r="F603" s="4"/>
      <c r="G603" s="4"/>
      <c r="H603" s="5"/>
      <c r="I603" s="146"/>
      <c r="K603" s="174"/>
      <c r="L603" s="5"/>
      <c r="T603" s="179"/>
    </row>
    <row r="604" ht="12.0" customHeight="1">
      <c r="E604" s="4"/>
      <c r="F604" s="4"/>
      <c r="G604" s="4"/>
      <c r="H604" s="5"/>
      <c r="I604" s="146"/>
      <c r="K604" s="174"/>
      <c r="L604" s="5"/>
      <c r="T604" s="179"/>
    </row>
    <row r="605" ht="12.0" customHeight="1">
      <c r="E605" s="4"/>
      <c r="F605" s="4"/>
      <c r="G605" s="4"/>
      <c r="H605" s="5"/>
      <c r="I605" s="146"/>
      <c r="K605" s="174"/>
      <c r="L605" s="5"/>
      <c r="T605" s="179"/>
    </row>
    <row r="606" ht="12.0" customHeight="1">
      <c r="E606" s="4"/>
      <c r="F606" s="4"/>
      <c r="G606" s="4"/>
      <c r="H606" s="5"/>
      <c r="I606" s="146"/>
      <c r="K606" s="174"/>
      <c r="L606" s="5"/>
      <c r="T606" s="179"/>
    </row>
    <row r="607" ht="12.0" customHeight="1">
      <c r="E607" s="4"/>
      <c r="F607" s="4"/>
      <c r="G607" s="4"/>
      <c r="H607" s="5"/>
      <c r="I607" s="146"/>
      <c r="K607" s="174"/>
      <c r="L607" s="5"/>
      <c r="T607" s="179"/>
    </row>
    <row r="608" ht="12.0" customHeight="1">
      <c r="E608" s="4"/>
      <c r="F608" s="4"/>
      <c r="G608" s="4"/>
      <c r="H608" s="5"/>
      <c r="I608" s="146"/>
      <c r="K608" s="174"/>
      <c r="L608" s="5"/>
      <c r="T608" s="179"/>
    </row>
    <row r="609" ht="12.0" customHeight="1">
      <c r="E609" s="4"/>
      <c r="F609" s="4"/>
      <c r="G609" s="4"/>
      <c r="H609" s="5"/>
      <c r="I609" s="146"/>
      <c r="K609" s="174"/>
      <c r="L609" s="5"/>
      <c r="T609" s="179"/>
    </row>
    <row r="610" ht="12.0" customHeight="1">
      <c r="E610" s="4"/>
      <c r="F610" s="4"/>
      <c r="G610" s="4"/>
      <c r="H610" s="5"/>
      <c r="I610" s="146"/>
      <c r="K610" s="174"/>
      <c r="L610" s="5"/>
      <c r="T610" s="179"/>
    </row>
    <row r="611" ht="12.0" customHeight="1">
      <c r="E611" s="4"/>
      <c r="F611" s="4"/>
      <c r="G611" s="4"/>
      <c r="H611" s="5"/>
      <c r="I611" s="146"/>
      <c r="K611" s="174"/>
      <c r="L611" s="5"/>
      <c r="T611" s="179"/>
    </row>
    <row r="612" ht="12.0" customHeight="1">
      <c r="E612" s="4"/>
      <c r="F612" s="4"/>
      <c r="G612" s="4"/>
      <c r="H612" s="5"/>
      <c r="I612" s="146"/>
      <c r="K612" s="174"/>
      <c r="L612" s="5"/>
      <c r="T612" s="179"/>
    </row>
    <row r="613" ht="12.0" customHeight="1">
      <c r="E613" s="4"/>
      <c r="F613" s="4"/>
      <c r="G613" s="4"/>
      <c r="H613" s="5"/>
      <c r="I613" s="146"/>
      <c r="K613" s="174"/>
      <c r="L613" s="5"/>
      <c r="T613" s="179"/>
    </row>
    <row r="614" ht="12.0" customHeight="1">
      <c r="E614" s="4"/>
      <c r="F614" s="4"/>
      <c r="G614" s="4"/>
      <c r="H614" s="5"/>
      <c r="I614" s="146"/>
      <c r="K614" s="174"/>
      <c r="L614" s="5"/>
      <c r="T614" s="179"/>
    </row>
    <row r="615" ht="12.0" customHeight="1">
      <c r="E615" s="4"/>
      <c r="F615" s="4"/>
      <c r="G615" s="4"/>
      <c r="H615" s="5"/>
      <c r="I615" s="146"/>
      <c r="K615" s="174"/>
      <c r="L615" s="5"/>
      <c r="T615" s="179"/>
    </row>
    <row r="616" ht="12.0" customHeight="1">
      <c r="E616" s="4"/>
      <c r="F616" s="4"/>
      <c r="G616" s="4"/>
      <c r="H616" s="5"/>
      <c r="I616" s="146"/>
      <c r="K616" s="174"/>
      <c r="L616" s="5"/>
      <c r="T616" s="179"/>
    </row>
    <row r="617" ht="12.0" customHeight="1">
      <c r="E617" s="4"/>
      <c r="F617" s="4"/>
      <c r="G617" s="4"/>
      <c r="H617" s="5"/>
      <c r="I617" s="146"/>
      <c r="K617" s="174"/>
      <c r="L617" s="5"/>
      <c r="T617" s="179"/>
    </row>
    <row r="618" ht="12.0" customHeight="1">
      <c r="E618" s="4"/>
      <c r="F618" s="4"/>
      <c r="G618" s="4"/>
      <c r="H618" s="5"/>
      <c r="I618" s="146"/>
      <c r="K618" s="174"/>
      <c r="L618" s="5"/>
      <c r="T618" s="179"/>
    </row>
    <row r="619" ht="12.0" customHeight="1">
      <c r="E619" s="4"/>
      <c r="F619" s="4"/>
      <c r="G619" s="4"/>
      <c r="H619" s="5"/>
      <c r="I619" s="146"/>
      <c r="K619" s="174"/>
      <c r="L619" s="5"/>
      <c r="T619" s="179"/>
    </row>
    <row r="620" ht="12.0" customHeight="1">
      <c r="E620" s="4"/>
      <c r="F620" s="4"/>
      <c r="G620" s="4"/>
      <c r="H620" s="5"/>
      <c r="I620" s="146"/>
      <c r="K620" s="174"/>
      <c r="L620" s="5"/>
      <c r="T620" s="179"/>
    </row>
    <row r="621" ht="12.0" customHeight="1">
      <c r="E621" s="4"/>
      <c r="F621" s="4"/>
      <c r="G621" s="4"/>
      <c r="H621" s="5"/>
      <c r="I621" s="146"/>
      <c r="K621" s="174"/>
      <c r="L621" s="5"/>
      <c r="T621" s="179"/>
    </row>
    <row r="622" ht="12.0" customHeight="1">
      <c r="E622" s="4"/>
      <c r="F622" s="4"/>
      <c r="G622" s="4"/>
      <c r="H622" s="5"/>
      <c r="I622" s="146"/>
      <c r="K622" s="174"/>
      <c r="L622" s="5"/>
      <c r="T622" s="179"/>
    </row>
    <row r="623" ht="12.0" customHeight="1">
      <c r="E623" s="4"/>
      <c r="F623" s="4"/>
      <c r="G623" s="4"/>
      <c r="H623" s="5"/>
      <c r="I623" s="146"/>
      <c r="K623" s="174"/>
      <c r="L623" s="5"/>
      <c r="T623" s="179"/>
    </row>
    <row r="624" ht="12.0" customHeight="1">
      <c r="E624" s="4"/>
      <c r="F624" s="4"/>
      <c r="G624" s="4"/>
      <c r="H624" s="5"/>
      <c r="I624" s="146"/>
      <c r="K624" s="174"/>
      <c r="L624" s="5"/>
      <c r="T624" s="179"/>
    </row>
    <row r="625" ht="12.0" customHeight="1">
      <c r="E625" s="4"/>
      <c r="F625" s="4"/>
      <c r="G625" s="4"/>
      <c r="H625" s="5"/>
      <c r="I625" s="146"/>
      <c r="K625" s="174"/>
      <c r="L625" s="5"/>
      <c r="T625" s="179"/>
    </row>
    <row r="626" ht="12.0" customHeight="1">
      <c r="E626" s="4"/>
      <c r="F626" s="4"/>
      <c r="G626" s="4"/>
      <c r="H626" s="5"/>
      <c r="I626" s="146"/>
      <c r="K626" s="174"/>
      <c r="L626" s="5"/>
      <c r="T626" s="179"/>
    </row>
    <row r="627" ht="12.0" customHeight="1">
      <c r="E627" s="4"/>
      <c r="F627" s="4"/>
      <c r="G627" s="4"/>
      <c r="H627" s="5"/>
      <c r="I627" s="146"/>
      <c r="K627" s="174"/>
      <c r="L627" s="5"/>
      <c r="T627" s="179"/>
    </row>
    <row r="628" ht="12.0" customHeight="1">
      <c r="E628" s="4"/>
      <c r="F628" s="4"/>
      <c r="G628" s="4"/>
      <c r="H628" s="5"/>
      <c r="I628" s="146"/>
      <c r="K628" s="174"/>
      <c r="L628" s="5"/>
      <c r="T628" s="179"/>
    </row>
    <row r="629" ht="12.0" customHeight="1">
      <c r="E629" s="4"/>
      <c r="F629" s="4"/>
      <c r="G629" s="4"/>
      <c r="H629" s="5"/>
      <c r="I629" s="146"/>
      <c r="K629" s="174"/>
      <c r="L629" s="5"/>
      <c r="T629" s="179"/>
    </row>
    <row r="630" ht="12.0" customHeight="1">
      <c r="E630" s="4"/>
      <c r="F630" s="4"/>
      <c r="G630" s="4"/>
      <c r="H630" s="5"/>
      <c r="I630" s="146"/>
      <c r="K630" s="174"/>
      <c r="L630" s="5"/>
      <c r="T630" s="179"/>
    </row>
    <row r="631" ht="12.0" customHeight="1">
      <c r="E631" s="4"/>
      <c r="F631" s="4"/>
      <c r="G631" s="4"/>
      <c r="H631" s="5"/>
      <c r="I631" s="146"/>
      <c r="K631" s="174"/>
      <c r="L631" s="5"/>
      <c r="T631" s="179"/>
    </row>
    <row r="632" ht="12.0" customHeight="1">
      <c r="E632" s="4"/>
      <c r="F632" s="4"/>
      <c r="G632" s="4"/>
      <c r="H632" s="5"/>
      <c r="I632" s="146"/>
      <c r="K632" s="174"/>
      <c r="L632" s="5"/>
      <c r="T632" s="179"/>
    </row>
    <row r="633" ht="12.0" customHeight="1">
      <c r="E633" s="4"/>
      <c r="F633" s="4"/>
      <c r="G633" s="4"/>
      <c r="H633" s="5"/>
      <c r="I633" s="146"/>
      <c r="K633" s="174"/>
      <c r="L633" s="5"/>
      <c r="T633" s="179"/>
    </row>
    <row r="634" ht="12.0" customHeight="1">
      <c r="E634" s="4"/>
      <c r="F634" s="4"/>
      <c r="G634" s="4"/>
      <c r="H634" s="5"/>
      <c r="I634" s="146"/>
      <c r="K634" s="174"/>
      <c r="L634" s="5"/>
      <c r="T634" s="179"/>
    </row>
    <row r="635" ht="12.0" customHeight="1">
      <c r="E635" s="4"/>
      <c r="F635" s="4"/>
      <c r="G635" s="4"/>
      <c r="H635" s="5"/>
      <c r="I635" s="146"/>
      <c r="K635" s="174"/>
      <c r="L635" s="5"/>
      <c r="T635" s="179"/>
    </row>
    <row r="636" ht="12.0" customHeight="1">
      <c r="E636" s="4"/>
      <c r="F636" s="4"/>
      <c r="G636" s="4"/>
      <c r="H636" s="5"/>
      <c r="I636" s="146"/>
      <c r="K636" s="174"/>
      <c r="L636" s="5"/>
      <c r="T636" s="179"/>
    </row>
    <row r="637" ht="12.0" customHeight="1">
      <c r="E637" s="4"/>
      <c r="F637" s="4"/>
      <c r="G637" s="4"/>
      <c r="H637" s="5"/>
      <c r="I637" s="146"/>
      <c r="K637" s="174"/>
      <c r="L637" s="5"/>
      <c r="T637" s="179"/>
    </row>
    <row r="638" ht="12.0" customHeight="1">
      <c r="E638" s="4"/>
      <c r="F638" s="4"/>
      <c r="G638" s="4"/>
      <c r="H638" s="5"/>
      <c r="I638" s="146"/>
      <c r="K638" s="174"/>
      <c r="L638" s="5"/>
      <c r="T638" s="179"/>
    </row>
    <row r="639" ht="12.0" customHeight="1">
      <c r="E639" s="4"/>
      <c r="F639" s="4"/>
      <c r="G639" s="4"/>
      <c r="H639" s="5"/>
      <c r="I639" s="146"/>
      <c r="K639" s="174"/>
      <c r="L639" s="5"/>
      <c r="T639" s="179"/>
    </row>
    <row r="640" ht="12.0" customHeight="1">
      <c r="E640" s="4"/>
      <c r="F640" s="4"/>
      <c r="G640" s="4"/>
      <c r="H640" s="5"/>
      <c r="I640" s="146"/>
      <c r="K640" s="174"/>
      <c r="L640" s="5"/>
      <c r="T640" s="179"/>
    </row>
    <row r="641" ht="12.0" customHeight="1">
      <c r="E641" s="4"/>
      <c r="F641" s="4"/>
      <c r="G641" s="4"/>
      <c r="H641" s="5"/>
      <c r="I641" s="146"/>
      <c r="K641" s="174"/>
      <c r="L641" s="5"/>
      <c r="T641" s="179"/>
    </row>
    <row r="642" ht="12.0" customHeight="1">
      <c r="E642" s="4"/>
      <c r="F642" s="4"/>
      <c r="G642" s="4"/>
      <c r="H642" s="5"/>
      <c r="I642" s="146"/>
      <c r="K642" s="174"/>
      <c r="L642" s="5"/>
      <c r="T642" s="179"/>
    </row>
    <row r="643" ht="12.0" customHeight="1">
      <c r="E643" s="4"/>
      <c r="F643" s="4"/>
      <c r="G643" s="4"/>
      <c r="H643" s="5"/>
      <c r="I643" s="146"/>
      <c r="K643" s="174"/>
      <c r="L643" s="5"/>
      <c r="T643" s="179"/>
    </row>
    <row r="644" ht="12.0" customHeight="1">
      <c r="E644" s="4"/>
      <c r="F644" s="4"/>
      <c r="G644" s="4"/>
      <c r="H644" s="5"/>
      <c r="I644" s="146"/>
      <c r="K644" s="174"/>
      <c r="L644" s="5"/>
      <c r="T644" s="179"/>
    </row>
    <row r="645" ht="12.0" customHeight="1">
      <c r="E645" s="4"/>
      <c r="F645" s="4"/>
      <c r="G645" s="4"/>
      <c r="H645" s="5"/>
      <c r="I645" s="146"/>
      <c r="K645" s="174"/>
      <c r="L645" s="5"/>
      <c r="T645" s="179"/>
    </row>
    <row r="646" ht="12.0" customHeight="1">
      <c r="E646" s="4"/>
      <c r="F646" s="4"/>
      <c r="G646" s="4"/>
      <c r="H646" s="5"/>
      <c r="I646" s="146"/>
      <c r="K646" s="174"/>
      <c r="L646" s="5"/>
      <c r="T646" s="179"/>
    </row>
    <row r="647" ht="12.0" customHeight="1">
      <c r="E647" s="4"/>
      <c r="F647" s="4"/>
      <c r="G647" s="4"/>
      <c r="H647" s="5"/>
      <c r="I647" s="146"/>
      <c r="K647" s="174"/>
      <c r="L647" s="5"/>
      <c r="T647" s="179"/>
    </row>
    <row r="648" ht="12.0" customHeight="1">
      <c r="E648" s="4"/>
      <c r="F648" s="4"/>
      <c r="G648" s="4"/>
      <c r="H648" s="5"/>
      <c r="I648" s="146"/>
      <c r="K648" s="174"/>
      <c r="L648" s="5"/>
      <c r="T648" s="179"/>
    </row>
    <row r="649" ht="12.0" customHeight="1">
      <c r="E649" s="4"/>
      <c r="F649" s="4"/>
      <c r="G649" s="4"/>
      <c r="H649" s="5"/>
      <c r="I649" s="146"/>
      <c r="K649" s="174"/>
      <c r="L649" s="5"/>
      <c r="T649" s="179"/>
    </row>
    <row r="650" ht="12.0" customHeight="1">
      <c r="E650" s="4"/>
      <c r="F650" s="4"/>
      <c r="G650" s="4"/>
      <c r="H650" s="5"/>
      <c r="I650" s="146"/>
      <c r="K650" s="174"/>
      <c r="L650" s="5"/>
      <c r="T650" s="179"/>
    </row>
    <row r="651" ht="12.0" customHeight="1">
      <c r="E651" s="4"/>
      <c r="F651" s="4"/>
      <c r="G651" s="4"/>
      <c r="H651" s="5"/>
      <c r="I651" s="146"/>
      <c r="K651" s="174"/>
      <c r="L651" s="5"/>
      <c r="T651" s="179"/>
    </row>
    <row r="652" ht="12.0" customHeight="1">
      <c r="E652" s="4"/>
      <c r="F652" s="4"/>
      <c r="G652" s="4"/>
      <c r="H652" s="5"/>
      <c r="I652" s="146"/>
      <c r="K652" s="174"/>
      <c r="L652" s="5"/>
      <c r="T652" s="179"/>
    </row>
    <row r="653" ht="12.0" customHeight="1">
      <c r="E653" s="4"/>
      <c r="F653" s="4"/>
      <c r="G653" s="4"/>
      <c r="H653" s="5"/>
      <c r="I653" s="146"/>
      <c r="K653" s="174"/>
      <c r="L653" s="5"/>
      <c r="T653" s="179"/>
    </row>
    <row r="654" ht="12.0" customHeight="1">
      <c r="E654" s="4"/>
      <c r="F654" s="4"/>
      <c r="G654" s="4"/>
      <c r="H654" s="5"/>
      <c r="I654" s="146"/>
      <c r="K654" s="174"/>
      <c r="L654" s="5"/>
      <c r="T654" s="179"/>
    </row>
    <row r="655" ht="12.0" customHeight="1">
      <c r="E655" s="4"/>
      <c r="F655" s="4"/>
      <c r="G655" s="4"/>
      <c r="H655" s="5"/>
      <c r="I655" s="146"/>
      <c r="K655" s="174"/>
      <c r="L655" s="5"/>
      <c r="T655" s="179"/>
    </row>
    <row r="656" ht="12.0" customHeight="1">
      <c r="E656" s="4"/>
      <c r="F656" s="4"/>
      <c r="G656" s="4"/>
      <c r="H656" s="5"/>
      <c r="I656" s="146"/>
      <c r="K656" s="174"/>
      <c r="L656" s="5"/>
      <c r="T656" s="179"/>
    </row>
    <row r="657" ht="12.0" customHeight="1">
      <c r="E657" s="4"/>
      <c r="F657" s="4"/>
      <c r="G657" s="4"/>
      <c r="H657" s="5"/>
      <c r="I657" s="146"/>
      <c r="K657" s="174"/>
      <c r="L657" s="5"/>
      <c r="T657" s="179"/>
    </row>
    <row r="658" ht="12.0" customHeight="1">
      <c r="E658" s="4"/>
      <c r="F658" s="4"/>
      <c r="G658" s="4"/>
      <c r="H658" s="5"/>
      <c r="I658" s="146"/>
      <c r="K658" s="174"/>
      <c r="L658" s="5"/>
      <c r="T658" s="179"/>
    </row>
    <row r="659" ht="12.0" customHeight="1">
      <c r="E659" s="4"/>
      <c r="F659" s="4"/>
      <c r="G659" s="4"/>
      <c r="H659" s="5"/>
      <c r="I659" s="146"/>
      <c r="K659" s="174"/>
      <c r="L659" s="5"/>
      <c r="T659" s="179"/>
    </row>
    <row r="660" ht="12.0" customHeight="1">
      <c r="E660" s="4"/>
      <c r="F660" s="4"/>
      <c r="G660" s="4"/>
      <c r="H660" s="5"/>
      <c r="I660" s="146"/>
      <c r="K660" s="174"/>
      <c r="L660" s="5"/>
      <c r="T660" s="179"/>
    </row>
    <row r="661" ht="12.0" customHeight="1">
      <c r="E661" s="4"/>
      <c r="F661" s="4"/>
      <c r="G661" s="4"/>
      <c r="H661" s="5"/>
      <c r="I661" s="146"/>
      <c r="K661" s="174"/>
      <c r="L661" s="5"/>
      <c r="T661" s="179"/>
    </row>
    <row r="662" ht="12.0" customHeight="1">
      <c r="E662" s="4"/>
      <c r="F662" s="4"/>
      <c r="G662" s="4"/>
      <c r="H662" s="5"/>
      <c r="I662" s="146"/>
      <c r="K662" s="174"/>
      <c r="L662" s="5"/>
      <c r="T662" s="179"/>
    </row>
    <row r="663" ht="12.0" customHeight="1">
      <c r="E663" s="4"/>
      <c r="F663" s="4"/>
      <c r="G663" s="4"/>
      <c r="H663" s="5"/>
      <c r="I663" s="146"/>
      <c r="K663" s="174"/>
      <c r="L663" s="5"/>
      <c r="T663" s="179"/>
    </row>
    <row r="664" ht="12.0" customHeight="1">
      <c r="E664" s="4"/>
      <c r="F664" s="4"/>
      <c r="G664" s="4"/>
      <c r="H664" s="5"/>
      <c r="I664" s="146"/>
      <c r="K664" s="174"/>
      <c r="L664" s="5"/>
      <c r="T664" s="179"/>
    </row>
    <row r="665" ht="12.0" customHeight="1">
      <c r="E665" s="4"/>
      <c r="F665" s="4"/>
      <c r="G665" s="4"/>
      <c r="H665" s="5"/>
      <c r="I665" s="146"/>
      <c r="K665" s="174"/>
      <c r="L665" s="5"/>
      <c r="T665" s="179"/>
    </row>
    <row r="666" ht="12.0" customHeight="1">
      <c r="E666" s="4"/>
      <c r="F666" s="4"/>
      <c r="G666" s="4"/>
      <c r="H666" s="5"/>
      <c r="I666" s="146"/>
      <c r="K666" s="174"/>
      <c r="L666" s="5"/>
      <c r="T666" s="179"/>
    </row>
    <row r="667" ht="12.0" customHeight="1">
      <c r="E667" s="4"/>
      <c r="F667" s="4"/>
      <c r="G667" s="4"/>
      <c r="H667" s="5"/>
      <c r="I667" s="146"/>
      <c r="K667" s="174"/>
      <c r="L667" s="5"/>
      <c r="T667" s="179"/>
    </row>
    <row r="668" ht="12.0" customHeight="1">
      <c r="E668" s="4"/>
      <c r="F668" s="4"/>
      <c r="G668" s="4"/>
      <c r="H668" s="5"/>
      <c r="I668" s="146"/>
      <c r="K668" s="174"/>
      <c r="L668" s="5"/>
      <c r="T668" s="179"/>
    </row>
    <row r="669" ht="12.0" customHeight="1">
      <c r="E669" s="4"/>
      <c r="F669" s="4"/>
      <c r="G669" s="4"/>
      <c r="H669" s="5"/>
      <c r="I669" s="146"/>
      <c r="K669" s="174"/>
      <c r="L669" s="5"/>
      <c r="T669" s="179"/>
    </row>
    <row r="670" ht="12.0" customHeight="1">
      <c r="E670" s="4"/>
      <c r="F670" s="4"/>
      <c r="G670" s="4"/>
      <c r="H670" s="5"/>
      <c r="I670" s="146"/>
      <c r="K670" s="174"/>
      <c r="L670" s="5"/>
      <c r="T670" s="179"/>
    </row>
    <row r="671" ht="12.0" customHeight="1">
      <c r="E671" s="4"/>
      <c r="F671" s="4"/>
      <c r="G671" s="4"/>
      <c r="H671" s="5"/>
      <c r="I671" s="146"/>
      <c r="K671" s="174"/>
      <c r="L671" s="5"/>
      <c r="T671" s="179"/>
    </row>
    <row r="672" ht="12.0" customHeight="1">
      <c r="E672" s="4"/>
      <c r="F672" s="4"/>
      <c r="G672" s="4"/>
      <c r="H672" s="5"/>
      <c r="I672" s="146"/>
      <c r="K672" s="174"/>
      <c r="L672" s="5"/>
      <c r="T672" s="179"/>
    </row>
    <row r="673" ht="12.0" customHeight="1">
      <c r="E673" s="4"/>
      <c r="F673" s="4"/>
      <c r="G673" s="4"/>
      <c r="H673" s="5"/>
      <c r="I673" s="146"/>
      <c r="K673" s="174"/>
      <c r="L673" s="5"/>
      <c r="T673" s="179"/>
    </row>
    <row r="674" ht="12.0" customHeight="1">
      <c r="E674" s="4"/>
      <c r="F674" s="4"/>
      <c r="G674" s="4"/>
      <c r="H674" s="5"/>
      <c r="I674" s="146"/>
      <c r="K674" s="174"/>
      <c r="L674" s="5"/>
      <c r="T674" s="179"/>
    </row>
    <row r="675" ht="12.0" customHeight="1">
      <c r="E675" s="4"/>
      <c r="F675" s="4"/>
      <c r="G675" s="4"/>
      <c r="H675" s="5"/>
      <c r="I675" s="146"/>
      <c r="K675" s="174"/>
      <c r="L675" s="5"/>
      <c r="T675" s="179"/>
    </row>
    <row r="676" ht="12.0" customHeight="1">
      <c r="E676" s="4"/>
      <c r="F676" s="4"/>
      <c r="G676" s="4"/>
      <c r="H676" s="5"/>
      <c r="I676" s="146"/>
      <c r="K676" s="174"/>
      <c r="L676" s="5"/>
      <c r="T676" s="179"/>
    </row>
    <row r="677" ht="12.0" customHeight="1">
      <c r="E677" s="4"/>
      <c r="F677" s="4"/>
      <c r="G677" s="4"/>
      <c r="H677" s="5"/>
      <c r="I677" s="146"/>
      <c r="K677" s="174"/>
      <c r="L677" s="5"/>
      <c r="T677" s="179"/>
    </row>
    <row r="678" ht="12.0" customHeight="1">
      <c r="E678" s="4"/>
      <c r="F678" s="4"/>
      <c r="G678" s="4"/>
      <c r="H678" s="5"/>
      <c r="I678" s="146"/>
      <c r="K678" s="174"/>
      <c r="L678" s="5"/>
      <c r="T678" s="179"/>
    </row>
    <row r="679" ht="12.0" customHeight="1">
      <c r="E679" s="4"/>
      <c r="F679" s="4"/>
      <c r="G679" s="4"/>
      <c r="H679" s="5"/>
      <c r="I679" s="146"/>
      <c r="K679" s="174"/>
      <c r="L679" s="5"/>
      <c r="T679" s="179"/>
    </row>
    <row r="680" ht="12.0" customHeight="1">
      <c r="E680" s="4"/>
      <c r="F680" s="4"/>
      <c r="G680" s="4"/>
      <c r="H680" s="5"/>
      <c r="I680" s="146"/>
      <c r="K680" s="174"/>
      <c r="L680" s="5"/>
      <c r="T680" s="179"/>
    </row>
    <row r="681" ht="12.0" customHeight="1">
      <c r="E681" s="4"/>
      <c r="F681" s="4"/>
      <c r="G681" s="4"/>
      <c r="H681" s="5"/>
      <c r="I681" s="146"/>
      <c r="K681" s="174"/>
      <c r="L681" s="5"/>
      <c r="T681" s="179"/>
    </row>
    <row r="682" ht="12.0" customHeight="1">
      <c r="E682" s="4"/>
      <c r="F682" s="4"/>
      <c r="G682" s="4"/>
      <c r="H682" s="5"/>
      <c r="I682" s="146"/>
      <c r="K682" s="174"/>
      <c r="L682" s="5"/>
      <c r="T682" s="179"/>
    </row>
    <row r="683" ht="12.0" customHeight="1">
      <c r="E683" s="4"/>
      <c r="F683" s="4"/>
      <c r="G683" s="4"/>
      <c r="H683" s="5"/>
      <c r="I683" s="146"/>
      <c r="K683" s="174"/>
      <c r="L683" s="5"/>
      <c r="T683" s="179"/>
    </row>
    <row r="684" ht="12.0" customHeight="1">
      <c r="E684" s="4"/>
      <c r="F684" s="4"/>
      <c r="G684" s="4"/>
      <c r="H684" s="5"/>
      <c r="I684" s="146"/>
      <c r="K684" s="174"/>
      <c r="L684" s="5"/>
      <c r="T684" s="179"/>
    </row>
    <row r="685" ht="12.0" customHeight="1">
      <c r="E685" s="4"/>
      <c r="F685" s="4"/>
      <c r="G685" s="4"/>
      <c r="H685" s="5"/>
      <c r="I685" s="146"/>
      <c r="K685" s="174"/>
      <c r="L685" s="5"/>
      <c r="T685" s="179"/>
    </row>
    <row r="686" ht="12.0" customHeight="1">
      <c r="E686" s="4"/>
      <c r="F686" s="4"/>
      <c r="G686" s="4"/>
      <c r="H686" s="5"/>
      <c r="I686" s="146"/>
      <c r="K686" s="174"/>
      <c r="L686" s="5"/>
      <c r="T686" s="179"/>
    </row>
    <row r="687" ht="12.0" customHeight="1">
      <c r="E687" s="4"/>
      <c r="F687" s="4"/>
      <c r="G687" s="4"/>
      <c r="H687" s="5"/>
      <c r="I687" s="146"/>
      <c r="K687" s="174"/>
      <c r="L687" s="5"/>
      <c r="T687" s="179"/>
    </row>
    <row r="688" ht="12.0" customHeight="1">
      <c r="E688" s="4"/>
      <c r="F688" s="4"/>
      <c r="G688" s="4"/>
      <c r="H688" s="5"/>
      <c r="I688" s="146"/>
      <c r="K688" s="174"/>
      <c r="L688" s="5"/>
      <c r="T688" s="179"/>
    </row>
    <row r="689" ht="12.0" customHeight="1">
      <c r="E689" s="4"/>
      <c r="F689" s="4"/>
      <c r="G689" s="4"/>
      <c r="H689" s="5"/>
      <c r="I689" s="146"/>
      <c r="K689" s="174"/>
      <c r="L689" s="5"/>
      <c r="T689" s="179"/>
    </row>
    <row r="690" ht="12.0" customHeight="1">
      <c r="E690" s="4"/>
      <c r="F690" s="4"/>
      <c r="G690" s="4"/>
      <c r="H690" s="5"/>
      <c r="I690" s="146"/>
      <c r="K690" s="174"/>
      <c r="L690" s="5"/>
      <c r="T690" s="179"/>
    </row>
    <row r="691" ht="12.0" customHeight="1">
      <c r="E691" s="4"/>
      <c r="F691" s="4"/>
      <c r="G691" s="4"/>
      <c r="H691" s="5"/>
      <c r="I691" s="146"/>
      <c r="K691" s="174"/>
      <c r="L691" s="5"/>
      <c r="T691" s="179"/>
    </row>
    <row r="692" ht="12.0" customHeight="1">
      <c r="E692" s="4"/>
      <c r="F692" s="4"/>
      <c r="G692" s="4"/>
      <c r="H692" s="5"/>
      <c r="I692" s="146"/>
      <c r="K692" s="174"/>
      <c r="L692" s="5"/>
      <c r="T692" s="179"/>
    </row>
    <row r="693" ht="12.0" customHeight="1">
      <c r="E693" s="4"/>
      <c r="F693" s="4"/>
      <c r="G693" s="4"/>
      <c r="H693" s="5"/>
      <c r="I693" s="146"/>
      <c r="K693" s="174"/>
      <c r="L693" s="5"/>
      <c r="T693" s="179"/>
    </row>
    <row r="694" ht="12.0" customHeight="1">
      <c r="E694" s="4"/>
      <c r="F694" s="4"/>
      <c r="G694" s="4"/>
      <c r="H694" s="5"/>
      <c r="I694" s="146"/>
      <c r="K694" s="174"/>
      <c r="L694" s="5"/>
      <c r="T694" s="179"/>
    </row>
    <row r="695" ht="12.0" customHeight="1">
      <c r="E695" s="4"/>
      <c r="F695" s="4"/>
      <c r="G695" s="4"/>
      <c r="H695" s="5"/>
      <c r="I695" s="146"/>
      <c r="K695" s="174"/>
      <c r="L695" s="5"/>
      <c r="T695" s="179"/>
    </row>
    <row r="696" ht="12.0" customHeight="1">
      <c r="E696" s="4"/>
      <c r="F696" s="4"/>
      <c r="G696" s="4"/>
      <c r="H696" s="5"/>
      <c r="I696" s="146"/>
      <c r="K696" s="174"/>
      <c r="L696" s="5"/>
      <c r="T696" s="179"/>
    </row>
    <row r="697" ht="12.0" customHeight="1">
      <c r="E697" s="4"/>
      <c r="F697" s="4"/>
      <c r="G697" s="4"/>
      <c r="H697" s="5"/>
      <c r="I697" s="146"/>
      <c r="K697" s="174"/>
      <c r="L697" s="5"/>
      <c r="T697" s="179"/>
    </row>
    <row r="698" ht="12.0" customHeight="1">
      <c r="E698" s="4"/>
      <c r="F698" s="4"/>
      <c r="G698" s="4"/>
      <c r="H698" s="5"/>
      <c r="I698" s="146"/>
      <c r="K698" s="174"/>
      <c r="L698" s="5"/>
      <c r="T698" s="179"/>
    </row>
    <row r="699" ht="12.0" customHeight="1">
      <c r="E699" s="4"/>
      <c r="F699" s="4"/>
      <c r="G699" s="4"/>
      <c r="H699" s="5"/>
      <c r="I699" s="146"/>
      <c r="K699" s="174"/>
      <c r="L699" s="5"/>
      <c r="T699" s="179"/>
    </row>
    <row r="700" ht="12.0" customHeight="1">
      <c r="E700" s="4"/>
      <c r="F700" s="4"/>
      <c r="G700" s="4"/>
      <c r="H700" s="5"/>
      <c r="I700" s="146"/>
      <c r="K700" s="174"/>
      <c r="L700" s="5"/>
      <c r="T700" s="179"/>
    </row>
    <row r="701" ht="12.0" customHeight="1">
      <c r="E701" s="4"/>
      <c r="F701" s="4"/>
      <c r="G701" s="4"/>
      <c r="H701" s="5"/>
      <c r="I701" s="146"/>
      <c r="K701" s="174"/>
      <c r="L701" s="5"/>
      <c r="T701" s="179"/>
    </row>
    <row r="702" ht="12.0" customHeight="1">
      <c r="E702" s="4"/>
      <c r="F702" s="4"/>
      <c r="G702" s="4"/>
      <c r="H702" s="5"/>
      <c r="I702" s="146"/>
      <c r="K702" s="174"/>
      <c r="L702" s="5"/>
      <c r="T702" s="179"/>
    </row>
    <row r="703" ht="12.0" customHeight="1">
      <c r="E703" s="4"/>
      <c r="F703" s="4"/>
      <c r="G703" s="4"/>
      <c r="H703" s="5"/>
      <c r="I703" s="146"/>
      <c r="K703" s="174"/>
      <c r="L703" s="5"/>
      <c r="T703" s="179"/>
    </row>
    <row r="704" ht="12.0" customHeight="1">
      <c r="E704" s="4"/>
      <c r="F704" s="4"/>
      <c r="G704" s="4"/>
      <c r="H704" s="5"/>
      <c r="I704" s="146"/>
      <c r="K704" s="174"/>
      <c r="L704" s="5"/>
      <c r="T704" s="179"/>
    </row>
    <row r="705" ht="12.0" customHeight="1">
      <c r="E705" s="4"/>
      <c r="F705" s="4"/>
      <c r="G705" s="4"/>
      <c r="H705" s="5"/>
      <c r="I705" s="146"/>
      <c r="K705" s="174"/>
      <c r="L705" s="5"/>
      <c r="T705" s="179"/>
    </row>
    <row r="706" ht="12.0" customHeight="1">
      <c r="E706" s="4"/>
      <c r="F706" s="4"/>
      <c r="G706" s="4"/>
      <c r="H706" s="5"/>
      <c r="I706" s="146"/>
      <c r="K706" s="174"/>
      <c r="L706" s="5"/>
      <c r="T706" s="179"/>
    </row>
    <row r="707" ht="12.0" customHeight="1">
      <c r="E707" s="4"/>
      <c r="F707" s="4"/>
      <c r="G707" s="4"/>
      <c r="H707" s="5"/>
      <c r="I707" s="146"/>
      <c r="K707" s="174"/>
      <c r="L707" s="5"/>
      <c r="T707" s="179"/>
    </row>
    <row r="708" ht="12.0" customHeight="1">
      <c r="E708" s="4"/>
      <c r="F708" s="4"/>
      <c r="G708" s="4"/>
      <c r="H708" s="5"/>
      <c r="I708" s="146"/>
      <c r="K708" s="174"/>
      <c r="L708" s="5"/>
      <c r="T708" s="179"/>
    </row>
    <row r="709" ht="12.0" customHeight="1">
      <c r="E709" s="4"/>
      <c r="F709" s="4"/>
      <c r="G709" s="4"/>
      <c r="H709" s="5"/>
      <c r="I709" s="146"/>
      <c r="K709" s="174"/>
      <c r="L709" s="5"/>
      <c r="T709" s="179"/>
    </row>
    <row r="710" ht="12.0" customHeight="1">
      <c r="E710" s="4"/>
      <c r="F710" s="4"/>
      <c r="G710" s="4"/>
      <c r="H710" s="5"/>
      <c r="I710" s="146"/>
      <c r="K710" s="174"/>
      <c r="L710" s="5"/>
      <c r="T710" s="179"/>
    </row>
    <row r="711" ht="12.0" customHeight="1">
      <c r="E711" s="4"/>
      <c r="F711" s="4"/>
      <c r="G711" s="4"/>
      <c r="H711" s="5"/>
      <c r="I711" s="146"/>
      <c r="K711" s="174"/>
      <c r="L711" s="5"/>
      <c r="T711" s="179"/>
    </row>
    <row r="712" ht="12.0" customHeight="1">
      <c r="E712" s="4"/>
      <c r="F712" s="4"/>
      <c r="G712" s="4"/>
      <c r="H712" s="5"/>
      <c r="I712" s="146"/>
      <c r="K712" s="174"/>
      <c r="L712" s="5"/>
      <c r="T712" s="179"/>
    </row>
    <row r="713" ht="12.0" customHeight="1">
      <c r="E713" s="4"/>
      <c r="F713" s="4"/>
      <c r="G713" s="4"/>
      <c r="H713" s="5"/>
      <c r="I713" s="146"/>
      <c r="K713" s="174"/>
      <c r="L713" s="5"/>
      <c r="T713" s="179"/>
    </row>
    <row r="714" ht="12.0" customHeight="1">
      <c r="E714" s="4"/>
      <c r="F714" s="4"/>
      <c r="G714" s="4"/>
      <c r="H714" s="5"/>
      <c r="I714" s="146"/>
      <c r="K714" s="174"/>
      <c r="L714" s="5"/>
      <c r="T714" s="179"/>
    </row>
    <row r="715" ht="12.0" customHeight="1">
      <c r="E715" s="4"/>
      <c r="F715" s="4"/>
      <c r="G715" s="4"/>
      <c r="H715" s="5"/>
      <c r="I715" s="146"/>
      <c r="K715" s="174"/>
      <c r="L715" s="5"/>
      <c r="T715" s="179"/>
    </row>
    <row r="716" ht="12.0" customHeight="1">
      <c r="E716" s="4"/>
      <c r="F716" s="4"/>
      <c r="G716" s="4"/>
      <c r="H716" s="5"/>
      <c r="I716" s="146"/>
      <c r="K716" s="174"/>
      <c r="L716" s="5"/>
      <c r="T716" s="179"/>
    </row>
    <row r="717" ht="12.0" customHeight="1">
      <c r="E717" s="4"/>
      <c r="F717" s="4"/>
      <c r="G717" s="4"/>
      <c r="H717" s="5"/>
      <c r="I717" s="146"/>
      <c r="K717" s="174"/>
      <c r="L717" s="5"/>
      <c r="T717" s="179"/>
    </row>
    <row r="718" ht="12.0" customHeight="1">
      <c r="E718" s="4"/>
      <c r="F718" s="4"/>
      <c r="G718" s="4"/>
      <c r="H718" s="5"/>
      <c r="I718" s="146"/>
      <c r="K718" s="174"/>
      <c r="L718" s="5"/>
      <c r="T718" s="179"/>
    </row>
    <row r="719" ht="12.0" customHeight="1">
      <c r="E719" s="4"/>
      <c r="F719" s="4"/>
      <c r="G719" s="4"/>
      <c r="H719" s="5"/>
      <c r="I719" s="146"/>
      <c r="K719" s="174"/>
      <c r="L719" s="5"/>
      <c r="T719" s="179"/>
    </row>
    <row r="720" ht="12.0" customHeight="1">
      <c r="E720" s="4"/>
      <c r="F720" s="4"/>
      <c r="G720" s="4"/>
      <c r="H720" s="5"/>
      <c r="I720" s="146"/>
      <c r="K720" s="174"/>
      <c r="L720" s="5"/>
      <c r="T720" s="179"/>
    </row>
    <row r="721" ht="12.0" customHeight="1">
      <c r="E721" s="4"/>
      <c r="F721" s="4"/>
      <c r="G721" s="4"/>
      <c r="H721" s="5"/>
      <c r="I721" s="146"/>
      <c r="K721" s="174"/>
      <c r="L721" s="5"/>
      <c r="T721" s="179"/>
    </row>
    <row r="722" ht="12.0" customHeight="1">
      <c r="E722" s="4"/>
      <c r="F722" s="4"/>
      <c r="G722" s="4"/>
      <c r="H722" s="5"/>
      <c r="I722" s="146"/>
      <c r="K722" s="174"/>
      <c r="L722" s="5"/>
      <c r="T722" s="179"/>
    </row>
    <row r="723" ht="12.0" customHeight="1">
      <c r="E723" s="4"/>
      <c r="F723" s="4"/>
      <c r="G723" s="4"/>
      <c r="H723" s="5"/>
      <c r="I723" s="146"/>
      <c r="K723" s="174"/>
      <c r="L723" s="5"/>
      <c r="T723" s="179"/>
    </row>
    <row r="724" ht="12.0" customHeight="1">
      <c r="E724" s="4"/>
      <c r="F724" s="4"/>
      <c r="G724" s="4"/>
      <c r="H724" s="5"/>
      <c r="I724" s="146"/>
      <c r="K724" s="174"/>
      <c r="L724" s="5"/>
      <c r="T724" s="179"/>
    </row>
    <row r="725" ht="12.0" customHeight="1">
      <c r="E725" s="4"/>
      <c r="F725" s="4"/>
      <c r="G725" s="4"/>
      <c r="H725" s="5"/>
      <c r="I725" s="146"/>
      <c r="K725" s="174"/>
      <c r="L725" s="5"/>
      <c r="T725" s="179"/>
    </row>
    <row r="726" ht="12.0" customHeight="1">
      <c r="E726" s="4"/>
      <c r="F726" s="4"/>
      <c r="G726" s="4"/>
      <c r="H726" s="5"/>
      <c r="I726" s="146"/>
      <c r="K726" s="174"/>
      <c r="L726" s="5"/>
      <c r="T726" s="179"/>
    </row>
    <row r="727" ht="12.0" customHeight="1">
      <c r="E727" s="4"/>
      <c r="F727" s="4"/>
      <c r="G727" s="4"/>
      <c r="H727" s="5"/>
      <c r="I727" s="146"/>
      <c r="K727" s="174"/>
      <c r="L727" s="5"/>
      <c r="T727" s="179"/>
    </row>
    <row r="728" ht="12.0" customHeight="1">
      <c r="E728" s="4"/>
      <c r="F728" s="4"/>
      <c r="G728" s="4"/>
      <c r="H728" s="5"/>
      <c r="I728" s="146"/>
      <c r="K728" s="174"/>
      <c r="L728" s="5"/>
      <c r="T728" s="179"/>
    </row>
    <row r="729" ht="12.0" customHeight="1">
      <c r="E729" s="4"/>
      <c r="F729" s="4"/>
      <c r="G729" s="4"/>
      <c r="H729" s="5"/>
      <c r="I729" s="146"/>
      <c r="K729" s="174"/>
      <c r="L729" s="5"/>
      <c r="T729" s="179"/>
    </row>
    <row r="730" ht="12.0" customHeight="1">
      <c r="E730" s="4"/>
      <c r="F730" s="4"/>
      <c r="G730" s="4"/>
      <c r="H730" s="5"/>
      <c r="I730" s="146"/>
      <c r="K730" s="174"/>
      <c r="L730" s="5"/>
      <c r="T730" s="179"/>
    </row>
    <row r="731" ht="12.0" customHeight="1">
      <c r="E731" s="4"/>
      <c r="F731" s="4"/>
      <c r="G731" s="4"/>
      <c r="H731" s="5"/>
      <c r="I731" s="146"/>
      <c r="K731" s="174"/>
      <c r="L731" s="5"/>
      <c r="T731" s="179"/>
    </row>
    <row r="732" ht="12.0" customHeight="1">
      <c r="E732" s="4"/>
      <c r="F732" s="4"/>
      <c r="G732" s="4"/>
      <c r="H732" s="5"/>
      <c r="I732" s="146"/>
      <c r="K732" s="174"/>
      <c r="L732" s="5"/>
      <c r="T732" s="179"/>
    </row>
    <row r="733" ht="12.0" customHeight="1">
      <c r="E733" s="4"/>
      <c r="F733" s="4"/>
      <c r="G733" s="4"/>
      <c r="H733" s="5"/>
      <c r="I733" s="146"/>
      <c r="K733" s="174"/>
      <c r="L733" s="5"/>
      <c r="T733" s="179"/>
    </row>
    <row r="734" ht="12.0" customHeight="1">
      <c r="E734" s="4"/>
      <c r="F734" s="4"/>
      <c r="G734" s="4"/>
      <c r="H734" s="5"/>
      <c r="I734" s="146"/>
      <c r="K734" s="174"/>
      <c r="L734" s="5"/>
      <c r="T734" s="179"/>
    </row>
    <row r="735" ht="12.0" customHeight="1">
      <c r="E735" s="4"/>
      <c r="F735" s="4"/>
      <c r="G735" s="4"/>
      <c r="H735" s="5"/>
      <c r="I735" s="146"/>
      <c r="K735" s="174"/>
      <c r="L735" s="5"/>
      <c r="T735" s="179"/>
    </row>
    <row r="736" ht="12.0" customHeight="1">
      <c r="E736" s="4"/>
      <c r="F736" s="4"/>
      <c r="G736" s="4"/>
      <c r="H736" s="5"/>
      <c r="I736" s="146"/>
      <c r="K736" s="174"/>
      <c r="L736" s="5"/>
      <c r="T736" s="179"/>
    </row>
    <row r="737" ht="12.0" customHeight="1">
      <c r="E737" s="4"/>
      <c r="F737" s="4"/>
      <c r="G737" s="4"/>
      <c r="H737" s="5"/>
      <c r="I737" s="146"/>
      <c r="K737" s="174"/>
      <c r="L737" s="5"/>
      <c r="T737" s="179"/>
    </row>
    <row r="738" ht="12.0" customHeight="1">
      <c r="E738" s="4"/>
      <c r="F738" s="4"/>
      <c r="G738" s="4"/>
      <c r="H738" s="5"/>
      <c r="I738" s="146"/>
      <c r="K738" s="174"/>
      <c r="L738" s="5"/>
      <c r="T738" s="179"/>
    </row>
    <row r="739" ht="12.0" customHeight="1">
      <c r="E739" s="4"/>
      <c r="F739" s="4"/>
      <c r="G739" s="4"/>
      <c r="H739" s="5"/>
      <c r="I739" s="146"/>
      <c r="K739" s="174"/>
      <c r="L739" s="5"/>
      <c r="T739" s="179"/>
    </row>
    <row r="740" ht="12.0" customHeight="1">
      <c r="E740" s="4"/>
      <c r="F740" s="4"/>
      <c r="G740" s="4"/>
      <c r="H740" s="5"/>
      <c r="I740" s="146"/>
      <c r="K740" s="174"/>
      <c r="L740" s="5"/>
      <c r="T740" s="179"/>
    </row>
    <row r="741" ht="12.0" customHeight="1">
      <c r="E741" s="4"/>
      <c r="F741" s="4"/>
      <c r="G741" s="4"/>
      <c r="H741" s="5"/>
      <c r="I741" s="146"/>
      <c r="K741" s="174"/>
      <c r="L741" s="5"/>
      <c r="T741" s="179"/>
    </row>
    <row r="742" ht="12.0" customHeight="1">
      <c r="E742" s="4"/>
      <c r="F742" s="4"/>
      <c r="G742" s="4"/>
      <c r="H742" s="5"/>
      <c r="I742" s="146"/>
      <c r="K742" s="174"/>
      <c r="L742" s="5"/>
      <c r="T742" s="179"/>
    </row>
    <row r="743" ht="12.0" customHeight="1">
      <c r="E743" s="4"/>
      <c r="F743" s="4"/>
      <c r="G743" s="4"/>
      <c r="H743" s="5"/>
      <c r="I743" s="146"/>
      <c r="K743" s="174"/>
      <c r="L743" s="5"/>
      <c r="T743" s="179"/>
    </row>
    <row r="744" ht="12.0" customHeight="1">
      <c r="E744" s="4"/>
      <c r="F744" s="4"/>
      <c r="G744" s="4"/>
      <c r="H744" s="5"/>
      <c r="I744" s="146"/>
      <c r="K744" s="174"/>
      <c r="L744" s="5"/>
      <c r="T744" s="179"/>
    </row>
    <row r="745" ht="12.0" customHeight="1">
      <c r="E745" s="4"/>
      <c r="F745" s="4"/>
      <c r="G745" s="4"/>
      <c r="H745" s="5"/>
      <c r="I745" s="146"/>
      <c r="K745" s="174"/>
      <c r="L745" s="5"/>
      <c r="T745" s="179"/>
    </row>
    <row r="746" ht="12.0" customHeight="1">
      <c r="E746" s="4"/>
      <c r="F746" s="4"/>
      <c r="G746" s="4"/>
      <c r="H746" s="5"/>
      <c r="I746" s="146"/>
      <c r="K746" s="174"/>
      <c r="L746" s="5"/>
      <c r="T746" s="179"/>
    </row>
    <row r="747" ht="12.0" customHeight="1">
      <c r="E747" s="4"/>
      <c r="F747" s="4"/>
      <c r="G747" s="4"/>
      <c r="H747" s="5"/>
      <c r="I747" s="146"/>
      <c r="K747" s="174"/>
      <c r="L747" s="5"/>
      <c r="T747" s="179"/>
    </row>
    <row r="748" ht="12.0" customHeight="1">
      <c r="E748" s="4"/>
      <c r="F748" s="4"/>
      <c r="G748" s="4"/>
      <c r="H748" s="5"/>
      <c r="I748" s="146"/>
      <c r="K748" s="174"/>
      <c r="L748" s="5"/>
      <c r="T748" s="179"/>
    </row>
    <row r="749" ht="12.0" customHeight="1">
      <c r="E749" s="4"/>
      <c r="F749" s="4"/>
      <c r="G749" s="4"/>
      <c r="H749" s="5"/>
      <c r="I749" s="146"/>
      <c r="K749" s="174"/>
      <c r="L749" s="5"/>
      <c r="T749" s="179"/>
    </row>
    <row r="750" ht="12.0" customHeight="1">
      <c r="E750" s="4"/>
      <c r="F750" s="4"/>
      <c r="G750" s="4"/>
      <c r="H750" s="5"/>
      <c r="I750" s="146"/>
      <c r="K750" s="174"/>
      <c r="L750" s="5"/>
      <c r="T750" s="179"/>
    </row>
    <row r="751" ht="12.0" customHeight="1">
      <c r="E751" s="4"/>
      <c r="F751" s="4"/>
      <c r="G751" s="4"/>
      <c r="H751" s="5"/>
      <c r="I751" s="146"/>
      <c r="K751" s="174"/>
      <c r="L751" s="5"/>
      <c r="T751" s="179"/>
    </row>
    <row r="752" ht="12.0" customHeight="1">
      <c r="E752" s="4"/>
      <c r="F752" s="4"/>
      <c r="G752" s="4"/>
      <c r="H752" s="5"/>
      <c r="I752" s="146"/>
      <c r="K752" s="174"/>
      <c r="L752" s="5"/>
      <c r="T752" s="179"/>
    </row>
    <row r="753" ht="12.0" customHeight="1">
      <c r="E753" s="4"/>
      <c r="F753" s="4"/>
      <c r="G753" s="4"/>
      <c r="H753" s="5"/>
      <c r="I753" s="146"/>
      <c r="K753" s="174"/>
      <c r="L753" s="5"/>
      <c r="T753" s="179"/>
    </row>
    <row r="754" ht="12.0" customHeight="1">
      <c r="E754" s="4"/>
      <c r="F754" s="4"/>
      <c r="G754" s="4"/>
      <c r="H754" s="5"/>
      <c r="I754" s="146"/>
      <c r="K754" s="174"/>
      <c r="L754" s="5"/>
      <c r="T754" s="179"/>
    </row>
    <row r="755" ht="12.0" customHeight="1">
      <c r="E755" s="4"/>
      <c r="F755" s="4"/>
      <c r="G755" s="4"/>
      <c r="H755" s="5"/>
      <c r="I755" s="146"/>
      <c r="K755" s="174"/>
      <c r="L755" s="5"/>
      <c r="T755" s="179"/>
    </row>
    <row r="756" ht="12.0" customHeight="1">
      <c r="E756" s="4"/>
      <c r="F756" s="4"/>
      <c r="G756" s="4"/>
      <c r="H756" s="5"/>
      <c r="I756" s="146"/>
      <c r="K756" s="174"/>
      <c r="L756" s="5"/>
      <c r="T756" s="179"/>
    </row>
    <row r="757" ht="12.0" customHeight="1">
      <c r="E757" s="4"/>
      <c r="F757" s="4"/>
      <c r="G757" s="4"/>
      <c r="H757" s="5"/>
      <c r="I757" s="146"/>
      <c r="K757" s="174"/>
      <c r="L757" s="5"/>
      <c r="T757" s="179"/>
    </row>
    <row r="758" ht="12.0" customHeight="1">
      <c r="E758" s="4"/>
      <c r="F758" s="4"/>
      <c r="G758" s="4"/>
      <c r="H758" s="5"/>
      <c r="I758" s="146"/>
      <c r="K758" s="174"/>
      <c r="L758" s="5"/>
      <c r="T758" s="179"/>
    </row>
    <row r="759" ht="12.0" customHeight="1">
      <c r="E759" s="4"/>
      <c r="F759" s="4"/>
      <c r="G759" s="4"/>
      <c r="H759" s="5"/>
      <c r="I759" s="146"/>
      <c r="K759" s="174"/>
      <c r="L759" s="5"/>
      <c r="T759" s="179"/>
    </row>
    <row r="760" ht="12.0" customHeight="1">
      <c r="E760" s="4"/>
      <c r="F760" s="4"/>
      <c r="G760" s="4"/>
      <c r="H760" s="5"/>
      <c r="I760" s="146"/>
      <c r="K760" s="174"/>
      <c r="L760" s="5"/>
      <c r="T760" s="179"/>
    </row>
    <row r="761" ht="12.0" customHeight="1">
      <c r="E761" s="4"/>
      <c r="F761" s="4"/>
      <c r="G761" s="4"/>
      <c r="H761" s="5"/>
      <c r="I761" s="146"/>
      <c r="K761" s="174"/>
      <c r="L761" s="5"/>
      <c r="T761" s="179"/>
    </row>
    <row r="762" ht="12.0" customHeight="1">
      <c r="E762" s="4"/>
      <c r="F762" s="4"/>
      <c r="G762" s="4"/>
      <c r="H762" s="5"/>
      <c r="I762" s="146"/>
      <c r="K762" s="174"/>
      <c r="L762" s="5"/>
      <c r="T762" s="179"/>
    </row>
    <row r="763" ht="12.0" customHeight="1">
      <c r="E763" s="4"/>
      <c r="F763" s="4"/>
      <c r="G763" s="4"/>
      <c r="H763" s="5"/>
      <c r="I763" s="146"/>
      <c r="K763" s="174"/>
      <c r="L763" s="5"/>
      <c r="T763" s="179"/>
    </row>
    <row r="764" ht="12.0" customHeight="1">
      <c r="E764" s="4"/>
      <c r="F764" s="4"/>
      <c r="G764" s="4"/>
      <c r="H764" s="5"/>
      <c r="I764" s="146"/>
      <c r="K764" s="174"/>
      <c r="L764" s="5"/>
      <c r="T764" s="179"/>
    </row>
    <row r="765" ht="12.0" customHeight="1">
      <c r="E765" s="4"/>
      <c r="F765" s="4"/>
      <c r="G765" s="4"/>
      <c r="H765" s="5"/>
      <c r="I765" s="146"/>
      <c r="K765" s="174"/>
      <c r="L765" s="5"/>
      <c r="T765" s="179"/>
    </row>
    <row r="766" ht="12.0" customHeight="1">
      <c r="E766" s="4"/>
      <c r="F766" s="4"/>
      <c r="G766" s="4"/>
      <c r="H766" s="5"/>
      <c r="I766" s="146"/>
      <c r="K766" s="174"/>
      <c r="L766" s="5"/>
      <c r="T766" s="179"/>
    </row>
    <row r="767" ht="12.0" customHeight="1">
      <c r="E767" s="4"/>
      <c r="F767" s="4"/>
      <c r="G767" s="4"/>
      <c r="H767" s="5"/>
      <c r="I767" s="146"/>
      <c r="K767" s="174"/>
      <c r="L767" s="5"/>
      <c r="T767" s="179"/>
    </row>
    <row r="768" ht="12.0" customHeight="1">
      <c r="E768" s="4"/>
      <c r="F768" s="4"/>
      <c r="G768" s="4"/>
      <c r="H768" s="5"/>
      <c r="I768" s="146"/>
      <c r="K768" s="174"/>
      <c r="L768" s="5"/>
      <c r="T768" s="179"/>
    </row>
    <row r="769" ht="12.0" customHeight="1">
      <c r="E769" s="4"/>
      <c r="F769" s="4"/>
      <c r="G769" s="4"/>
      <c r="H769" s="5"/>
      <c r="I769" s="146"/>
      <c r="K769" s="174"/>
      <c r="L769" s="5"/>
      <c r="T769" s="179"/>
    </row>
    <row r="770" ht="12.0" customHeight="1">
      <c r="E770" s="4"/>
      <c r="F770" s="4"/>
      <c r="G770" s="4"/>
      <c r="H770" s="5"/>
      <c r="I770" s="146"/>
      <c r="K770" s="174"/>
      <c r="L770" s="5"/>
      <c r="T770" s="179"/>
    </row>
    <row r="771" ht="12.0" customHeight="1">
      <c r="E771" s="4"/>
      <c r="F771" s="4"/>
      <c r="G771" s="4"/>
      <c r="H771" s="5"/>
      <c r="I771" s="146"/>
      <c r="K771" s="174"/>
      <c r="L771" s="5"/>
      <c r="T771" s="179"/>
    </row>
    <row r="772" ht="12.0" customHeight="1">
      <c r="E772" s="4"/>
      <c r="F772" s="4"/>
      <c r="G772" s="4"/>
      <c r="H772" s="5"/>
      <c r="I772" s="146"/>
      <c r="K772" s="174"/>
      <c r="L772" s="5"/>
      <c r="T772" s="179"/>
    </row>
    <row r="773" ht="12.0" customHeight="1">
      <c r="E773" s="4"/>
      <c r="F773" s="4"/>
      <c r="G773" s="4"/>
      <c r="H773" s="5"/>
      <c r="I773" s="146"/>
      <c r="K773" s="174"/>
      <c r="L773" s="5"/>
      <c r="T773" s="179"/>
    </row>
    <row r="774" ht="12.0" customHeight="1">
      <c r="E774" s="4"/>
      <c r="F774" s="4"/>
      <c r="G774" s="4"/>
      <c r="H774" s="5"/>
      <c r="I774" s="146"/>
      <c r="K774" s="174"/>
      <c r="L774" s="5"/>
      <c r="T774" s="179"/>
    </row>
    <row r="775" ht="12.0" customHeight="1">
      <c r="E775" s="4"/>
      <c r="F775" s="4"/>
      <c r="G775" s="4"/>
      <c r="H775" s="5"/>
      <c r="I775" s="146"/>
      <c r="K775" s="174"/>
      <c r="L775" s="5"/>
      <c r="T775" s="179"/>
    </row>
    <row r="776" ht="12.0" customHeight="1">
      <c r="E776" s="4"/>
      <c r="F776" s="4"/>
      <c r="G776" s="4"/>
      <c r="H776" s="5"/>
      <c r="I776" s="146"/>
      <c r="K776" s="174"/>
      <c r="L776" s="5"/>
      <c r="T776" s="179"/>
    </row>
    <row r="777" ht="12.0" customHeight="1">
      <c r="E777" s="4"/>
      <c r="F777" s="4"/>
      <c r="G777" s="4"/>
      <c r="H777" s="5"/>
      <c r="I777" s="146"/>
      <c r="K777" s="174"/>
      <c r="L777" s="5"/>
      <c r="T777" s="179"/>
    </row>
    <row r="778" ht="12.0" customHeight="1">
      <c r="E778" s="4"/>
      <c r="F778" s="4"/>
      <c r="G778" s="4"/>
      <c r="H778" s="5"/>
      <c r="I778" s="146"/>
      <c r="K778" s="174"/>
      <c r="L778" s="5"/>
      <c r="T778" s="179"/>
    </row>
    <row r="779" ht="12.0" customHeight="1">
      <c r="E779" s="4"/>
      <c r="F779" s="4"/>
      <c r="G779" s="4"/>
      <c r="H779" s="5"/>
      <c r="I779" s="146"/>
      <c r="K779" s="174"/>
      <c r="L779" s="5"/>
      <c r="T779" s="179"/>
    </row>
    <row r="780" ht="12.0" customHeight="1">
      <c r="E780" s="4"/>
      <c r="F780" s="4"/>
      <c r="G780" s="4"/>
      <c r="H780" s="5"/>
      <c r="I780" s="146"/>
      <c r="K780" s="174"/>
      <c r="L780" s="5"/>
      <c r="T780" s="179"/>
    </row>
    <row r="781" ht="12.0" customHeight="1">
      <c r="E781" s="4"/>
      <c r="F781" s="4"/>
      <c r="G781" s="4"/>
      <c r="H781" s="5"/>
      <c r="I781" s="146"/>
      <c r="K781" s="174"/>
      <c r="L781" s="5"/>
      <c r="T781" s="179"/>
    </row>
    <row r="782" ht="12.0" customHeight="1">
      <c r="E782" s="4"/>
      <c r="F782" s="4"/>
      <c r="G782" s="4"/>
      <c r="H782" s="5"/>
      <c r="I782" s="146"/>
      <c r="K782" s="174"/>
      <c r="L782" s="5"/>
      <c r="T782" s="179"/>
    </row>
    <row r="783" ht="12.0" customHeight="1">
      <c r="E783" s="4"/>
      <c r="F783" s="4"/>
      <c r="G783" s="4"/>
      <c r="H783" s="5"/>
      <c r="I783" s="146"/>
      <c r="K783" s="174"/>
      <c r="L783" s="5"/>
      <c r="T783" s="179"/>
    </row>
    <row r="784" ht="12.0" customHeight="1">
      <c r="E784" s="4"/>
      <c r="F784" s="4"/>
      <c r="G784" s="4"/>
      <c r="H784" s="5"/>
      <c r="I784" s="146"/>
      <c r="K784" s="174"/>
      <c r="L784" s="5"/>
      <c r="T784" s="179"/>
    </row>
    <row r="785" ht="12.0" customHeight="1">
      <c r="E785" s="4"/>
      <c r="F785" s="4"/>
      <c r="G785" s="4"/>
      <c r="H785" s="5"/>
      <c r="I785" s="146"/>
      <c r="K785" s="174"/>
      <c r="L785" s="5"/>
      <c r="T785" s="179"/>
    </row>
    <row r="786" ht="12.0" customHeight="1">
      <c r="E786" s="4"/>
      <c r="F786" s="4"/>
      <c r="G786" s="4"/>
      <c r="H786" s="5"/>
      <c r="I786" s="146"/>
      <c r="K786" s="174"/>
      <c r="L786" s="5"/>
      <c r="T786" s="179"/>
    </row>
    <row r="787" ht="12.0" customHeight="1">
      <c r="E787" s="4"/>
      <c r="F787" s="4"/>
      <c r="G787" s="4"/>
      <c r="H787" s="5"/>
      <c r="I787" s="146"/>
      <c r="K787" s="174"/>
      <c r="L787" s="5"/>
      <c r="T787" s="179"/>
    </row>
    <row r="788" ht="12.0" customHeight="1">
      <c r="E788" s="4"/>
      <c r="F788" s="4"/>
      <c r="G788" s="4"/>
      <c r="H788" s="5"/>
      <c r="I788" s="146"/>
      <c r="K788" s="174"/>
      <c r="L788" s="5"/>
      <c r="T788" s="179"/>
    </row>
    <row r="789" ht="12.0" customHeight="1">
      <c r="E789" s="4"/>
      <c r="F789" s="4"/>
      <c r="G789" s="4"/>
      <c r="H789" s="5"/>
      <c r="I789" s="146"/>
      <c r="K789" s="174"/>
      <c r="L789" s="5"/>
      <c r="T789" s="179"/>
    </row>
    <row r="790" ht="12.0" customHeight="1">
      <c r="E790" s="4"/>
      <c r="F790" s="4"/>
      <c r="G790" s="4"/>
      <c r="H790" s="5"/>
      <c r="I790" s="146"/>
      <c r="K790" s="174"/>
      <c r="L790" s="5"/>
      <c r="T790" s="179"/>
    </row>
    <row r="791" ht="12.0" customHeight="1">
      <c r="E791" s="4"/>
      <c r="F791" s="4"/>
      <c r="G791" s="4"/>
      <c r="H791" s="5"/>
      <c r="I791" s="146"/>
      <c r="K791" s="174"/>
      <c r="L791" s="5"/>
      <c r="T791" s="179"/>
    </row>
    <row r="792" ht="12.0" customHeight="1">
      <c r="E792" s="4"/>
      <c r="F792" s="4"/>
      <c r="G792" s="4"/>
      <c r="H792" s="5"/>
      <c r="I792" s="146"/>
      <c r="K792" s="174"/>
      <c r="L792" s="5"/>
      <c r="T792" s="179"/>
    </row>
    <row r="793" ht="12.0" customHeight="1">
      <c r="E793" s="4"/>
      <c r="F793" s="4"/>
      <c r="G793" s="4"/>
      <c r="H793" s="5"/>
      <c r="I793" s="146"/>
      <c r="K793" s="174"/>
      <c r="L793" s="5"/>
      <c r="T793" s="179"/>
    </row>
    <row r="794" ht="12.0" customHeight="1">
      <c r="E794" s="4"/>
      <c r="F794" s="4"/>
      <c r="G794" s="4"/>
      <c r="H794" s="5"/>
      <c r="I794" s="146"/>
      <c r="K794" s="174"/>
      <c r="L794" s="5"/>
      <c r="T794" s="179"/>
    </row>
    <row r="795" ht="12.0" customHeight="1">
      <c r="E795" s="4"/>
      <c r="F795" s="4"/>
      <c r="G795" s="4"/>
      <c r="H795" s="5"/>
      <c r="I795" s="146"/>
      <c r="K795" s="174"/>
      <c r="L795" s="5"/>
      <c r="T795" s="179"/>
    </row>
    <row r="796" ht="12.0" customHeight="1">
      <c r="E796" s="4"/>
      <c r="F796" s="4"/>
      <c r="G796" s="4"/>
      <c r="H796" s="5"/>
      <c r="I796" s="146"/>
      <c r="K796" s="174"/>
      <c r="L796" s="5"/>
      <c r="T796" s="179"/>
    </row>
    <row r="797" ht="12.0" customHeight="1">
      <c r="E797" s="4"/>
      <c r="F797" s="4"/>
      <c r="G797" s="4"/>
      <c r="H797" s="5"/>
      <c r="I797" s="146"/>
      <c r="K797" s="174"/>
      <c r="L797" s="5"/>
      <c r="T797" s="179"/>
    </row>
    <row r="798" ht="12.0" customHeight="1">
      <c r="E798" s="4"/>
      <c r="F798" s="4"/>
      <c r="G798" s="4"/>
      <c r="H798" s="5"/>
      <c r="I798" s="146"/>
      <c r="K798" s="174"/>
      <c r="L798" s="5"/>
      <c r="T798" s="179"/>
    </row>
    <row r="799" ht="12.0" customHeight="1">
      <c r="E799" s="4"/>
      <c r="F799" s="4"/>
      <c r="G799" s="4"/>
      <c r="H799" s="5"/>
      <c r="I799" s="146"/>
      <c r="K799" s="174"/>
      <c r="L799" s="5"/>
      <c r="T799" s="179"/>
    </row>
    <row r="800" ht="12.0" customHeight="1">
      <c r="E800" s="4"/>
      <c r="F800" s="4"/>
      <c r="G800" s="4"/>
      <c r="H800" s="5"/>
      <c r="I800" s="146"/>
      <c r="K800" s="174"/>
      <c r="L800" s="5"/>
      <c r="T800" s="179"/>
    </row>
    <row r="801" ht="12.0" customHeight="1">
      <c r="E801" s="4"/>
      <c r="F801" s="4"/>
      <c r="G801" s="4"/>
      <c r="H801" s="5"/>
      <c r="I801" s="146"/>
      <c r="K801" s="174"/>
      <c r="L801" s="5"/>
      <c r="T801" s="179"/>
    </row>
    <row r="802" ht="12.0" customHeight="1">
      <c r="E802" s="4"/>
      <c r="F802" s="4"/>
      <c r="G802" s="4"/>
      <c r="H802" s="5"/>
      <c r="I802" s="146"/>
      <c r="K802" s="174"/>
      <c r="L802" s="5"/>
      <c r="T802" s="179"/>
    </row>
    <row r="803" ht="12.0" customHeight="1">
      <c r="E803" s="4"/>
      <c r="F803" s="4"/>
      <c r="G803" s="4"/>
      <c r="H803" s="5"/>
      <c r="I803" s="146"/>
      <c r="K803" s="174"/>
      <c r="L803" s="5"/>
      <c r="T803" s="179"/>
    </row>
    <row r="804" ht="12.0" customHeight="1">
      <c r="E804" s="4"/>
      <c r="F804" s="4"/>
      <c r="G804" s="4"/>
      <c r="H804" s="5"/>
      <c r="I804" s="146"/>
      <c r="K804" s="174"/>
      <c r="L804" s="5"/>
      <c r="T804" s="179"/>
    </row>
    <row r="805" ht="12.0" customHeight="1">
      <c r="E805" s="4"/>
      <c r="F805" s="4"/>
      <c r="G805" s="4"/>
      <c r="H805" s="5"/>
      <c r="I805" s="146"/>
      <c r="K805" s="174"/>
      <c r="L805" s="5"/>
      <c r="T805" s="179"/>
    </row>
    <row r="806" ht="12.0" customHeight="1">
      <c r="E806" s="4"/>
      <c r="F806" s="4"/>
      <c r="G806" s="4"/>
      <c r="H806" s="5"/>
      <c r="I806" s="146"/>
      <c r="K806" s="174"/>
      <c r="L806" s="5"/>
      <c r="T806" s="179"/>
    </row>
    <row r="807" ht="12.0" customHeight="1">
      <c r="E807" s="4"/>
      <c r="F807" s="4"/>
      <c r="G807" s="4"/>
      <c r="H807" s="5"/>
      <c r="I807" s="146"/>
      <c r="K807" s="174"/>
      <c r="L807" s="5"/>
      <c r="T807" s="179"/>
    </row>
    <row r="808" ht="12.0" customHeight="1">
      <c r="E808" s="4"/>
      <c r="F808" s="4"/>
      <c r="G808" s="4"/>
      <c r="H808" s="5"/>
      <c r="I808" s="146"/>
      <c r="K808" s="174"/>
      <c r="L808" s="5"/>
      <c r="T808" s="179"/>
    </row>
    <row r="809" ht="12.0" customHeight="1">
      <c r="E809" s="4"/>
      <c r="F809" s="4"/>
      <c r="G809" s="4"/>
      <c r="H809" s="5"/>
      <c r="I809" s="146"/>
      <c r="K809" s="174"/>
      <c r="L809" s="5"/>
      <c r="T809" s="179"/>
    </row>
    <row r="810" ht="12.0" customHeight="1">
      <c r="E810" s="4"/>
      <c r="F810" s="4"/>
      <c r="G810" s="4"/>
      <c r="H810" s="5"/>
      <c r="I810" s="146"/>
      <c r="K810" s="174"/>
      <c r="L810" s="5"/>
      <c r="T810" s="179"/>
    </row>
    <row r="811" ht="12.0" customHeight="1">
      <c r="E811" s="4"/>
      <c r="F811" s="4"/>
      <c r="G811" s="4"/>
      <c r="H811" s="5"/>
      <c r="I811" s="146"/>
      <c r="K811" s="174"/>
      <c r="L811" s="5"/>
      <c r="T811" s="179"/>
    </row>
    <row r="812" ht="12.0" customHeight="1">
      <c r="E812" s="4"/>
      <c r="F812" s="4"/>
      <c r="G812" s="4"/>
      <c r="H812" s="5"/>
      <c r="I812" s="146"/>
      <c r="K812" s="174"/>
      <c r="L812" s="5"/>
      <c r="T812" s="179"/>
    </row>
    <row r="813" ht="12.0" customHeight="1">
      <c r="E813" s="4"/>
      <c r="F813" s="4"/>
      <c r="G813" s="4"/>
      <c r="H813" s="5"/>
      <c r="I813" s="146"/>
      <c r="K813" s="174"/>
      <c r="L813" s="5"/>
      <c r="T813" s="179"/>
    </row>
    <row r="814" ht="12.0" customHeight="1">
      <c r="E814" s="4"/>
      <c r="F814" s="4"/>
      <c r="G814" s="4"/>
      <c r="H814" s="5"/>
      <c r="I814" s="146"/>
      <c r="K814" s="174"/>
      <c r="L814" s="5"/>
      <c r="T814" s="179"/>
    </row>
    <row r="815" ht="12.0" customHeight="1">
      <c r="E815" s="4"/>
      <c r="F815" s="4"/>
      <c r="G815" s="4"/>
      <c r="H815" s="5"/>
      <c r="I815" s="146"/>
      <c r="K815" s="174"/>
      <c r="L815" s="5"/>
      <c r="T815" s="179"/>
    </row>
    <row r="816" ht="12.0" customHeight="1">
      <c r="E816" s="4"/>
      <c r="F816" s="4"/>
      <c r="G816" s="4"/>
      <c r="H816" s="5"/>
      <c r="I816" s="146"/>
      <c r="K816" s="174"/>
      <c r="L816" s="5"/>
      <c r="T816" s="179"/>
    </row>
    <row r="817" ht="12.0" customHeight="1">
      <c r="E817" s="4"/>
      <c r="F817" s="4"/>
      <c r="G817" s="4"/>
      <c r="H817" s="5"/>
      <c r="I817" s="146"/>
      <c r="K817" s="174"/>
      <c r="L817" s="5"/>
      <c r="T817" s="179"/>
    </row>
    <row r="818" ht="12.0" customHeight="1">
      <c r="E818" s="4"/>
      <c r="F818" s="4"/>
      <c r="G818" s="4"/>
      <c r="H818" s="5"/>
      <c r="I818" s="146"/>
      <c r="K818" s="174"/>
      <c r="L818" s="5"/>
      <c r="T818" s="179"/>
    </row>
    <row r="819" ht="12.0" customHeight="1">
      <c r="E819" s="4"/>
      <c r="F819" s="4"/>
      <c r="G819" s="4"/>
      <c r="H819" s="5"/>
      <c r="I819" s="146"/>
      <c r="K819" s="174"/>
      <c r="L819" s="5"/>
      <c r="T819" s="179"/>
    </row>
    <row r="820" ht="12.0" customHeight="1">
      <c r="E820" s="4"/>
      <c r="F820" s="4"/>
      <c r="G820" s="4"/>
      <c r="H820" s="5"/>
      <c r="I820" s="146"/>
      <c r="K820" s="174"/>
      <c r="L820" s="5"/>
      <c r="T820" s="179"/>
    </row>
    <row r="821" ht="12.0" customHeight="1">
      <c r="E821" s="4"/>
      <c r="F821" s="4"/>
      <c r="G821" s="4"/>
      <c r="H821" s="5"/>
      <c r="I821" s="146"/>
      <c r="K821" s="174"/>
      <c r="L821" s="5"/>
      <c r="T821" s="179"/>
    </row>
    <row r="822" ht="12.0" customHeight="1">
      <c r="E822" s="4"/>
      <c r="F822" s="4"/>
      <c r="G822" s="4"/>
      <c r="H822" s="5"/>
      <c r="I822" s="146"/>
      <c r="K822" s="174"/>
      <c r="L822" s="5"/>
      <c r="T822" s="179"/>
    </row>
    <row r="823" ht="12.0" customHeight="1">
      <c r="E823" s="4"/>
      <c r="F823" s="4"/>
      <c r="G823" s="4"/>
      <c r="H823" s="5"/>
      <c r="I823" s="146"/>
      <c r="K823" s="174"/>
      <c r="L823" s="5"/>
      <c r="T823" s="179"/>
    </row>
    <row r="824" ht="12.0" customHeight="1">
      <c r="E824" s="4"/>
      <c r="F824" s="4"/>
      <c r="G824" s="4"/>
      <c r="H824" s="5"/>
      <c r="I824" s="146"/>
      <c r="K824" s="174"/>
      <c r="L824" s="5"/>
      <c r="T824" s="179"/>
    </row>
    <row r="825" ht="12.0" customHeight="1">
      <c r="E825" s="4"/>
      <c r="F825" s="4"/>
      <c r="G825" s="4"/>
      <c r="H825" s="5"/>
      <c r="I825" s="146"/>
      <c r="K825" s="174"/>
      <c r="L825" s="5"/>
      <c r="T825" s="179"/>
    </row>
    <row r="826" ht="12.0" customHeight="1">
      <c r="E826" s="4"/>
      <c r="F826" s="4"/>
      <c r="G826" s="4"/>
      <c r="H826" s="5"/>
      <c r="I826" s="146"/>
      <c r="K826" s="174"/>
      <c r="L826" s="5"/>
      <c r="T826" s="179"/>
    </row>
    <row r="827" ht="12.0" customHeight="1">
      <c r="E827" s="4"/>
      <c r="F827" s="4"/>
      <c r="G827" s="4"/>
      <c r="H827" s="5"/>
      <c r="I827" s="146"/>
      <c r="K827" s="174"/>
      <c r="L827" s="5"/>
      <c r="T827" s="179"/>
    </row>
    <row r="828" ht="12.0" customHeight="1">
      <c r="E828" s="4"/>
      <c r="F828" s="4"/>
      <c r="G828" s="4"/>
      <c r="H828" s="5"/>
      <c r="I828" s="146"/>
      <c r="K828" s="174"/>
      <c r="L828" s="5"/>
      <c r="T828" s="179"/>
    </row>
    <row r="829" ht="12.0" customHeight="1">
      <c r="E829" s="4"/>
      <c r="F829" s="4"/>
      <c r="G829" s="4"/>
      <c r="H829" s="5"/>
      <c r="I829" s="146"/>
      <c r="K829" s="174"/>
      <c r="L829" s="5"/>
      <c r="T829" s="179"/>
    </row>
    <row r="830" ht="12.0" customHeight="1">
      <c r="E830" s="4"/>
      <c r="F830" s="4"/>
      <c r="G830" s="4"/>
      <c r="H830" s="5"/>
      <c r="I830" s="146"/>
      <c r="K830" s="174"/>
      <c r="L830" s="5"/>
      <c r="T830" s="179"/>
    </row>
    <row r="831" ht="12.0" customHeight="1">
      <c r="E831" s="4"/>
      <c r="F831" s="4"/>
      <c r="G831" s="4"/>
      <c r="H831" s="5"/>
      <c r="I831" s="146"/>
      <c r="K831" s="174"/>
      <c r="L831" s="5"/>
      <c r="T831" s="179"/>
    </row>
    <row r="832" ht="12.0" customHeight="1">
      <c r="E832" s="4"/>
      <c r="F832" s="4"/>
      <c r="G832" s="4"/>
      <c r="H832" s="5"/>
      <c r="I832" s="146"/>
      <c r="K832" s="174"/>
      <c r="L832" s="5"/>
      <c r="T832" s="179"/>
    </row>
    <row r="833" ht="12.0" customHeight="1">
      <c r="E833" s="4"/>
      <c r="F833" s="4"/>
      <c r="G833" s="4"/>
      <c r="H833" s="5"/>
      <c r="I833" s="146"/>
      <c r="K833" s="174"/>
      <c r="L833" s="5"/>
      <c r="T833" s="179"/>
    </row>
    <row r="834" ht="12.0" customHeight="1">
      <c r="E834" s="4"/>
      <c r="F834" s="4"/>
      <c r="G834" s="4"/>
      <c r="H834" s="5"/>
      <c r="I834" s="146"/>
      <c r="K834" s="174"/>
      <c r="L834" s="5"/>
      <c r="T834" s="179"/>
    </row>
    <row r="835" ht="12.0" customHeight="1">
      <c r="E835" s="4"/>
      <c r="F835" s="4"/>
      <c r="G835" s="4"/>
      <c r="H835" s="5"/>
      <c r="I835" s="146"/>
      <c r="K835" s="174"/>
      <c r="L835" s="5"/>
      <c r="T835" s="179"/>
    </row>
    <row r="836" ht="12.0" customHeight="1">
      <c r="E836" s="4"/>
      <c r="F836" s="4"/>
      <c r="G836" s="4"/>
      <c r="H836" s="5"/>
      <c r="I836" s="146"/>
      <c r="K836" s="174"/>
      <c r="L836" s="5"/>
      <c r="T836" s="179"/>
    </row>
    <row r="837" ht="12.0" customHeight="1">
      <c r="E837" s="4"/>
      <c r="F837" s="4"/>
      <c r="G837" s="4"/>
      <c r="H837" s="5"/>
      <c r="I837" s="146"/>
      <c r="K837" s="174"/>
      <c r="L837" s="5"/>
      <c r="T837" s="179"/>
    </row>
    <row r="838" ht="12.0" customHeight="1">
      <c r="E838" s="4"/>
      <c r="F838" s="4"/>
      <c r="G838" s="4"/>
      <c r="H838" s="5"/>
      <c r="I838" s="146"/>
      <c r="K838" s="174"/>
      <c r="L838" s="5"/>
      <c r="T838" s="179"/>
    </row>
    <row r="839" ht="12.0" customHeight="1">
      <c r="E839" s="4"/>
      <c r="F839" s="4"/>
      <c r="G839" s="4"/>
      <c r="H839" s="5"/>
      <c r="I839" s="146"/>
      <c r="K839" s="174"/>
      <c r="L839" s="5"/>
      <c r="T839" s="179"/>
    </row>
    <row r="840" ht="12.0" customHeight="1">
      <c r="E840" s="4"/>
      <c r="F840" s="4"/>
      <c r="G840" s="4"/>
      <c r="H840" s="5"/>
      <c r="I840" s="146"/>
      <c r="K840" s="174"/>
      <c r="L840" s="5"/>
      <c r="T840" s="179"/>
    </row>
    <row r="841" ht="12.0" customHeight="1">
      <c r="E841" s="4"/>
      <c r="F841" s="4"/>
      <c r="G841" s="4"/>
      <c r="H841" s="5"/>
      <c r="I841" s="146"/>
      <c r="K841" s="174"/>
      <c r="L841" s="5"/>
      <c r="T841" s="179"/>
    </row>
    <row r="842" ht="12.0" customHeight="1">
      <c r="E842" s="4"/>
      <c r="F842" s="4"/>
      <c r="G842" s="4"/>
      <c r="H842" s="5"/>
      <c r="I842" s="146"/>
      <c r="K842" s="174"/>
      <c r="L842" s="5"/>
      <c r="T842" s="179"/>
    </row>
    <row r="843" ht="12.0" customHeight="1">
      <c r="E843" s="4"/>
      <c r="F843" s="4"/>
      <c r="G843" s="4"/>
      <c r="H843" s="5"/>
      <c r="I843" s="146"/>
      <c r="K843" s="174"/>
      <c r="L843" s="5"/>
      <c r="T843" s="179"/>
    </row>
    <row r="844" ht="12.0" customHeight="1">
      <c r="E844" s="4"/>
      <c r="F844" s="4"/>
      <c r="G844" s="4"/>
      <c r="H844" s="5"/>
      <c r="I844" s="146"/>
      <c r="K844" s="174"/>
      <c r="L844" s="5"/>
      <c r="T844" s="179"/>
    </row>
    <row r="845" ht="12.0" customHeight="1">
      <c r="E845" s="4"/>
      <c r="F845" s="4"/>
      <c r="G845" s="4"/>
      <c r="H845" s="5"/>
      <c r="I845" s="146"/>
      <c r="K845" s="174"/>
      <c r="L845" s="5"/>
      <c r="T845" s="179"/>
    </row>
    <row r="846" ht="12.0" customHeight="1">
      <c r="E846" s="4"/>
      <c r="F846" s="4"/>
      <c r="G846" s="4"/>
      <c r="H846" s="5"/>
      <c r="I846" s="146"/>
      <c r="K846" s="174"/>
      <c r="L846" s="5"/>
      <c r="T846" s="179"/>
    </row>
    <row r="847" ht="12.0" customHeight="1">
      <c r="E847" s="4"/>
      <c r="F847" s="4"/>
      <c r="G847" s="4"/>
      <c r="H847" s="5"/>
      <c r="I847" s="146"/>
      <c r="K847" s="174"/>
      <c r="L847" s="5"/>
      <c r="T847" s="179"/>
    </row>
    <row r="848" ht="12.0" customHeight="1">
      <c r="E848" s="4"/>
      <c r="F848" s="4"/>
      <c r="G848" s="4"/>
      <c r="H848" s="5"/>
      <c r="I848" s="146"/>
      <c r="K848" s="174"/>
      <c r="L848" s="5"/>
      <c r="T848" s="179"/>
    </row>
    <row r="849" ht="12.0" customHeight="1">
      <c r="E849" s="4"/>
      <c r="F849" s="4"/>
      <c r="G849" s="4"/>
      <c r="H849" s="5"/>
      <c r="I849" s="146"/>
      <c r="K849" s="174"/>
      <c r="L849" s="5"/>
      <c r="T849" s="179"/>
    </row>
    <row r="850" ht="12.0" customHeight="1">
      <c r="E850" s="4"/>
      <c r="F850" s="4"/>
      <c r="G850" s="4"/>
      <c r="H850" s="5"/>
      <c r="I850" s="146"/>
      <c r="K850" s="174"/>
      <c r="L850" s="5"/>
      <c r="T850" s="179"/>
    </row>
    <row r="851" ht="12.0" customHeight="1">
      <c r="E851" s="4"/>
      <c r="F851" s="4"/>
      <c r="G851" s="4"/>
      <c r="H851" s="5"/>
      <c r="I851" s="146"/>
      <c r="K851" s="174"/>
      <c r="L851" s="5"/>
      <c r="T851" s="179"/>
    </row>
    <row r="852" ht="12.0" customHeight="1">
      <c r="E852" s="4"/>
      <c r="F852" s="4"/>
      <c r="G852" s="4"/>
      <c r="H852" s="5"/>
      <c r="I852" s="146"/>
      <c r="K852" s="174"/>
      <c r="L852" s="5"/>
      <c r="T852" s="179"/>
    </row>
    <row r="853" ht="12.0" customHeight="1">
      <c r="E853" s="4"/>
      <c r="F853" s="4"/>
      <c r="G853" s="4"/>
      <c r="H853" s="5"/>
      <c r="I853" s="146"/>
      <c r="K853" s="174"/>
      <c r="L853" s="5"/>
      <c r="T853" s="179"/>
    </row>
    <row r="854" ht="12.0" customHeight="1">
      <c r="E854" s="4"/>
      <c r="F854" s="4"/>
      <c r="G854" s="4"/>
      <c r="H854" s="5"/>
      <c r="I854" s="146"/>
      <c r="K854" s="174"/>
      <c r="L854" s="5"/>
      <c r="T854" s="179"/>
    </row>
    <row r="855" ht="12.0" customHeight="1">
      <c r="E855" s="4"/>
      <c r="F855" s="4"/>
      <c r="G855" s="4"/>
      <c r="H855" s="5"/>
      <c r="I855" s="146"/>
      <c r="K855" s="174"/>
      <c r="L855" s="5"/>
      <c r="T855" s="179"/>
    </row>
    <row r="856" ht="12.0" customHeight="1">
      <c r="E856" s="4"/>
      <c r="F856" s="4"/>
      <c r="G856" s="4"/>
      <c r="H856" s="5"/>
      <c r="I856" s="146"/>
      <c r="K856" s="174"/>
      <c r="L856" s="5"/>
      <c r="T856" s="179"/>
    </row>
    <row r="857" ht="12.0" customHeight="1">
      <c r="E857" s="4"/>
      <c r="F857" s="4"/>
      <c r="G857" s="4"/>
      <c r="H857" s="5"/>
      <c r="I857" s="146"/>
      <c r="K857" s="174"/>
      <c r="L857" s="5"/>
      <c r="T857" s="179"/>
    </row>
    <row r="858" ht="12.0" customHeight="1">
      <c r="E858" s="4"/>
      <c r="F858" s="4"/>
      <c r="G858" s="4"/>
      <c r="H858" s="5"/>
      <c r="I858" s="146"/>
      <c r="K858" s="174"/>
      <c r="L858" s="5"/>
      <c r="T858" s="179"/>
    </row>
    <row r="859" ht="12.0" customHeight="1">
      <c r="E859" s="4"/>
      <c r="F859" s="4"/>
      <c r="G859" s="4"/>
      <c r="H859" s="5"/>
      <c r="I859" s="146"/>
      <c r="K859" s="174"/>
      <c r="L859" s="5"/>
      <c r="T859" s="179"/>
    </row>
    <row r="860" ht="12.0" customHeight="1">
      <c r="E860" s="4"/>
      <c r="F860" s="4"/>
      <c r="G860" s="4"/>
      <c r="H860" s="5"/>
      <c r="I860" s="146"/>
      <c r="K860" s="174"/>
      <c r="L860" s="5"/>
      <c r="T860" s="179"/>
    </row>
    <row r="861" ht="12.0" customHeight="1">
      <c r="E861" s="4"/>
      <c r="F861" s="4"/>
      <c r="G861" s="4"/>
      <c r="H861" s="5"/>
      <c r="I861" s="146"/>
      <c r="K861" s="174"/>
      <c r="L861" s="5"/>
      <c r="T861" s="179"/>
    </row>
    <row r="862" ht="12.0" customHeight="1">
      <c r="E862" s="4"/>
      <c r="F862" s="4"/>
      <c r="G862" s="4"/>
      <c r="H862" s="5"/>
      <c r="I862" s="146"/>
      <c r="K862" s="174"/>
      <c r="L862" s="5"/>
      <c r="T862" s="179"/>
    </row>
    <row r="863" ht="12.0" customHeight="1">
      <c r="E863" s="4"/>
      <c r="F863" s="4"/>
      <c r="G863" s="4"/>
      <c r="H863" s="5"/>
      <c r="I863" s="146"/>
      <c r="K863" s="174"/>
      <c r="L863" s="5"/>
      <c r="T863" s="179"/>
    </row>
    <row r="864" ht="12.0" customHeight="1">
      <c r="E864" s="4"/>
      <c r="F864" s="4"/>
      <c r="G864" s="4"/>
      <c r="H864" s="5"/>
      <c r="I864" s="146"/>
      <c r="K864" s="174"/>
      <c r="L864" s="5"/>
      <c r="T864" s="179"/>
    </row>
    <row r="865" ht="12.0" customHeight="1">
      <c r="E865" s="4"/>
      <c r="F865" s="4"/>
      <c r="G865" s="4"/>
      <c r="H865" s="5"/>
      <c r="I865" s="146"/>
      <c r="K865" s="174"/>
      <c r="L865" s="5"/>
      <c r="T865" s="179"/>
    </row>
    <row r="866" ht="12.0" customHeight="1">
      <c r="E866" s="4"/>
      <c r="F866" s="4"/>
      <c r="G866" s="4"/>
      <c r="H866" s="5"/>
      <c r="I866" s="146"/>
      <c r="K866" s="174"/>
      <c r="L866" s="5"/>
      <c r="T866" s="179"/>
    </row>
    <row r="867" ht="12.0" customHeight="1">
      <c r="E867" s="4"/>
      <c r="F867" s="4"/>
      <c r="G867" s="4"/>
      <c r="H867" s="5"/>
      <c r="I867" s="146"/>
      <c r="K867" s="174"/>
      <c r="L867" s="5"/>
      <c r="T867" s="179"/>
    </row>
    <row r="868" ht="12.0" customHeight="1">
      <c r="E868" s="4"/>
      <c r="F868" s="4"/>
      <c r="G868" s="4"/>
      <c r="H868" s="5"/>
      <c r="I868" s="146"/>
      <c r="K868" s="174"/>
      <c r="L868" s="5"/>
      <c r="T868" s="179"/>
    </row>
    <row r="869" ht="12.0" customHeight="1">
      <c r="E869" s="4"/>
      <c r="F869" s="4"/>
      <c r="G869" s="4"/>
      <c r="H869" s="5"/>
      <c r="I869" s="146"/>
      <c r="K869" s="174"/>
      <c r="L869" s="5"/>
      <c r="T869" s="179"/>
    </row>
    <row r="870" ht="12.0" customHeight="1">
      <c r="E870" s="4"/>
      <c r="F870" s="4"/>
      <c r="G870" s="4"/>
      <c r="H870" s="5"/>
      <c r="I870" s="146"/>
      <c r="K870" s="174"/>
      <c r="L870" s="5"/>
      <c r="T870" s="179"/>
    </row>
    <row r="871" ht="12.0" customHeight="1">
      <c r="E871" s="4"/>
      <c r="F871" s="4"/>
      <c r="G871" s="4"/>
      <c r="H871" s="5"/>
      <c r="I871" s="146"/>
      <c r="K871" s="174"/>
      <c r="L871" s="5"/>
      <c r="T871" s="179"/>
    </row>
    <row r="872" ht="12.0" customHeight="1">
      <c r="E872" s="4"/>
      <c r="F872" s="4"/>
      <c r="G872" s="4"/>
      <c r="H872" s="5"/>
      <c r="I872" s="146"/>
      <c r="K872" s="174"/>
      <c r="L872" s="5"/>
      <c r="T872" s="179"/>
    </row>
    <row r="873" ht="12.0" customHeight="1">
      <c r="E873" s="4"/>
      <c r="F873" s="4"/>
      <c r="G873" s="4"/>
      <c r="H873" s="5"/>
      <c r="I873" s="146"/>
      <c r="K873" s="174"/>
      <c r="L873" s="5"/>
      <c r="T873" s="179"/>
    </row>
    <row r="874" ht="12.0" customHeight="1">
      <c r="E874" s="4"/>
      <c r="F874" s="4"/>
      <c r="G874" s="4"/>
      <c r="H874" s="5"/>
      <c r="I874" s="146"/>
      <c r="K874" s="174"/>
      <c r="L874" s="5"/>
      <c r="T874" s="179"/>
    </row>
    <row r="875" ht="12.0" customHeight="1">
      <c r="E875" s="4"/>
      <c r="F875" s="4"/>
      <c r="G875" s="4"/>
      <c r="H875" s="5"/>
      <c r="I875" s="146"/>
      <c r="K875" s="174"/>
      <c r="L875" s="5"/>
      <c r="T875" s="179"/>
    </row>
    <row r="876" ht="12.0" customHeight="1">
      <c r="E876" s="4"/>
      <c r="F876" s="4"/>
      <c r="G876" s="4"/>
      <c r="H876" s="5"/>
      <c r="I876" s="146"/>
      <c r="K876" s="174"/>
      <c r="L876" s="5"/>
      <c r="T876" s="179"/>
    </row>
    <row r="877" ht="12.0" customHeight="1">
      <c r="E877" s="4"/>
      <c r="F877" s="4"/>
      <c r="G877" s="4"/>
      <c r="H877" s="5"/>
      <c r="I877" s="146"/>
      <c r="K877" s="174"/>
      <c r="L877" s="5"/>
      <c r="T877" s="179"/>
    </row>
    <row r="878" ht="12.0" customHeight="1">
      <c r="E878" s="4"/>
      <c r="F878" s="4"/>
      <c r="G878" s="4"/>
      <c r="H878" s="5"/>
      <c r="I878" s="146"/>
      <c r="K878" s="174"/>
      <c r="L878" s="5"/>
      <c r="T878" s="179"/>
    </row>
    <row r="879" ht="12.0" customHeight="1">
      <c r="E879" s="4"/>
      <c r="F879" s="4"/>
      <c r="G879" s="4"/>
      <c r="H879" s="5"/>
      <c r="I879" s="146"/>
      <c r="K879" s="174"/>
      <c r="L879" s="5"/>
      <c r="T879" s="179"/>
    </row>
    <row r="880" ht="12.0" customHeight="1">
      <c r="E880" s="4"/>
      <c r="F880" s="4"/>
      <c r="G880" s="4"/>
      <c r="H880" s="5"/>
      <c r="I880" s="146"/>
      <c r="K880" s="174"/>
      <c r="L880" s="5"/>
      <c r="T880" s="179"/>
    </row>
    <row r="881" ht="12.0" customHeight="1">
      <c r="E881" s="4"/>
      <c r="F881" s="4"/>
      <c r="G881" s="4"/>
      <c r="H881" s="5"/>
      <c r="I881" s="146"/>
      <c r="K881" s="174"/>
      <c r="L881" s="5"/>
      <c r="T881" s="179"/>
    </row>
    <row r="882" ht="12.0" customHeight="1">
      <c r="E882" s="4"/>
      <c r="F882" s="4"/>
      <c r="G882" s="4"/>
      <c r="H882" s="5"/>
      <c r="I882" s="146"/>
      <c r="K882" s="174"/>
      <c r="L882" s="5"/>
      <c r="T882" s="179"/>
    </row>
    <row r="883" ht="12.0" customHeight="1">
      <c r="E883" s="4"/>
      <c r="F883" s="4"/>
      <c r="G883" s="4"/>
      <c r="H883" s="5"/>
      <c r="I883" s="146"/>
      <c r="K883" s="174"/>
      <c r="L883" s="5"/>
      <c r="T883" s="179"/>
    </row>
    <row r="884" ht="12.0" customHeight="1">
      <c r="E884" s="4"/>
      <c r="F884" s="4"/>
      <c r="G884" s="4"/>
      <c r="H884" s="5"/>
      <c r="I884" s="146"/>
      <c r="K884" s="174"/>
      <c r="L884" s="5"/>
      <c r="T884" s="179"/>
    </row>
    <row r="885" ht="12.0" customHeight="1">
      <c r="E885" s="4"/>
      <c r="F885" s="4"/>
      <c r="G885" s="4"/>
      <c r="H885" s="5"/>
      <c r="I885" s="146"/>
      <c r="K885" s="174"/>
      <c r="L885" s="5"/>
      <c r="T885" s="179"/>
    </row>
    <row r="886" ht="12.0" customHeight="1">
      <c r="E886" s="4"/>
      <c r="F886" s="4"/>
      <c r="G886" s="4"/>
      <c r="H886" s="5"/>
      <c r="I886" s="146"/>
      <c r="K886" s="174"/>
      <c r="L886" s="5"/>
      <c r="T886" s="179"/>
    </row>
    <row r="887" ht="12.0" customHeight="1">
      <c r="E887" s="4"/>
      <c r="F887" s="4"/>
      <c r="G887" s="4"/>
      <c r="H887" s="5"/>
      <c r="I887" s="146"/>
      <c r="K887" s="174"/>
      <c r="L887" s="5"/>
      <c r="T887" s="179"/>
    </row>
    <row r="888" ht="12.0" customHeight="1">
      <c r="E888" s="4"/>
      <c r="F888" s="4"/>
      <c r="G888" s="4"/>
      <c r="H888" s="5"/>
      <c r="I888" s="146"/>
      <c r="K888" s="174"/>
      <c r="L888" s="5"/>
      <c r="T888" s="179"/>
    </row>
    <row r="889" ht="12.0" customHeight="1">
      <c r="E889" s="4"/>
      <c r="F889" s="4"/>
      <c r="G889" s="4"/>
      <c r="H889" s="5"/>
      <c r="I889" s="146"/>
      <c r="K889" s="174"/>
      <c r="L889" s="5"/>
      <c r="T889" s="179"/>
    </row>
    <row r="890" ht="12.0" customHeight="1">
      <c r="E890" s="4"/>
      <c r="F890" s="4"/>
      <c r="G890" s="4"/>
      <c r="H890" s="5"/>
      <c r="I890" s="146"/>
      <c r="K890" s="174"/>
      <c r="L890" s="5"/>
      <c r="T890" s="179"/>
    </row>
    <row r="891" ht="12.0" customHeight="1">
      <c r="E891" s="4"/>
      <c r="F891" s="4"/>
      <c r="G891" s="4"/>
      <c r="H891" s="5"/>
      <c r="I891" s="146"/>
      <c r="K891" s="174"/>
      <c r="L891" s="5"/>
      <c r="T891" s="179"/>
    </row>
    <row r="892" ht="12.0" customHeight="1">
      <c r="E892" s="4"/>
      <c r="F892" s="4"/>
      <c r="G892" s="4"/>
      <c r="H892" s="5"/>
      <c r="I892" s="146"/>
      <c r="K892" s="174"/>
      <c r="L892" s="5"/>
      <c r="T892" s="179"/>
    </row>
    <row r="893" ht="12.0" customHeight="1">
      <c r="E893" s="4"/>
      <c r="F893" s="4"/>
      <c r="G893" s="4"/>
      <c r="H893" s="5"/>
      <c r="I893" s="146"/>
      <c r="K893" s="174"/>
      <c r="L893" s="5"/>
      <c r="T893" s="179"/>
    </row>
    <row r="894" ht="12.0" customHeight="1">
      <c r="E894" s="4"/>
      <c r="F894" s="4"/>
      <c r="G894" s="4"/>
      <c r="H894" s="5"/>
      <c r="I894" s="146"/>
      <c r="K894" s="174"/>
      <c r="L894" s="5"/>
      <c r="T894" s="179"/>
    </row>
    <row r="895" ht="12.0" customHeight="1">
      <c r="E895" s="4"/>
      <c r="F895" s="4"/>
      <c r="G895" s="4"/>
      <c r="H895" s="5"/>
      <c r="I895" s="146"/>
      <c r="K895" s="174"/>
      <c r="L895" s="5"/>
      <c r="T895" s="179"/>
    </row>
    <row r="896" ht="12.0" customHeight="1">
      <c r="E896" s="4"/>
      <c r="F896" s="4"/>
      <c r="G896" s="4"/>
      <c r="H896" s="5"/>
      <c r="I896" s="146"/>
      <c r="K896" s="174"/>
      <c r="L896" s="5"/>
      <c r="T896" s="179"/>
    </row>
    <row r="897" ht="12.0" customHeight="1">
      <c r="E897" s="4"/>
      <c r="F897" s="4"/>
      <c r="G897" s="4"/>
      <c r="H897" s="5"/>
      <c r="I897" s="146"/>
      <c r="K897" s="174"/>
      <c r="L897" s="5"/>
      <c r="T897" s="179"/>
    </row>
    <row r="898" ht="12.0" customHeight="1">
      <c r="E898" s="4"/>
      <c r="F898" s="4"/>
      <c r="G898" s="4"/>
      <c r="H898" s="5"/>
      <c r="I898" s="146"/>
      <c r="K898" s="174"/>
      <c r="L898" s="5"/>
      <c r="T898" s="179"/>
    </row>
    <row r="899" ht="12.0" customHeight="1">
      <c r="E899" s="4"/>
      <c r="F899" s="4"/>
      <c r="G899" s="4"/>
      <c r="H899" s="5"/>
      <c r="I899" s="146"/>
      <c r="K899" s="174"/>
      <c r="L899" s="5"/>
      <c r="T899" s="179"/>
    </row>
    <row r="900" ht="12.0" customHeight="1">
      <c r="E900" s="4"/>
      <c r="F900" s="4"/>
      <c r="G900" s="4"/>
      <c r="H900" s="5"/>
      <c r="I900" s="146"/>
      <c r="K900" s="174"/>
      <c r="L900" s="5"/>
      <c r="T900" s="179"/>
    </row>
    <row r="901" ht="12.0" customHeight="1">
      <c r="E901" s="4"/>
      <c r="F901" s="4"/>
      <c r="G901" s="4"/>
      <c r="H901" s="5"/>
      <c r="I901" s="146"/>
      <c r="K901" s="174"/>
      <c r="L901" s="5"/>
      <c r="T901" s="179"/>
    </row>
    <row r="902" ht="12.0" customHeight="1">
      <c r="E902" s="4"/>
      <c r="F902" s="4"/>
      <c r="G902" s="4"/>
      <c r="H902" s="5"/>
      <c r="I902" s="146"/>
      <c r="K902" s="174"/>
      <c r="L902" s="5"/>
      <c r="T902" s="179"/>
    </row>
    <row r="903" ht="12.0" customHeight="1">
      <c r="E903" s="4"/>
      <c r="F903" s="4"/>
      <c r="G903" s="4"/>
      <c r="H903" s="5"/>
      <c r="I903" s="146"/>
      <c r="K903" s="174"/>
      <c r="L903" s="5"/>
      <c r="T903" s="179"/>
    </row>
    <row r="904" ht="12.0" customHeight="1">
      <c r="E904" s="4"/>
      <c r="F904" s="4"/>
      <c r="G904" s="4"/>
      <c r="H904" s="5"/>
      <c r="I904" s="146"/>
      <c r="K904" s="174"/>
      <c r="L904" s="5"/>
      <c r="T904" s="179"/>
    </row>
    <row r="905" ht="12.0" customHeight="1">
      <c r="E905" s="4"/>
      <c r="F905" s="4"/>
      <c r="G905" s="4"/>
      <c r="H905" s="5"/>
      <c r="I905" s="146"/>
      <c r="K905" s="174"/>
      <c r="L905" s="5"/>
      <c r="T905" s="179"/>
    </row>
    <row r="906" ht="12.0" customHeight="1">
      <c r="E906" s="4"/>
      <c r="F906" s="4"/>
      <c r="G906" s="4"/>
      <c r="H906" s="5"/>
      <c r="I906" s="146"/>
      <c r="K906" s="174"/>
      <c r="L906" s="5"/>
      <c r="T906" s="179"/>
    </row>
    <row r="907" ht="12.0" customHeight="1">
      <c r="E907" s="4"/>
      <c r="F907" s="4"/>
      <c r="G907" s="4"/>
      <c r="H907" s="5"/>
      <c r="I907" s="146"/>
      <c r="K907" s="174"/>
      <c r="L907" s="5"/>
      <c r="T907" s="179"/>
    </row>
    <row r="908" ht="12.0" customHeight="1">
      <c r="E908" s="4"/>
      <c r="F908" s="4"/>
      <c r="G908" s="4"/>
      <c r="H908" s="5"/>
      <c r="I908" s="146"/>
      <c r="K908" s="174"/>
      <c r="L908" s="5"/>
      <c r="T908" s="179"/>
    </row>
    <row r="909" ht="12.0" customHeight="1">
      <c r="E909" s="4"/>
      <c r="F909" s="4"/>
      <c r="G909" s="4"/>
      <c r="H909" s="5"/>
      <c r="I909" s="146"/>
      <c r="K909" s="174"/>
      <c r="L909" s="5"/>
      <c r="T909" s="179"/>
    </row>
    <row r="910" ht="12.0" customHeight="1">
      <c r="E910" s="4"/>
      <c r="F910" s="4"/>
      <c r="G910" s="4"/>
      <c r="H910" s="5"/>
      <c r="I910" s="146"/>
      <c r="K910" s="174"/>
      <c r="L910" s="5"/>
      <c r="T910" s="179"/>
    </row>
    <row r="911" ht="12.0" customHeight="1">
      <c r="E911" s="4"/>
      <c r="F911" s="4"/>
      <c r="G911" s="4"/>
      <c r="H911" s="5"/>
      <c r="I911" s="146"/>
      <c r="K911" s="174"/>
      <c r="L911" s="5"/>
      <c r="T911" s="179"/>
    </row>
    <row r="912" ht="12.0" customHeight="1">
      <c r="E912" s="4"/>
      <c r="F912" s="4"/>
      <c r="G912" s="4"/>
      <c r="H912" s="5"/>
      <c r="I912" s="146"/>
      <c r="K912" s="174"/>
      <c r="L912" s="5"/>
      <c r="T912" s="179"/>
    </row>
    <row r="913" ht="12.0" customHeight="1">
      <c r="E913" s="4"/>
      <c r="F913" s="4"/>
      <c r="G913" s="4"/>
      <c r="H913" s="5"/>
      <c r="I913" s="146"/>
      <c r="K913" s="174"/>
      <c r="L913" s="5"/>
      <c r="T913" s="179"/>
    </row>
    <row r="914" ht="12.0" customHeight="1">
      <c r="E914" s="4"/>
      <c r="F914" s="4"/>
      <c r="G914" s="4"/>
      <c r="H914" s="5"/>
      <c r="I914" s="146"/>
      <c r="K914" s="174"/>
      <c r="L914" s="5"/>
      <c r="T914" s="179"/>
    </row>
    <row r="915" ht="12.0" customHeight="1">
      <c r="E915" s="4"/>
      <c r="F915" s="4"/>
      <c r="G915" s="4"/>
      <c r="H915" s="5"/>
      <c r="I915" s="146"/>
      <c r="K915" s="174"/>
      <c r="L915" s="5"/>
      <c r="T915" s="179"/>
    </row>
    <row r="916" ht="12.0" customHeight="1">
      <c r="E916" s="4"/>
      <c r="F916" s="4"/>
      <c r="G916" s="4"/>
      <c r="H916" s="5"/>
      <c r="I916" s="146"/>
      <c r="K916" s="174"/>
      <c r="L916" s="5"/>
      <c r="T916" s="179"/>
    </row>
    <row r="917" ht="12.0" customHeight="1">
      <c r="E917" s="4"/>
      <c r="F917" s="4"/>
      <c r="G917" s="4"/>
      <c r="H917" s="5"/>
      <c r="I917" s="146"/>
      <c r="K917" s="174"/>
      <c r="L917" s="5"/>
      <c r="T917" s="179"/>
    </row>
    <row r="918" ht="12.0" customHeight="1">
      <c r="E918" s="4"/>
      <c r="F918" s="4"/>
      <c r="G918" s="4"/>
      <c r="H918" s="5"/>
      <c r="I918" s="146"/>
      <c r="K918" s="174"/>
      <c r="L918" s="5"/>
      <c r="T918" s="179"/>
    </row>
    <row r="919" ht="12.0" customHeight="1">
      <c r="E919" s="4"/>
      <c r="F919" s="4"/>
      <c r="G919" s="4"/>
      <c r="H919" s="5"/>
      <c r="I919" s="146"/>
      <c r="K919" s="174"/>
      <c r="L919" s="5"/>
      <c r="T919" s="179"/>
    </row>
    <row r="920" ht="12.0" customHeight="1">
      <c r="E920" s="4"/>
      <c r="F920" s="4"/>
      <c r="G920" s="4"/>
      <c r="H920" s="5"/>
      <c r="I920" s="146"/>
      <c r="K920" s="174"/>
      <c r="L920" s="5"/>
      <c r="T920" s="179"/>
    </row>
    <row r="921" ht="12.0" customHeight="1">
      <c r="E921" s="4"/>
      <c r="F921" s="4"/>
      <c r="G921" s="4"/>
      <c r="H921" s="5"/>
      <c r="I921" s="146"/>
      <c r="K921" s="174"/>
      <c r="L921" s="5"/>
      <c r="T921" s="179"/>
    </row>
    <row r="922" ht="12.0" customHeight="1">
      <c r="E922" s="4"/>
      <c r="F922" s="4"/>
      <c r="G922" s="4"/>
      <c r="H922" s="5"/>
      <c r="I922" s="146"/>
      <c r="K922" s="174"/>
      <c r="L922" s="5"/>
      <c r="T922" s="179"/>
    </row>
    <row r="923" ht="12.0" customHeight="1">
      <c r="E923" s="4"/>
      <c r="F923" s="4"/>
      <c r="G923" s="4"/>
      <c r="H923" s="5"/>
      <c r="I923" s="146"/>
      <c r="K923" s="174"/>
      <c r="L923" s="5"/>
      <c r="T923" s="179"/>
    </row>
    <row r="924" ht="12.0" customHeight="1">
      <c r="E924" s="4"/>
      <c r="F924" s="4"/>
      <c r="G924" s="4"/>
      <c r="H924" s="5"/>
      <c r="I924" s="146"/>
      <c r="K924" s="174"/>
      <c r="L924" s="5"/>
      <c r="T924" s="179"/>
    </row>
    <row r="925" ht="12.0" customHeight="1">
      <c r="E925" s="4"/>
      <c r="F925" s="4"/>
      <c r="G925" s="4"/>
      <c r="H925" s="5"/>
      <c r="I925" s="146"/>
      <c r="K925" s="174"/>
      <c r="L925" s="5"/>
      <c r="T925" s="179"/>
    </row>
    <row r="926" ht="12.0" customHeight="1">
      <c r="E926" s="4"/>
      <c r="F926" s="4"/>
      <c r="G926" s="4"/>
      <c r="H926" s="5"/>
      <c r="I926" s="146"/>
      <c r="K926" s="174"/>
      <c r="L926" s="5"/>
      <c r="T926" s="179"/>
    </row>
    <row r="927" ht="12.0" customHeight="1">
      <c r="E927" s="4"/>
      <c r="F927" s="4"/>
      <c r="G927" s="4"/>
      <c r="H927" s="5"/>
      <c r="I927" s="146"/>
      <c r="K927" s="174"/>
      <c r="L927" s="5"/>
      <c r="T927" s="179"/>
    </row>
    <row r="928" ht="12.0" customHeight="1">
      <c r="E928" s="4"/>
      <c r="F928" s="4"/>
      <c r="G928" s="4"/>
      <c r="H928" s="5"/>
      <c r="I928" s="146"/>
      <c r="K928" s="174"/>
      <c r="L928" s="5"/>
      <c r="T928" s="179"/>
    </row>
    <row r="929" ht="12.0" customHeight="1">
      <c r="E929" s="4"/>
      <c r="F929" s="4"/>
      <c r="G929" s="4"/>
      <c r="H929" s="5"/>
      <c r="I929" s="146"/>
      <c r="K929" s="174"/>
      <c r="L929" s="5"/>
      <c r="T929" s="179"/>
    </row>
    <row r="930" ht="12.0" customHeight="1">
      <c r="E930" s="4"/>
      <c r="F930" s="4"/>
      <c r="G930" s="4"/>
      <c r="H930" s="5"/>
      <c r="I930" s="146"/>
      <c r="K930" s="174"/>
      <c r="L930" s="5"/>
      <c r="T930" s="179"/>
    </row>
    <row r="931" ht="12.0" customHeight="1">
      <c r="E931" s="4"/>
      <c r="F931" s="4"/>
      <c r="G931" s="4"/>
      <c r="H931" s="5"/>
      <c r="I931" s="146"/>
      <c r="K931" s="174"/>
      <c r="L931" s="5"/>
      <c r="T931" s="179"/>
    </row>
    <row r="932" ht="12.0" customHeight="1">
      <c r="E932" s="4"/>
      <c r="F932" s="4"/>
      <c r="G932" s="4"/>
      <c r="H932" s="5"/>
      <c r="I932" s="146"/>
      <c r="K932" s="174"/>
      <c r="L932" s="5"/>
      <c r="T932" s="179"/>
    </row>
    <row r="933" ht="12.0" customHeight="1">
      <c r="E933" s="4"/>
      <c r="F933" s="4"/>
      <c r="G933" s="4"/>
      <c r="H933" s="5"/>
      <c r="I933" s="146"/>
      <c r="K933" s="174"/>
      <c r="L933" s="5"/>
      <c r="T933" s="179"/>
    </row>
    <row r="934" ht="12.0" customHeight="1">
      <c r="E934" s="4"/>
      <c r="F934" s="4"/>
      <c r="G934" s="4"/>
      <c r="H934" s="5"/>
      <c r="I934" s="146"/>
      <c r="K934" s="174"/>
      <c r="L934" s="5"/>
      <c r="T934" s="179"/>
    </row>
    <row r="935" ht="12.0" customHeight="1">
      <c r="E935" s="4"/>
      <c r="F935" s="4"/>
      <c r="G935" s="4"/>
      <c r="H935" s="5"/>
      <c r="I935" s="146"/>
      <c r="K935" s="174"/>
      <c r="L935" s="5"/>
      <c r="T935" s="179"/>
    </row>
    <row r="936" ht="12.0" customHeight="1">
      <c r="E936" s="4"/>
      <c r="F936" s="4"/>
      <c r="G936" s="4"/>
      <c r="H936" s="5"/>
      <c r="I936" s="146"/>
      <c r="K936" s="174"/>
      <c r="L936" s="5"/>
      <c r="T936" s="179"/>
    </row>
    <row r="937" ht="12.0" customHeight="1">
      <c r="E937" s="4"/>
      <c r="F937" s="4"/>
      <c r="G937" s="4"/>
      <c r="H937" s="5"/>
      <c r="I937" s="146"/>
      <c r="K937" s="174"/>
      <c r="L937" s="5"/>
      <c r="T937" s="179"/>
    </row>
    <row r="938" ht="12.0" customHeight="1">
      <c r="E938" s="4"/>
      <c r="F938" s="4"/>
      <c r="G938" s="4"/>
      <c r="H938" s="5"/>
      <c r="I938" s="146"/>
      <c r="K938" s="174"/>
      <c r="L938" s="5"/>
      <c r="T938" s="179"/>
    </row>
    <row r="939" ht="12.0" customHeight="1">
      <c r="E939" s="4"/>
      <c r="F939" s="4"/>
      <c r="G939" s="4"/>
      <c r="H939" s="5"/>
      <c r="I939" s="146"/>
      <c r="K939" s="174"/>
      <c r="L939" s="5"/>
      <c r="T939" s="179"/>
    </row>
    <row r="940" ht="12.0" customHeight="1">
      <c r="E940" s="4"/>
      <c r="F940" s="4"/>
      <c r="G940" s="4"/>
      <c r="H940" s="5"/>
      <c r="I940" s="146"/>
      <c r="K940" s="174"/>
      <c r="L940" s="5"/>
      <c r="T940" s="179"/>
    </row>
    <row r="941" ht="12.0" customHeight="1">
      <c r="E941" s="4"/>
      <c r="F941" s="4"/>
      <c r="G941" s="4"/>
      <c r="H941" s="5"/>
      <c r="I941" s="146"/>
      <c r="K941" s="174"/>
      <c r="L941" s="5"/>
      <c r="T941" s="179"/>
    </row>
    <row r="942" ht="12.0" customHeight="1">
      <c r="E942" s="4"/>
      <c r="F942" s="4"/>
      <c r="G942" s="4"/>
      <c r="H942" s="5"/>
      <c r="I942" s="146"/>
      <c r="K942" s="174"/>
      <c r="L942" s="5"/>
      <c r="T942" s="179"/>
    </row>
    <row r="943" ht="12.0" customHeight="1">
      <c r="E943" s="4"/>
      <c r="F943" s="4"/>
      <c r="G943" s="4"/>
      <c r="H943" s="5"/>
      <c r="I943" s="146"/>
      <c r="K943" s="174"/>
      <c r="L943" s="5"/>
      <c r="T943" s="179"/>
    </row>
    <row r="944" ht="12.0" customHeight="1">
      <c r="E944" s="4"/>
      <c r="F944" s="4"/>
      <c r="G944" s="4"/>
      <c r="H944" s="5"/>
      <c r="I944" s="146"/>
      <c r="K944" s="174"/>
      <c r="L944" s="5"/>
      <c r="T944" s="179"/>
    </row>
    <row r="945" ht="12.0" customHeight="1">
      <c r="E945" s="4"/>
      <c r="F945" s="4"/>
      <c r="G945" s="4"/>
      <c r="H945" s="5"/>
      <c r="I945" s="146"/>
      <c r="K945" s="174"/>
      <c r="L945" s="5"/>
      <c r="T945" s="179"/>
    </row>
    <row r="946" ht="12.0" customHeight="1">
      <c r="E946" s="4"/>
      <c r="F946" s="4"/>
      <c r="G946" s="4"/>
      <c r="H946" s="5"/>
      <c r="I946" s="146"/>
      <c r="K946" s="174"/>
      <c r="L946" s="5"/>
      <c r="T946" s="179"/>
    </row>
    <row r="947" ht="12.0" customHeight="1">
      <c r="E947" s="4"/>
      <c r="F947" s="4"/>
      <c r="G947" s="4"/>
      <c r="H947" s="5"/>
      <c r="I947" s="146"/>
      <c r="K947" s="174"/>
      <c r="L947" s="5"/>
      <c r="T947" s="179"/>
    </row>
    <row r="948" ht="12.0" customHeight="1">
      <c r="E948" s="4"/>
      <c r="F948" s="4"/>
      <c r="G948" s="4"/>
      <c r="H948" s="5"/>
      <c r="I948" s="146"/>
      <c r="K948" s="174"/>
      <c r="L948" s="5"/>
      <c r="T948" s="179"/>
    </row>
    <row r="949" ht="12.0" customHeight="1">
      <c r="E949" s="4"/>
      <c r="F949" s="4"/>
      <c r="G949" s="4"/>
      <c r="H949" s="5"/>
      <c r="I949" s="146"/>
      <c r="K949" s="174"/>
      <c r="L949" s="5"/>
      <c r="T949" s="179"/>
    </row>
    <row r="950" ht="12.0" customHeight="1">
      <c r="E950" s="4"/>
      <c r="F950" s="4"/>
      <c r="G950" s="4"/>
      <c r="H950" s="5"/>
      <c r="I950" s="146"/>
      <c r="K950" s="174"/>
      <c r="L950" s="5"/>
      <c r="T950" s="179"/>
    </row>
    <row r="951" ht="12.0" customHeight="1">
      <c r="E951" s="4"/>
      <c r="F951" s="4"/>
      <c r="G951" s="4"/>
      <c r="H951" s="5"/>
      <c r="I951" s="146"/>
      <c r="K951" s="174"/>
      <c r="L951" s="5"/>
      <c r="T951" s="179"/>
    </row>
    <row r="952" ht="12.0" customHeight="1">
      <c r="E952" s="4"/>
      <c r="F952" s="4"/>
      <c r="G952" s="4"/>
      <c r="H952" s="5"/>
      <c r="I952" s="146"/>
      <c r="K952" s="174"/>
      <c r="L952" s="5"/>
      <c r="T952" s="179"/>
    </row>
    <row r="953" ht="12.0" customHeight="1">
      <c r="E953" s="4"/>
      <c r="F953" s="4"/>
      <c r="G953" s="4"/>
      <c r="H953" s="5"/>
      <c r="I953" s="146"/>
      <c r="K953" s="174"/>
      <c r="L953" s="5"/>
      <c r="T953" s="179"/>
    </row>
    <row r="954" ht="12.0" customHeight="1">
      <c r="E954" s="4"/>
      <c r="F954" s="4"/>
      <c r="G954" s="4"/>
      <c r="H954" s="5"/>
      <c r="I954" s="146"/>
      <c r="K954" s="174"/>
      <c r="L954" s="5"/>
      <c r="T954" s="179"/>
    </row>
    <row r="955" ht="12.0" customHeight="1">
      <c r="E955" s="4"/>
      <c r="F955" s="4"/>
      <c r="G955" s="4"/>
      <c r="H955" s="5"/>
      <c r="I955" s="146"/>
      <c r="K955" s="174"/>
      <c r="L955" s="5"/>
      <c r="T955" s="179"/>
    </row>
    <row r="956" ht="12.0" customHeight="1">
      <c r="E956" s="4"/>
      <c r="F956" s="4"/>
      <c r="G956" s="4"/>
      <c r="H956" s="5"/>
      <c r="I956" s="146"/>
      <c r="K956" s="174"/>
      <c r="L956" s="5"/>
      <c r="T956" s="179"/>
    </row>
    <row r="957" ht="12.0" customHeight="1">
      <c r="E957" s="4"/>
      <c r="F957" s="4"/>
      <c r="G957" s="4"/>
      <c r="H957" s="5"/>
      <c r="I957" s="146"/>
      <c r="K957" s="174"/>
      <c r="L957" s="5"/>
      <c r="T957" s="179"/>
    </row>
    <row r="958" ht="12.0" customHeight="1">
      <c r="E958" s="4"/>
      <c r="F958" s="4"/>
      <c r="G958" s="4"/>
      <c r="H958" s="5"/>
      <c r="I958" s="146"/>
      <c r="K958" s="174"/>
      <c r="L958" s="5"/>
      <c r="T958" s="179"/>
    </row>
    <row r="959" ht="12.0" customHeight="1">
      <c r="E959" s="4"/>
      <c r="F959" s="4"/>
      <c r="G959" s="4"/>
      <c r="H959" s="5"/>
      <c r="I959" s="146"/>
      <c r="K959" s="174"/>
      <c r="L959" s="5"/>
      <c r="T959" s="179"/>
    </row>
    <row r="960" ht="12.0" customHeight="1">
      <c r="E960" s="4"/>
      <c r="F960" s="4"/>
      <c r="G960" s="4"/>
      <c r="H960" s="5"/>
      <c r="I960" s="146"/>
      <c r="K960" s="174"/>
      <c r="L960" s="5"/>
      <c r="T960" s="179"/>
    </row>
    <row r="961" ht="12.0" customHeight="1">
      <c r="E961" s="4"/>
      <c r="F961" s="4"/>
      <c r="G961" s="4"/>
      <c r="H961" s="5"/>
      <c r="I961" s="146"/>
      <c r="K961" s="174"/>
      <c r="L961" s="5"/>
      <c r="T961" s="179"/>
    </row>
    <row r="962" ht="12.0" customHeight="1">
      <c r="E962" s="4"/>
      <c r="F962" s="4"/>
      <c r="G962" s="4"/>
      <c r="H962" s="5"/>
      <c r="I962" s="146"/>
      <c r="K962" s="174"/>
      <c r="L962" s="5"/>
      <c r="T962" s="179"/>
    </row>
    <row r="963" ht="12.0" customHeight="1">
      <c r="E963" s="4"/>
      <c r="F963" s="4"/>
      <c r="G963" s="4"/>
      <c r="H963" s="5"/>
      <c r="I963" s="146"/>
      <c r="K963" s="174"/>
      <c r="L963" s="5"/>
      <c r="T963" s="179"/>
    </row>
    <row r="964" ht="12.0" customHeight="1">
      <c r="E964" s="4"/>
      <c r="F964" s="4"/>
      <c r="G964" s="4"/>
      <c r="H964" s="5"/>
      <c r="I964" s="146"/>
      <c r="K964" s="174"/>
      <c r="L964" s="5"/>
      <c r="T964" s="179"/>
    </row>
    <row r="965" ht="12.0" customHeight="1">
      <c r="E965" s="4"/>
      <c r="F965" s="4"/>
      <c r="G965" s="4"/>
      <c r="H965" s="5"/>
      <c r="I965" s="146"/>
      <c r="K965" s="174"/>
      <c r="L965" s="5"/>
      <c r="T965" s="179"/>
    </row>
    <row r="966" ht="12.0" customHeight="1">
      <c r="E966" s="4"/>
      <c r="F966" s="4"/>
      <c r="G966" s="4"/>
      <c r="H966" s="5"/>
      <c r="I966" s="146"/>
      <c r="K966" s="174"/>
      <c r="L966" s="5"/>
      <c r="T966" s="179"/>
    </row>
    <row r="967" ht="12.0" customHeight="1">
      <c r="E967" s="4"/>
      <c r="F967" s="4"/>
      <c r="G967" s="4"/>
      <c r="H967" s="5"/>
      <c r="I967" s="146"/>
      <c r="K967" s="174"/>
      <c r="L967" s="5"/>
      <c r="T967" s="179"/>
    </row>
    <row r="968" ht="12.0" customHeight="1">
      <c r="E968" s="4"/>
      <c r="F968" s="4"/>
      <c r="G968" s="4"/>
      <c r="H968" s="5"/>
      <c r="I968" s="146"/>
      <c r="K968" s="174"/>
      <c r="L968" s="5"/>
      <c r="T968" s="179"/>
    </row>
    <row r="969" ht="12.0" customHeight="1">
      <c r="E969" s="4"/>
      <c r="F969" s="4"/>
      <c r="G969" s="4"/>
      <c r="H969" s="5"/>
      <c r="I969" s="146"/>
      <c r="K969" s="174"/>
      <c r="L969" s="5"/>
      <c r="T969" s="179"/>
    </row>
    <row r="970" ht="12.0" customHeight="1">
      <c r="E970" s="4"/>
      <c r="F970" s="4"/>
      <c r="G970" s="4"/>
      <c r="H970" s="5"/>
      <c r="I970" s="146"/>
      <c r="K970" s="174"/>
      <c r="L970" s="5"/>
      <c r="T970" s="179"/>
    </row>
    <row r="971" ht="12.0" customHeight="1">
      <c r="E971" s="4"/>
      <c r="F971" s="4"/>
      <c r="G971" s="4"/>
      <c r="H971" s="5"/>
      <c r="I971" s="146"/>
      <c r="K971" s="174"/>
      <c r="L971" s="5"/>
      <c r="T971" s="179"/>
    </row>
    <row r="972" ht="12.0" customHeight="1">
      <c r="E972" s="4"/>
      <c r="F972" s="4"/>
      <c r="G972" s="4"/>
      <c r="H972" s="5"/>
      <c r="I972" s="146"/>
      <c r="K972" s="174"/>
      <c r="L972" s="5"/>
      <c r="T972" s="179"/>
    </row>
    <row r="973" ht="12.0" customHeight="1">
      <c r="E973" s="4"/>
      <c r="F973" s="4"/>
      <c r="G973" s="4"/>
      <c r="H973" s="5"/>
      <c r="I973" s="146"/>
      <c r="K973" s="174"/>
      <c r="L973" s="5"/>
      <c r="T973" s="179"/>
    </row>
    <row r="974" ht="12.0" customHeight="1">
      <c r="E974" s="4"/>
      <c r="F974" s="4"/>
      <c r="G974" s="4"/>
      <c r="H974" s="5"/>
      <c r="I974" s="146"/>
      <c r="K974" s="174"/>
      <c r="L974" s="5"/>
      <c r="T974" s="179"/>
    </row>
    <row r="975" ht="12.0" customHeight="1">
      <c r="E975" s="4"/>
      <c r="F975" s="4"/>
      <c r="G975" s="4"/>
      <c r="H975" s="5"/>
      <c r="I975" s="146"/>
      <c r="K975" s="174"/>
      <c r="L975" s="5"/>
      <c r="T975" s="179"/>
    </row>
    <row r="976" ht="12.0" customHeight="1">
      <c r="E976" s="4"/>
      <c r="F976" s="4"/>
      <c r="G976" s="4"/>
      <c r="H976" s="5"/>
      <c r="I976" s="146"/>
      <c r="K976" s="174"/>
      <c r="L976" s="5"/>
      <c r="T976" s="179"/>
    </row>
    <row r="977" ht="12.0" customHeight="1">
      <c r="E977" s="4"/>
      <c r="F977" s="4"/>
      <c r="G977" s="4"/>
      <c r="H977" s="5"/>
      <c r="I977" s="146"/>
      <c r="K977" s="174"/>
      <c r="L977" s="5"/>
      <c r="T977" s="179"/>
    </row>
    <row r="978" ht="12.0" customHeight="1">
      <c r="E978" s="4"/>
      <c r="F978" s="4"/>
      <c r="G978" s="4"/>
      <c r="H978" s="5"/>
      <c r="I978" s="146"/>
      <c r="K978" s="174"/>
      <c r="L978" s="5"/>
      <c r="T978" s="179"/>
    </row>
    <row r="979" ht="12.0" customHeight="1">
      <c r="E979" s="4"/>
      <c r="F979" s="4"/>
      <c r="G979" s="4"/>
      <c r="H979" s="5"/>
      <c r="I979" s="146"/>
      <c r="K979" s="174"/>
      <c r="L979" s="5"/>
      <c r="T979" s="179"/>
    </row>
    <row r="980" ht="12.0" customHeight="1">
      <c r="E980" s="4"/>
      <c r="F980" s="4"/>
      <c r="G980" s="4"/>
      <c r="H980" s="5"/>
      <c r="I980" s="146"/>
      <c r="K980" s="174"/>
      <c r="L980" s="5"/>
      <c r="T980" s="179"/>
    </row>
    <row r="981" ht="12.0" customHeight="1">
      <c r="E981" s="4"/>
      <c r="F981" s="4"/>
      <c r="G981" s="4"/>
      <c r="H981" s="5"/>
      <c r="I981" s="146"/>
      <c r="K981" s="174"/>
      <c r="L981" s="5"/>
      <c r="T981" s="179"/>
    </row>
    <row r="982" ht="12.0" customHeight="1">
      <c r="E982" s="4"/>
      <c r="F982" s="4"/>
      <c r="G982" s="4"/>
      <c r="H982" s="5"/>
      <c r="I982" s="146"/>
      <c r="K982" s="174"/>
      <c r="L982" s="5"/>
      <c r="T982" s="179"/>
    </row>
    <row r="983" ht="12.0" customHeight="1">
      <c r="E983" s="4"/>
      <c r="F983" s="4"/>
      <c r="G983" s="4"/>
      <c r="H983" s="5"/>
      <c r="I983" s="146"/>
      <c r="K983" s="174"/>
      <c r="L983" s="5"/>
      <c r="T983" s="179"/>
    </row>
    <row r="984" ht="12.0" customHeight="1">
      <c r="E984" s="4"/>
      <c r="F984" s="4"/>
      <c r="G984" s="4"/>
      <c r="H984" s="5"/>
      <c r="I984" s="146"/>
      <c r="K984" s="174"/>
      <c r="L984" s="5"/>
      <c r="T984" s="179"/>
    </row>
    <row r="985" ht="12.0" customHeight="1">
      <c r="E985" s="4"/>
      <c r="F985" s="4"/>
      <c r="G985" s="4"/>
      <c r="H985" s="5"/>
      <c r="I985" s="146"/>
      <c r="K985" s="174"/>
      <c r="L985" s="5"/>
      <c r="T985" s="179"/>
    </row>
    <row r="986" ht="12.0" customHeight="1">
      <c r="E986" s="4"/>
      <c r="F986" s="4"/>
      <c r="G986" s="4"/>
      <c r="H986" s="5"/>
      <c r="I986" s="146"/>
      <c r="K986" s="174"/>
      <c r="L986" s="5"/>
      <c r="T986" s="179"/>
    </row>
    <row r="987" ht="12.0" customHeight="1">
      <c r="E987" s="4"/>
      <c r="F987" s="4"/>
      <c r="G987" s="4"/>
      <c r="H987" s="5"/>
      <c r="I987" s="146"/>
      <c r="K987" s="174"/>
      <c r="L987" s="5"/>
      <c r="T987" s="179"/>
    </row>
    <row r="988" ht="12.0" customHeight="1">
      <c r="E988" s="4"/>
      <c r="F988" s="4"/>
      <c r="G988" s="4"/>
      <c r="H988" s="5"/>
      <c r="I988" s="146"/>
      <c r="K988" s="174"/>
      <c r="L988" s="5"/>
      <c r="T988" s="179"/>
    </row>
    <row r="989" ht="12.0" customHeight="1">
      <c r="E989" s="4"/>
      <c r="F989" s="4"/>
      <c r="G989" s="4"/>
      <c r="H989" s="5"/>
      <c r="I989" s="146"/>
      <c r="K989" s="174"/>
      <c r="L989" s="5"/>
      <c r="T989" s="179"/>
    </row>
    <row r="990" ht="12.0" customHeight="1">
      <c r="E990" s="4"/>
      <c r="F990" s="4"/>
      <c r="G990" s="4"/>
      <c r="H990" s="5"/>
      <c r="I990" s="146"/>
      <c r="K990" s="174"/>
      <c r="L990" s="5"/>
      <c r="T990" s="179"/>
    </row>
    <row r="991" ht="12.0" customHeight="1">
      <c r="E991" s="4"/>
      <c r="F991" s="4"/>
      <c r="G991" s="4"/>
      <c r="H991" s="5"/>
      <c r="I991" s="146"/>
      <c r="K991" s="174"/>
      <c r="L991" s="5"/>
      <c r="T991" s="179"/>
    </row>
    <row r="992" ht="12.0" customHeight="1">
      <c r="E992" s="4"/>
      <c r="F992" s="4"/>
      <c r="G992" s="4"/>
      <c r="H992" s="5"/>
      <c r="I992" s="146"/>
      <c r="K992" s="174"/>
      <c r="L992" s="5"/>
      <c r="T992" s="179"/>
    </row>
    <row r="993" ht="12.0" customHeight="1">
      <c r="E993" s="4"/>
      <c r="F993" s="4"/>
      <c r="G993" s="4"/>
      <c r="H993" s="5"/>
      <c r="I993" s="146"/>
      <c r="K993" s="174"/>
      <c r="L993" s="5"/>
      <c r="T993" s="179"/>
    </row>
    <row r="994" ht="12.0" customHeight="1">
      <c r="E994" s="4"/>
      <c r="F994" s="4"/>
      <c r="G994" s="4"/>
      <c r="H994" s="5"/>
      <c r="I994" s="146"/>
      <c r="K994" s="174"/>
      <c r="L994" s="5"/>
      <c r="T994" s="179"/>
    </row>
    <row r="995" ht="12.0" customHeight="1">
      <c r="E995" s="4"/>
      <c r="F995" s="4"/>
      <c r="G995" s="4"/>
      <c r="H995" s="5"/>
      <c r="I995" s="146"/>
      <c r="K995" s="174"/>
      <c r="L995" s="5"/>
      <c r="T995" s="179"/>
    </row>
    <row r="996" ht="12.0" customHeight="1">
      <c r="E996" s="4"/>
      <c r="F996" s="4"/>
      <c r="G996" s="4"/>
      <c r="H996" s="5"/>
      <c r="I996" s="146"/>
      <c r="K996" s="174"/>
      <c r="L996" s="5"/>
      <c r="T996" s="179"/>
    </row>
    <row r="997" ht="12.0" customHeight="1">
      <c r="E997" s="4"/>
      <c r="F997" s="4"/>
      <c r="G997" s="4"/>
      <c r="H997" s="5"/>
      <c r="I997" s="146"/>
      <c r="K997" s="174"/>
      <c r="L997" s="5"/>
      <c r="T997" s="179"/>
    </row>
    <row r="998" ht="12.0" customHeight="1">
      <c r="E998" s="4"/>
      <c r="F998" s="4"/>
      <c r="G998" s="4"/>
      <c r="H998" s="5"/>
      <c r="I998" s="146"/>
      <c r="K998" s="174"/>
      <c r="L998" s="5"/>
      <c r="T998" s="179"/>
    </row>
    <row r="999" ht="12.0" customHeight="1">
      <c r="E999" s="4"/>
      <c r="F999" s="4"/>
      <c r="G999" s="4"/>
      <c r="H999" s="5"/>
      <c r="I999" s="146"/>
      <c r="K999" s="174"/>
      <c r="L999" s="5"/>
      <c r="T999" s="179"/>
    </row>
    <row r="1000" ht="12.0" customHeight="1">
      <c r="E1000" s="4"/>
      <c r="F1000" s="4"/>
      <c r="G1000" s="4"/>
      <c r="H1000" s="5"/>
      <c r="I1000" s="146"/>
      <c r="K1000" s="174"/>
      <c r="L1000" s="5"/>
      <c r="T1000" s="179"/>
    </row>
  </sheetData>
  <mergeCells count="5">
    <mergeCell ref="C2:D2"/>
    <mergeCell ref="C3:D3"/>
    <mergeCell ref="C4:D4"/>
    <mergeCell ref="C5:D5"/>
    <mergeCell ref="C6:D6"/>
  </mergeCells>
  <conditionalFormatting sqref="M9:S27 M52:T368">
    <cfRule type="expression" dxfId="5" priority="1">
      <formula>$N9=DATE(YEAR(NOW()),MONTH(NOW()),1)</formula>
    </cfRule>
  </conditionalFormatting>
  <conditionalFormatting sqref="T9:T27">
    <cfRule type="expression" dxfId="5" priority="2">
      <formula>$N9=DATE(YEAR(NOW()),MONTH(NOW()),1)</formula>
    </cfRule>
  </conditionalFormatting>
  <conditionalFormatting sqref="M40:S40 Q41:R49">
    <cfRule type="expression" dxfId="5" priority="3">
      <formula>$N40=DATE(YEAR(NOW()),MONTH(NOW()),1)</formula>
    </cfRule>
  </conditionalFormatting>
  <conditionalFormatting sqref="T40">
    <cfRule type="expression" dxfId="5" priority="4">
      <formula>$N40=DATE(YEAR(NOW()),MONTH(NOW()),1)</formula>
    </cfRule>
  </conditionalFormatting>
  <conditionalFormatting sqref="M41:P49 M50:S51 S41:S49">
    <cfRule type="expression" dxfId="5" priority="5">
      <formula>$N41=DATE(YEAR(NOW()),MONTH(NOW()),1)</formula>
    </cfRule>
  </conditionalFormatting>
  <conditionalFormatting sqref="T41:T51">
    <cfRule type="expression" dxfId="5" priority="6">
      <formula>$N41=DATE(YEAR(NOW()),MONTH(NOW()),1)</formula>
    </cfRule>
  </conditionalFormatting>
  <conditionalFormatting sqref="M28:S39">
    <cfRule type="expression" dxfId="5" priority="7">
      <formula>$N28=DATE(YEAR(NOW()),MONTH(NOW()),1)</formula>
    </cfRule>
  </conditionalFormatting>
  <conditionalFormatting sqref="T28:T39">
    <cfRule type="expression" dxfId="5" priority="8">
      <formula>$N28=DATE(YEAR(NOW()),MONTH(NOW()),1)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4.43" defaultRowHeight="15.0"/>
  <cols>
    <col customWidth="1" min="1" max="2" width="1.0"/>
    <col customWidth="1" min="3" max="3" width="12.14"/>
    <col customWidth="1" min="4" max="4" width="8.43"/>
    <col customWidth="1" min="5" max="5" width="15.0"/>
    <col customWidth="1" min="6" max="6" width="10.14"/>
    <col customWidth="1" min="7" max="7" width="11.14"/>
    <col customWidth="1" min="8" max="8" width="13.14"/>
    <col customWidth="1" min="9" max="9" width="10.0"/>
    <col customWidth="1" min="10" max="26" width="9.0"/>
  </cols>
  <sheetData>
    <row r="1" ht="12.0" customHeight="1">
      <c r="A1" s="21" t="s">
        <v>86</v>
      </c>
      <c r="E1" s="4"/>
      <c r="F1" s="4"/>
      <c r="G1" s="4"/>
      <c r="H1" s="5"/>
      <c r="I1" s="146"/>
    </row>
    <row r="2" ht="12.0" customHeight="1">
      <c r="C2" s="226" t="s">
        <v>1004</v>
      </c>
      <c r="D2" s="181"/>
      <c r="E2" s="227">
        <v>1.1957322311050531E8</v>
      </c>
      <c r="F2" s="183"/>
      <c r="G2" s="183"/>
      <c r="H2" s="5"/>
      <c r="I2" s="146"/>
    </row>
    <row r="3" ht="12.0" customHeight="1">
      <c r="C3" s="228" t="s">
        <v>1006</v>
      </c>
      <c r="D3" s="189"/>
      <c r="E3" s="192">
        <v>0.0303</v>
      </c>
      <c r="F3" s="171"/>
      <c r="G3" s="171"/>
      <c r="H3" s="5"/>
      <c r="I3" s="146"/>
    </row>
    <row r="4" ht="12.0" customHeight="1">
      <c r="C4" s="228" t="s">
        <v>1047</v>
      </c>
      <c r="D4" s="189"/>
      <c r="E4" s="220">
        <v>319.0</v>
      </c>
      <c r="F4" s="4"/>
      <c r="G4" s="194"/>
      <c r="H4" s="5"/>
      <c r="I4" s="146"/>
    </row>
    <row r="5" ht="12.0" customHeight="1">
      <c r="C5" s="229" t="s">
        <v>1010</v>
      </c>
      <c r="D5" s="189"/>
      <c r="E5" s="199">
        <f>G9*E4-E2</f>
        <v>54695611</v>
      </c>
      <c r="F5" s="171"/>
      <c r="G5" s="171"/>
      <c r="H5" s="5"/>
      <c r="I5" s="146"/>
    </row>
    <row r="6" ht="12.0" customHeight="1">
      <c r="C6" s="230" t="s">
        <v>1012</v>
      </c>
      <c r="D6" s="201"/>
      <c r="E6" s="162">
        <f>G9</f>
        <v>546297.2856</v>
      </c>
      <c r="F6" s="171"/>
      <c r="G6" s="171"/>
      <c r="H6" s="5"/>
      <c r="I6" s="146"/>
    </row>
    <row r="7" ht="12.0" customHeight="1">
      <c r="E7" s="4"/>
      <c r="F7" s="4"/>
      <c r="G7" s="4"/>
      <c r="H7" s="5"/>
      <c r="I7" s="146"/>
    </row>
    <row r="8" ht="12.0" customHeight="1">
      <c r="C8" s="206" t="s">
        <v>1014</v>
      </c>
      <c r="D8" s="207" t="s">
        <v>1048</v>
      </c>
      <c r="E8" s="206" t="s">
        <v>1016</v>
      </c>
      <c r="F8" s="208" t="s">
        <v>1017</v>
      </c>
      <c r="G8" s="206" t="s">
        <v>1018</v>
      </c>
      <c r="H8" s="206" t="s">
        <v>11</v>
      </c>
      <c r="I8" s="206" t="s">
        <v>12</v>
      </c>
    </row>
    <row r="9" ht="12.0" customHeight="1">
      <c r="C9" s="222">
        <v>1.0</v>
      </c>
      <c r="D9" s="231">
        <f>360-E4+1</f>
        <v>42</v>
      </c>
      <c r="E9" s="222">
        <f t="shared" ref="E9:E330" si="2">IFERROR(ABS(PPMT($E$3/12,$C9,$E$4,$E$2)),0)</f>
        <v>244374.8973</v>
      </c>
      <c r="F9" s="222">
        <f t="shared" ref="F9:F330" si="3">IF(E9&gt;0,G9-E9,0)</f>
        <v>301922.3884</v>
      </c>
      <c r="G9" s="222">
        <f t="shared" ref="G9:G330" si="4">IF(E9&gt;0,$E$2*$E$3/12*(1+$E$3/12)^$E$4/((1+$E$3/12)^$E$4-1),0)</f>
        <v>546297.2856</v>
      </c>
      <c r="H9" s="224">
        <f>$E$2-E9</f>
        <v>119328848.2</v>
      </c>
      <c r="I9" s="222">
        <f t="shared" ref="I9:I330" si="5">$E$4-C9</f>
        <v>318</v>
      </c>
    </row>
    <row r="10" ht="12.0" customHeight="1">
      <c r="C10" s="222">
        <f t="shared" ref="C10:D10" si="1">C9+1</f>
        <v>2</v>
      </c>
      <c r="D10" s="231">
        <f t="shared" si="1"/>
        <v>43</v>
      </c>
      <c r="E10" s="222">
        <f t="shared" si="2"/>
        <v>244991.9439</v>
      </c>
      <c r="F10" s="222">
        <f t="shared" si="3"/>
        <v>301305.3417</v>
      </c>
      <c r="G10" s="222">
        <f t="shared" si="4"/>
        <v>546297.2856</v>
      </c>
      <c r="H10" s="224">
        <f t="shared" ref="H10:H330" si="7">H9-E10</f>
        <v>119083856.3</v>
      </c>
      <c r="I10" s="222">
        <f t="shared" si="5"/>
        <v>317</v>
      </c>
    </row>
    <row r="11" ht="12.0" customHeight="1">
      <c r="C11" s="222">
        <f t="shared" ref="C11:D11" si="6">C10+1</f>
        <v>3</v>
      </c>
      <c r="D11" s="231">
        <f t="shared" si="6"/>
        <v>44</v>
      </c>
      <c r="E11" s="222">
        <f t="shared" si="2"/>
        <v>245610.5485</v>
      </c>
      <c r="F11" s="222">
        <f t="shared" si="3"/>
        <v>300686.7371</v>
      </c>
      <c r="G11" s="222">
        <f t="shared" si="4"/>
        <v>546297.2856</v>
      </c>
      <c r="H11" s="224">
        <f t="shared" si="7"/>
        <v>118838245.7</v>
      </c>
      <c r="I11" s="222">
        <f t="shared" si="5"/>
        <v>316</v>
      </c>
    </row>
    <row r="12" ht="12.0" customHeight="1">
      <c r="C12" s="222">
        <f t="shared" ref="C12:D12" si="8">C11+1</f>
        <v>4</v>
      </c>
      <c r="D12" s="231">
        <f t="shared" si="8"/>
        <v>45</v>
      </c>
      <c r="E12" s="222">
        <f t="shared" si="2"/>
        <v>246230.7152</v>
      </c>
      <c r="F12" s="222">
        <f t="shared" si="3"/>
        <v>300066.5704</v>
      </c>
      <c r="G12" s="222">
        <f t="shared" si="4"/>
        <v>546297.2856</v>
      </c>
      <c r="H12" s="224">
        <f t="shared" si="7"/>
        <v>118592015</v>
      </c>
      <c r="I12" s="222">
        <f t="shared" si="5"/>
        <v>315</v>
      </c>
    </row>
    <row r="13" ht="12.0" customHeight="1">
      <c r="C13" s="222">
        <f t="shared" ref="C13:D13" si="9">C12+1</f>
        <v>5</v>
      </c>
      <c r="D13" s="231">
        <f t="shared" si="9"/>
        <v>46</v>
      </c>
      <c r="E13" s="222">
        <f t="shared" si="2"/>
        <v>246852.4477</v>
      </c>
      <c r="F13" s="222">
        <f t="shared" si="3"/>
        <v>299444.8379</v>
      </c>
      <c r="G13" s="222">
        <f t="shared" si="4"/>
        <v>546297.2856</v>
      </c>
      <c r="H13" s="224">
        <f t="shared" si="7"/>
        <v>118345162.6</v>
      </c>
      <c r="I13" s="222">
        <f t="shared" si="5"/>
        <v>314</v>
      </c>
    </row>
    <row r="14" ht="12.0" customHeight="1">
      <c r="C14" s="222">
        <f t="shared" ref="C14:D14" si="10">C13+1</f>
        <v>6</v>
      </c>
      <c r="D14" s="231">
        <f t="shared" si="10"/>
        <v>47</v>
      </c>
      <c r="E14" s="222">
        <f t="shared" si="2"/>
        <v>247475.7502</v>
      </c>
      <c r="F14" s="222">
        <f t="shared" si="3"/>
        <v>298821.5355</v>
      </c>
      <c r="G14" s="222">
        <f t="shared" si="4"/>
        <v>546297.2856</v>
      </c>
      <c r="H14" s="224">
        <f t="shared" si="7"/>
        <v>118097686.8</v>
      </c>
      <c r="I14" s="222">
        <f t="shared" si="5"/>
        <v>313</v>
      </c>
    </row>
    <row r="15" ht="12.0" customHeight="1">
      <c r="C15" s="222">
        <f t="shared" ref="C15:D15" si="11">C14+1</f>
        <v>7</v>
      </c>
      <c r="D15" s="231">
        <f t="shared" si="11"/>
        <v>48</v>
      </c>
      <c r="E15" s="222">
        <f t="shared" si="2"/>
        <v>248100.6264</v>
      </c>
      <c r="F15" s="222">
        <f t="shared" si="3"/>
        <v>298196.6592</v>
      </c>
      <c r="G15" s="222">
        <f t="shared" si="4"/>
        <v>546297.2856</v>
      </c>
      <c r="H15" s="224">
        <f t="shared" si="7"/>
        <v>117849586.2</v>
      </c>
      <c r="I15" s="222">
        <f t="shared" si="5"/>
        <v>312</v>
      </c>
    </row>
    <row r="16" ht="12.0" customHeight="1">
      <c r="C16" s="222">
        <f t="shared" ref="C16:D16" si="12">C15+1</f>
        <v>8</v>
      </c>
      <c r="D16" s="231">
        <f t="shared" si="12"/>
        <v>49</v>
      </c>
      <c r="E16" s="222">
        <f t="shared" si="2"/>
        <v>248727.0805</v>
      </c>
      <c r="F16" s="222">
        <f t="shared" si="3"/>
        <v>297570.2051</v>
      </c>
      <c r="G16" s="222">
        <f t="shared" si="4"/>
        <v>546297.2856</v>
      </c>
      <c r="H16" s="224">
        <f t="shared" si="7"/>
        <v>117600859.1</v>
      </c>
      <c r="I16" s="222">
        <f t="shared" si="5"/>
        <v>311</v>
      </c>
    </row>
    <row r="17" ht="12.0" customHeight="1">
      <c r="C17" s="222">
        <f t="shared" ref="C17:D17" si="13">C16+1</f>
        <v>9</v>
      </c>
      <c r="D17" s="231">
        <f t="shared" si="13"/>
        <v>50</v>
      </c>
      <c r="E17" s="222">
        <f t="shared" si="2"/>
        <v>249355.1164</v>
      </c>
      <c r="F17" s="222">
        <f t="shared" si="3"/>
        <v>296942.1692</v>
      </c>
      <c r="G17" s="222">
        <f t="shared" si="4"/>
        <v>546297.2856</v>
      </c>
      <c r="H17" s="224">
        <f t="shared" si="7"/>
        <v>117351504</v>
      </c>
      <c r="I17" s="222">
        <f t="shared" si="5"/>
        <v>310</v>
      </c>
    </row>
    <row r="18" ht="12.0" customHeight="1">
      <c r="C18" s="222">
        <f t="shared" ref="C18:D18" si="14">C17+1</f>
        <v>10</v>
      </c>
      <c r="D18" s="231">
        <f t="shared" si="14"/>
        <v>51</v>
      </c>
      <c r="E18" s="222">
        <f t="shared" si="2"/>
        <v>249984.7381</v>
      </c>
      <c r="F18" s="222">
        <f t="shared" si="3"/>
        <v>296312.5476</v>
      </c>
      <c r="G18" s="222">
        <f t="shared" si="4"/>
        <v>546297.2856</v>
      </c>
      <c r="H18" s="224">
        <f t="shared" si="7"/>
        <v>117101519.2</v>
      </c>
      <c r="I18" s="222">
        <f t="shared" si="5"/>
        <v>309</v>
      </c>
    </row>
    <row r="19" ht="12.0" customHeight="1">
      <c r="C19" s="222">
        <f t="shared" ref="C19:D19" si="15">C18+1</f>
        <v>11</v>
      </c>
      <c r="D19" s="231">
        <f t="shared" si="15"/>
        <v>52</v>
      </c>
      <c r="E19" s="222">
        <f t="shared" si="2"/>
        <v>250615.9495</v>
      </c>
      <c r="F19" s="222">
        <f t="shared" si="3"/>
        <v>295681.3361</v>
      </c>
      <c r="G19" s="222">
        <f t="shared" si="4"/>
        <v>546297.2856</v>
      </c>
      <c r="H19" s="224">
        <f t="shared" si="7"/>
        <v>116850903.3</v>
      </c>
      <c r="I19" s="222">
        <f t="shared" si="5"/>
        <v>308</v>
      </c>
    </row>
    <row r="20" ht="12.0" customHeight="1">
      <c r="C20" s="222">
        <f t="shared" ref="C20:D20" si="16">C19+1</f>
        <v>12</v>
      </c>
      <c r="D20" s="231">
        <f t="shared" si="16"/>
        <v>53</v>
      </c>
      <c r="E20" s="222">
        <f t="shared" si="2"/>
        <v>251248.7548</v>
      </c>
      <c r="F20" s="222">
        <f t="shared" si="3"/>
        <v>295048.5308</v>
      </c>
      <c r="G20" s="222">
        <f t="shared" si="4"/>
        <v>546297.2856</v>
      </c>
      <c r="H20" s="224">
        <f t="shared" si="7"/>
        <v>116599654.5</v>
      </c>
      <c r="I20" s="222">
        <f t="shared" si="5"/>
        <v>307</v>
      </c>
    </row>
    <row r="21" ht="12.0" customHeight="1">
      <c r="C21" s="222">
        <f t="shared" ref="C21:D21" si="17">C20+1</f>
        <v>13</v>
      </c>
      <c r="D21" s="231">
        <f t="shared" si="17"/>
        <v>54</v>
      </c>
      <c r="E21" s="222">
        <f t="shared" si="2"/>
        <v>251883.1579</v>
      </c>
      <c r="F21" s="222">
        <f t="shared" si="3"/>
        <v>294414.1277</v>
      </c>
      <c r="G21" s="222">
        <f t="shared" si="4"/>
        <v>546297.2856</v>
      </c>
      <c r="H21" s="224">
        <f t="shared" si="7"/>
        <v>116347771.4</v>
      </c>
      <c r="I21" s="222">
        <f t="shared" si="5"/>
        <v>306</v>
      </c>
    </row>
    <row r="22" ht="12.0" customHeight="1">
      <c r="C22" s="222">
        <f t="shared" ref="C22:D22" si="18">C21+1</f>
        <v>14</v>
      </c>
      <c r="D22" s="231">
        <f t="shared" si="18"/>
        <v>55</v>
      </c>
      <c r="E22" s="222">
        <f t="shared" si="2"/>
        <v>252519.1629</v>
      </c>
      <c r="F22" s="222">
        <f t="shared" si="3"/>
        <v>293778.1227</v>
      </c>
      <c r="G22" s="222">
        <f t="shared" si="4"/>
        <v>546297.2856</v>
      </c>
      <c r="H22" s="224">
        <f t="shared" si="7"/>
        <v>116095252.2</v>
      </c>
      <c r="I22" s="222">
        <f t="shared" si="5"/>
        <v>305</v>
      </c>
    </row>
    <row r="23" ht="12.0" customHeight="1">
      <c r="C23" s="222">
        <f t="shared" ref="C23:D23" si="19">C22+1</f>
        <v>15</v>
      </c>
      <c r="D23" s="231">
        <f t="shared" si="19"/>
        <v>56</v>
      </c>
      <c r="E23" s="222">
        <f t="shared" si="2"/>
        <v>253156.7738</v>
      </c>
      <c r="F23" s="222">
        <f t="shared" si="3"/>
        <v>293140.5119</v>
      </c>
      <c r="G23" s="222">
        <f t="shared" si="4"/>
        <v>546297.2856</v>
      </c>
      <c r="H23" s="224">
        <f t="shared" si="7"/>
        <v>115842095.4</v>
      </c>
      <c r="I23" s="222">
        <f t="shared" si="5"/>
        <v>304</v>
      </c>
    </row>
    <row r="24" ht="12.0" customHeight="1">
      <c r="C24" s="222">
        <f t="shared" ref="C24:D24" si="20">C23+1</f>
        <v>16</v>
      </c>
      <c r="D24" s="231">
        <f t="shared" si="20"/>
        <v>57</v>
      </c>
      <c r="E24" s="222">
        <f t="shared" si="2"/>
        <v>253795.9946</v>
      </c>
      <c r="F24" s="222">
        <f t="shared" si="3"/>
        <v>292501.291</v>
      </c>
      <c r="G24" s="222">
        <f t="shared" si="4"/>
        <v>546297.2856</v>
      </c>
      <c r="H24" s="224">
        <f t="shared" si="7"/>
        <v>115588299.5</v>
      </c>
      <c r="I24" s="222">
        <f t="shared" si="5"/>
        <v>303</v>
      </c>
    </row>
    <row r="25" ht="12.0" customHeight="1">
      <c r="C25" s="222">
        <f t="shared" ref="C25:D25" si="21">C24+1</f>
        <v>17</v>
      </c>
      <c r="D25" s="231">
        <f t="shared" si="21"/>
        <v>58</v>
      </c>
      <c r="E25" s="222">
        <f t="shared" si="2"/>
        <v>254436.8295</v>
      </c>
      <c r="F25" s="222">
        <f t="shared" si="3"/>
        <v>291860.4561</v>
      </c>
      <c r="G25" s="222">
        <f t="shared" si="4"/>
        <v>546297.2856</v>
      </c>
      <c r="H25" s="224">
        <f t="shared" si="7"/>
        <v>115333862.6</v>
      </c>
      <c r="I25" s="222">
        <f t="shared" si="5"/>
        <v>302</v>
      </c>
    </row>
    <row r="26" ht="12.0" customHeight="1">
      <c r="C26" s="222">
        <f t="shared" ref="C26:D26" si="22">C25+1</f>
        <v>18</v>
      </c>
      <c r="D26" s="231">
        <f t="shared" si="22"/>
        <v>59</v>
      </c>
      <c r="E26" s="222">
        <f t="shared" si="2"/>
        <v>255079.2825</v>
      </c>
      <c r="F26" s="222">
        <f t="shared" si="3"/>
        <v>291218.0031</v>
      </c>
      <c r="G26" s="222">
        <f t="shared" si="4"/>
        <v>546297.2856</v>
      </c>
      <c r="H26" s="224">
        <f t="shared" si="7"/>
        <v>115078783.3</v>
      </c>
      <c r="I26" s="222">
        <f t="shared" si="5"/>
        <v>301</v>
      </c>
    </row>
    <row r="27" ht="12.0" customHeight="1">
      <c r="C27" s="222">
        <f t="shared" ref="C27:D27" si="23">C26+1</f>
        <v>19</v>
      </c>
      <c r="D27" s="231">
        <f t="shared" si="23"/>
        <v>60</v>
      </c>
      <c r="E27" s="222">
        <f t="shared" si="2"/>
        <v>255723.3577</v>
      </c>
      <c r="F27" s="222">
        <f t="shared" si="3"/>
        <v>290573.9279</v>
      </c>
      <c r="G27" s="222">
        <f t="shared" si="4"/>
        <v>546297.2856</v>
      </c>
      <c r="H27" s="224">
        <f t="shared" si="7"/>
        <v>114823060</v>
      </c>
      <c r="I27" s="222">
        <f t="shared" si="5"/>
        <v>300</v>
      </c>
    </row>
    <row r="28" ht="12.0" customHeight="1">
      <c r="C28" s="222">
        <f t="shared" ref="C28:D28" si="24">C27+1</f>
        <v>20</v>
      </c>
      <c r="D28" s="231">
        <f t="shared" si="24"/>
        <v>61</v>
      </c>
      <c r="E28" s="222">
        <f t="shared" si="2"/>
        <v>256369.0592</v>
      </c>
      <c r="F28" s="222">
        <f t="shared" si="3"/>
        <v>289928.2265</v>
      </c>
      <c r="G28" s="222">
        <f t="shared" si="4"/>
        <v>546297.2856</v>
      </c>
      <c r="H28" s="224">
        <f t="shared" si="7"/>
        <v>114566690.9</v>
      </c>
      <c r="I28" s="222">
        <f t="shared" si="5"/>
        <v>299</v>
      </c>
    </row>
    <row r="29" ht="12.0" customHeight="1">
      <c r="C29" s="222">
        <f t="shared" ref="C29:D29" si="25">C28+1</f>
        <v>21</v>
      </c>
      <c r="D29" s="231">
        <f t="shared" si="25"/>
        <v>62</v>
      </c>
      <c r="E29" s="222">
        <f t="shared" si="2"/>
        <v>257016.391</v>
      </c>
      <c r="F29" s="222">
        <f t="shared" si="3"/>
        <v>289280.8946</v>
      </c>
      <c r="G29" s="222">
        <f t="shared" si="4"/>
        <v>546297.2856</v>
      </c>
      <c r="H29" s="224">
        <f t="shared" si="7"/>
        <v>114309674.5</v>
      </c>
      <c r="I29" s="222">
        <f t="shared" si="5"/>
        <v>298</v>
      </c>
    </row>
    <row r="30" ht="12.0" customHeight="1">
      <c r="C30" s="222">
        <f t="shared" ref="C30:D30" si="26">C29+1</f>
        <v>22</v>
      </c>
      <c r="D30" s="231">
        <f t="shared" si="26"/>
        <v>63</v>
      </c>
      <c r="E30" s="222">
        <f t="shared" si="2"/>
        <v>257665.3574</v>
      </c>
      <c r="F30" s="222">
        <f t="shared" si="3"/>
        <v>288631.9282</v>
      </c>
      <c r="G30" s="222">
        <f t="shared" si="4"/>
        <v>546297.2856</v>
      </c>
      <c r="H30" s="224">
        <f t="shared" si="7"/>
        <v>114052009.2</v>
      </c>
      <c r="I30" s="222">
        <f t="shared" si="5"/>
        <v>297</v>
      </c>
    </row>
    <row r="31" ht="12.0" customHeight="1">
      <c r="C31" s="222">
        <f t="shared" ref="C31:D31" si="27">C30+1</f>
        <v>23</v>
      </c>
      <c r="D31" s="231">
        <f t="shared" si="27"/>
        <v>64</v>
      </c>
      <c r="E31" s="222">
        <f t="shared" si="2"/>
        <v>258315.9625</v>
      </c>
      <c r="F31" s="222">
        <f t="shared" si="3"/>
        <v>287981.3232</v>
      </c>
      <c r="G31" s="222">
        <f t="shared" si="4"/>
        <v>546297.2856</v>
      </c>
      <c r="H31" s="224">
        <f t="shared" si="7"/>
        <v>113793693.2</v>
      </c>
      <c r="I31" s="222">
        <f t="shared" si="5"/>
        <v>296</v>
      </c>
    </row>
    <row r="32" ht="12.0" customHeight="1">
      <c r="C32" s="222">
        <f t="shared" ref="C32:D32" si="28">C31+1</f>
        <v>24</v>
      </c>
      <c r="D32" s="231">
        <f t="shared" si="28"/>
        <v>65</v>
      </c>
      <c r="E32" s="222">
        <f t="shared" si="2"/>
        <v>258968.2103</v>
      </c>
      <c r="F32" s="222">
        <f t="shared" si="3"/>
        <v>287329.0754</v>
      </c>
      <c r="G32" s="222">
        <f t="shared" si="4"/>
        <v>546297.2856</v>
      </c>
      <c r="H32" s="224">
        <f t="shared" si="7"/>
        <v>113534725</v>
      </c>
      <c r="I32" s="222">
        <f t="shared" si="5"/>
        <v>295</v>
      </c>
    </row>
    <row r="33" ht="12.0" customHeight="1">
      <c r="C33" s="222">
        <f t="shared" ref="C33:D33" si="29">C32+1</f>
        <v>25</v>
      </c>
      <c r="D33" s="231">
        <f t="shared" si="29"/>
        <v>66</v>
      </c>
      <c r="E33" s="222">
        <f t="shared" si="2"/>
        <v>259622.105</v>
      </c>
      <c r="F33" s="222">
        <f t="shared" si="3"/>
        <v>286675.1806</v>
      </c>
      <c r="G33" s="222">
        <f t="shared" si="4"/>
        <v>546297.2856</v>
      </c>
      <c r="H33" s="224">
        <f t="shared" si="7"/>
        <v>113275102.9</v>
      </c>
      <c r="I33" s="222">
        <f t="shared" si="5"/>
        <v>294</v>
      </c>
    </row>
    <row r="34" ht="12.0" customHeight="1">
      <c r="C34" s="222">
        <f t="shared" ref="C34:D34" si="30">C33+1</f>
        <v>26</v>
      </c>
      <c r="D34" s="231">
        <f t="shared" si="30"/>
        <v>67</v>
      </c>
      <c r="E34" s="222">
        <f t="shared" si="2"/>
        <v>260277.6508</v>
      </c>
      <c r="F34" s="222">
        <f t="shared" si="3"/>
        <v>286019.6348</v>
      </c>
      <c r="G34" s="222">
        <f t="shared" si="4"/>
        <v>546297.2856</v>
      </c>
      <c r="H34" s="224">
        <f t="shared" si="7"/>
        <v>113014825.2</v>
      </c>
      <c r="I34" s="222">
        <f t="shared" si="5"/>
        <v>293</v>
      </c>
    </row>
    <row r="35" ht="12.0" customHeight="1">
      <c r="C35" s="222">
        <f t="shared" ref="C35:D35" si="31">C34+1</f>
        <v>27</v>
      </c>
      <c r="D35" s="231">
        <f t="shared" si="31"/>
        <v>68</v>
      </c>
      <c r="E35" s="222">
        <f t="shared" si="2"/>
        <v>260934.8519</v>
      </c>
      <c r="F35" s="222">
        <f t="shared" si="3"/>
        <v>285362.4337</v>
      </c>
      <c r="G35" s="222">
        <f t="shared" si="4"/>
        <v>546297.2856</v>
      </c>
      <c r="H35" s="224">
        <f t="shared" si="7"/>
        <v>112753890.4</v>
      </c>
      <c r="I35" s="222">
        <f t="shared" si="5"/>
        <v>292</v>
      </c>
    </row>
    <row r="36" ht="12.0" customHeight="1">
      <c r="C36" s="222">
        <f t="shared" ref="C36:D36" si="32">C35+1</f>
        <v>28</v>
      </c>
      <c r="D36" s="231">
        <f t="shared" si="32"/>
        <v>69</v>
      </c>
      <c r="E36" s="222">
        <f t="shared" si="2"/>
        <v>261593.7124</v>
      </c>
      <c r="F36" s="222">
        <f t="shared" si="3"/>
        <v>284703.5732</v>
      </c>
      <c r="G36" s="222">
        <f t="shared" si="4"/>
        <v>546297.2856</v>
      </c>
      <c r="H36" s="224">
        <f t="shared" si="7"/>
        <v>112492296.7</v>
      </c>
      <c r="I36" s="222">
        <f t="shared" si="5"/>
        <v>291</v>
      </c>
    </row>
    <row r="37" ht="12.0" customHeight="1">
      <c r="C37" s="222">
        <f t="shared" ref="C37:D37" si="33">C36+1</f>
        <v>29</v>
      </c>
      <c r="D37" s="231">
        <f t="shared" si="33"/>
        <v>70</v>
      </c>
      <c r="E37" s="222">
        <f t="shared" si="2"/>
        <v>262254.2365</v>
      </c>
      <c r="F37" s="222">
        <f t="shared" si="3"/>
        <v>284043.0491</v>
      </c>
      <c r="G37" s="222">
        <f t="shared" si="4"/>
        <v>546297.2856</v>
      </c>
      <c r="H37" s="224">
        <f t="shared" si="7"/>
        <v>112230042.4</v>
      </c>
      <c r="I37" s="222">
        <f t="shared" si="5"/>
        <v>290</v>
      </c>
    </row>
    <row r="38" ht="12.0" customHeight="1">
      <c r="C38" s="222">
        <f t="shared" ref="C38:D38" si="34">C37+1</f>
        <v>30</v>
      </c>
      <c r="D38" s="231">
        <f t="shared" si="34"/>
        <v>71</v>
      </c>
      <c r="E38" s="222">
        <f t="shared" si="2"/>
        <v>262916.4284</v>
      </c>
      <c r="F38" s="222">
        <f t="shared" si="3"/>
        <v>283380.8572</v>
      </c>
      <c r="G38" s="222">
        <f t="shared" si="4"/>
        <v>546297.2856</v>
      </c>
      <c r="H38" s="224">
        <f t="shared" si="7"/>
        <v>111967126</v>
      </c>
      <c r="I38" s="222">
        <f t="shared" si="5"/>
        <v>289</v>
      </c>
    </row>
    <row r="39" ht="12.0" customHeight="1">
      <c r="C39" s="222">
        <f t="shared" ref="C39:D39" si="35">C38+1</f>
        <v>31</v>
      </c>
      <c r="D39" s="231">
        <f t="shared" si="35"/>
        <v>72</v>
      </c>
      <c r="E39" s="222">
        <f t="shared" si="2"/>
        <v>263580.2924</v>
      </c>
      <c r="F39" s="222">
        <f t="shared" si="3"/>
        <v>282716.9932</v>
      </c>
      <c r="G39" s="222">
        <f t="shared" si="4"/>
        <v>546297.2856</v>
      </c>
      <c r="H39" s="224">
        <f t="shared" si="7"/>
        <v>111703545.7</v>
      </c>
      <c r="I39" s="222">
        <f t="shared" si="5"/>
        <v>288</v>
      </c>
    </row>
    <row r="40" ht="12.0" customHeight="1">
      <c r="C40" s="222">
        <f t="shared" ref="C40:D40" si="36">C39+1</f>
        <v>32</v>
      </c>
      <c r="D40" s="231">
        <f t="shared" si="36"/>
        <v>73</v>
      </c>
      <c r="E40" s="222">
        <f t="shared" si="2"/>
        <v>264245.8327</v>
      </c>
      <c r="F40" s="222">
        <f t="shared" si="3"/>
        <v>282051.453</v>
      </c>
      <c r="G40" s="222">
        <f t="shared" si="4"/>
        <v>546297.2856</v>
      </c>
      <c r="H40" s="224">
        <f t="shared" si="7"/>
        <v>111439299.9</v>
      </c>
      <c r="I40" s="222">
        <f t="shared" si="5"/>
        <v>287</v>
      </c>
    </row>
    <row r="41" ht="12.0" customHeight="1">
      <c r="C41" s="222">
        <f t="shared" ref="C41:D41" si="37">C40+1</f>
        <v>33</v>
      </c>
      <c r="D41" s="231">
        <f t="shared" si="37"/>
        <v>74</v>
      </c>
      <c r="E41" s="222">
        <f t="shared" si="2"/>
        <v>264913.0534</v>
      </c>
      <c r="F41" s="222">
        <f t="shared" si="3"/>
        <v>281384.2322</v>
      </c>
      <c r="G41" s="222">
        <f t="shared" si="4"/>
        <v>546297.2856</v>
      </c>
      <c r="H41" s="224">
        <f t="shared" si="7"/>
        <v>111174386.8</v>
      </c>
      <c r="I41" s="222">
        <f t="shared" si="5"/>
        <v>286</v>
      </c>
    </row>
    <row r="42" ht="12.0" customHeight="1">
      <c r="C42" s="222">
        <f t="shared" ref="C42:D42" si="38">C41+1</f>
        <v>34</v>
      </c>
      <c r="D42" s="231">
        <f t="shared" si="38"/>
        <v>75</v>
      </c>
      <c r="E42" s="222">
        <f t="shared" si="2"/>
        <v>265581.9589</v>
      </c>
      <c r="F42" s="222">
        <f t="shared" si="3"/>
        <v>280715.3268</v>
      </c>
      <c r="G42" s="222">
        <f t="shared" si="4"/>
        <v>546297.2856</v>
      </c>
      <c r="H42" s="224">
        <f t="shared" si="7"/>
        <v>110908804.9</v>
      </c>
      <c r="I42" s="222">
        <f t="shared" si="5"/>
        <v>285</v>
      </c>
    </row>
    <row r="43" ht="12.0" customHeight="1">
      <c r="C43" s="222">
        <f t="shared" ref="C43:D43" si="39">C42+1</f>
        <v>35</v>
      </c>
      <c r="D43" s="231">
        <f t="shared" si="39"/>
        <v>76</v>
      </c>
      <c r="E43" s="222">
        <f t="shared" si="2"/>
        <v>266252.5533</v>
      </c>
      <c r="F43" s="222">
        <f t="shared" si="3"/>
        <v>280044.7323</v>
      </c>
      <c r="G43" s="222">
        <f t="shared" si="4"/>
        <v>546297.2856</v>
      </c>
      <c r="H43" s="224">
        <f t="shared" si="7"/>
        <v>110642552.3</v>
      </c>
      <c r="I43" s="222">
        <f t="shared" si="5"/>
        <v>284</v>
      </c>
    </row>
    <row r="44" ht="12.0" customHeight="1">
      <c r="C44" s="222">
        <f t="shared" ref="C44:D44" si="40">C43+1</f>
        <v>36</v>
      </c>
      <c r="D44" s="231">
        <f t="shared" si="40"/>
        <v>77</v>
      </c>
      <c r="E44" s="222">
        <f t="shared" si="2"/>
        <v>266924.841</v>
      </c>
      <c r="F44" s="222">
        <f t="shared" si="3"/>
        <v>279372.4446</v>
      </c>
      <c r="G44" s="222">
        <f t="shared" si="4"/>
        <v>546297.2856</v>
      </c>
      <c r="H44" s="224">
        <f t="shared" si="7"/>
        <v>110375627.5</v>
      </c>
      <c r="I44" s="222">
        <f t="shared" si="5"/>
        <v>283</v>
      </c>
    </row>
    <row r="45" ht="12.0" customHeight="1">
      <c r="C45" s="222">
        <f t="shared" ref="C45:D45" si="41">C44+1</f>
        <v>37</v>
      </c>
      <c r="D45" s="231">
        <f t="shared" si="41"/>
        <v>78</v>
      </c>
      <c r="E45" s="222">
        <f t="shared" si="2"/>
        <v>267598.8262</v>
      </c>
      <c r="F45" s="222">
        <f t="shared" si="3"/>
        <v>278698.4594</v>
      </c>
      <c r="G45" s="222">
        <f t="shared" si="4"/>
        <v>546297.2856</v>
      </c>
      <c r="H45" s="224">
        <f t="shared" si="7"/>
        <v>110108028.7</v>
      </c>
      <c r="I45" s="222">
        <f t="shared" si="5"/>
        <v>282</v>
      </c>
    </row>
    <row r="46" ht="12.0" customHeight="1">
      <c r="C46" s="222">
        <f t="shared" ref="C46:D46" si="42">C45+1</f>
        <v>38</v>
      </c>
      <c r="D46" s="231">
        <f t="shared" si="42"/>
        <v>79</v>
      </c>
      <c r="E46" s="222">
        <f t="shared" si="2"/>
        <v>268274.5133</v>
      </c>
      <c r="F46" s="222">
        <f t="shared" si="3"/>
        <v>278022.7724</v>
      </c>
      <c r="G46" s="222">
        <f t="shared" si="4"/>
        <v>546297.2856</v>
      </c>
      <c r="H46" s="224">
        <f t="shared" si="7"/>
        <v>109839754.1</v>
      </c>
      <c r="I46" s="222">
        <f t="shared" si="5"/>
        <v>281</v>
      </c>
    </row>
    <row r="47" ht="12.0" customHeight="1">
      <c r="C47" s="222">
        <f t="shared" ref="C47:D47" si="43">C46+1</f>
        <v>39</v>
      </c>
      <c r="D47" s="231">
        <f t="shared" si="43"/>
        <v>80</v>
      </c>
      <c r="E47" s="222">
        <f t="shared" si="2"/>
        <v>268951.9064</v>
      </c>
      <c r="F47" s="222">
        <f t="shared" si="3"/>
        <v>277345.3792</v>
      </c>
      <c r="G47" s="222">
        <f t="shared" si="4"/>
        <v>546297.2856</v>
      </c>
      <c r="H47" s="224">
        <f t="shared" si="7"/>
        <v>109570802.2</v>
      </c>
      <c r="I47" s="222">
        <f t="shared" si="5"/>
        <v>280</v>
      </c>
    </row>
    <row r="48" ht="12.0" customHeight="1">
      <c r="C48" s="222">
        <f t="shared" ref="C48:D48" si="44">C47+1</f>
        <v>40</v>
      </c>
      <c r="D48" s="231">
        <f t="shared" si="44"/>
        <v>81</v>
      </c>
      <c r="E48" s="222">
        <f t="shared" si="2"/>
        <v>269631.01</v>
      </c>
      <c r="F48" s="222">
        <f t="shared" si="3"/>
        <v>276666.2757</v>
      </c>
      <c r="G48" s="222">
        <f t="shared" si="4"/>
        <v>546297.2856</v>
      </c>
      <c r="H48" s="224">
        <f t="shared" si="7"/>
        <v>109301171.2</v>
      </c>
      <c r="I48" s="222">
        <f t="shared" si="5"/>
        <v>279</v>
      </c>
    </row>
    <row r="49" ht="12.0" customHeight="1">
      <c r="C49" s="222">
        <f t="shared" ref="C49:D49" si="45">C48+1</f>
        <v>41</v>
      </c>
      <c r="D49" s="231">
        <f t="shared" si="45"/>
        <v>82</v>
      </c>
      <c r="E49" s="222">
        <f t="shared" si="2"/>
        <v>270311.8283</v>
      </c>
      <c r="F49" s="222">
        <f t="shared" si="3"/>
        <v>275985.4574</v>
      </c>
      <c r="G49" s="222">
        <f t="shared" si="4"/>
        <v>546297.2856</v>
      </c>
      <c r="H49" s="224">
        <f t="shared" si="7"/>
        <v>109030859.4</v>
      </c>
      <c r="I49" s="222">
        <f t="shared" si="5"/>
        <v>278</v>
      </c>
    </row>
    <row r="50" ht="12.0" customHeight="1">
      <c r="C50" s="222">
        <f t="shared" ref="C50:D50" si="46">C49+1</f>
        <v>42</v>
      </c>
      <c r="D50" s="231">
        <f t="shared" si="46"/>
        <v>83</v>
      </c>
      <c r="E50" s="222">
        <f t="shared" si="2"/>
        <v>270994.3656</v>
      </c>
      <c r="F50" s="222">
        <f t="shared" si="3"/>
        <v>275302.92</v>
      </c>
      <c r="G50" s="222">
        <f t="shared" si="4"/>
        <v>546297.2856</v>
      </c>
      <c r="H50" s="224">
        <f t="shared" si="7"/>
        <v>108759865</v>
      </c>
      <c r="I50" s="222">
        <f t="shared" si="5"/>
        <v>277</v>
      </c>
    </row>
    <row r="51" ht="12.0" customHeight="1">
      <c r="C51" s="222">
        <f t="shared" ref="C51:D51" si="47">C50+1</f>
        <v>43</v>
      </c>
      <c r="D51" s="231">
        <f t="shared" si="47"/>
        <v>84</v>
      </c>
      <c r="E51" s="222">
        <f t="shared" si="2"/>
        <v>271678.6264</v>
      </c>
      <c r="F51" s="222">
        <f t="shared" si="3"/>
        <v>274618.6592</v>
      </c>
      <c r="G51" s="222">
        <f t="shared" si="4"/>
        <v>546297.2856</v>
      </c>
      <c r="H51" s="224">
        <f t="shared" si="7"/>
        <v>108488186.4</v>
      </c>
      <c r="I51" s="222">
        <f t="shared" si="5"/>
        <v>276</v>
      </c>
    </row>
    <row r="52" ht="12.0" customHeight="1">
      <c r="C52" s="222">
        <f t="shared" ref="C52:D52" si="48">C51+1</f>
        <v>44</v>
      </c>
      <c r="D52" s="231">
        <f t="shared" si="48"/>
        <v>85</v>
      </c>
      <c r="E52" s="222">
        <f t="shared" si="2"/>
        <v>272364.6149</v>
      </c>
      <c r="F52" s="222">
        <f t="shared" si="3"/>
        <v>273932.6707</v>
      </c>
      <c r="G52" s="222">
        <f t="shared" si="4"/>
        <v>546297.2856</v>
      </c>
      <c r="H52" s="224">
        <f t="shared" si="7"/>
        <v>108215821.8</v>
      </c>
      <c r="I52" s="222">
        <f t="shared" si="5"/>
        <v>275</v>
      </c>
    </row>
    <row r="53" ht="12.0" customHeight="1">
      <c r="C53" s="222">
        <f t="shared" ref="C53:D53" si="49">C52+1</f>
        <v>45</v>
      </c>
      <c r="D53" s="231">
        <f t="shared" si="49"/>
        <v>86</v>
      </c>
      <c r="E53" s="222">
        <f t="shared" si="2"/>
        <v>273052.3356</v>
      </c>
      <c r="F53" s="222">
        <f t="shared" si="3"/>
        <v>273244.95</v>
      </c>
      <c r="G53" s="222">
        <f t="shared" si="4"/>
        <v>546297.2856</v>
      </c>
      <c r="H53" s="224">
        <f t="shared" si="7"/>
        <v>107942769.5</v>
      </c>
      <c r="I53" s="222">
        <f t="shared" si="5"/>
        <v>274</v>
      </c>
    </row>
    <row r="54" ht="12.0" customHeight="1">
      <c r="C54" s="222">
        <f t="shared" ref="C54:D54" si="50">C53+1</f>
        <v>46</v>
      </c>
      <c r="D54" s="231">
        <f t="shared" si="50"/>
        <v>87</v>
      </c>
      <c r="E54" s="222">
        <f t="shared" si="2"/>
        <v>273741.7927</v>
      </c>
      <c r="F54" s="222">
        <f t="shared" si="3"/>
        <v>272555.4929</v>
      </c>
      <c r="G54" s="222">
        <f t="shared" si="4"/>
        <v>546297.2856</v>
      </c>
      <c r="H54" s="224">
        <f t="shared" si="7"/>
        <v>107669027.7</v>
      </c>
      <c r="I54" s="222">
        <f t="shared" si="5"/>
        <v>273</v>
      </c>
    </row>
    <row r="55" ht="12.0" customHeight="1">
      <c r="C55" s="222">
        <f t="shared" ref="C55:D55" si="51">C54+1</f>
        <v>47</v>
      </c>
      <c r="D55" s="231">
        <f t="shared" si="51"/>
        <v>88</v>
      </c>
      <c r="E55" s="222">
        <f t="shared" si="2"/>
        <v>274432.9908</v>
      </c>
      <c r="F55" s="222">
        <f t="shared" si="3"/>
        <v>271864.2949</v>
      </c>
      <c r="G55" s="222">
        <f t="shared" si="4"/>
        <v>546297.2856</v>
      </c>
      <c r="H55" s="224">
        <f t="shared" si="7"/>
        <v>107394594.7</v>
      </c>
      <c r="I55" s="222">
        <f t="shared" si="5"/>
        <v>272</v>
      </c>
    </row>
    <row r="56" ht="12.0" customHeight="1">
      <c r="C56" s="222">
        <f t="shared" ref="C56:D56" si="52">C55+1</f>
        <v>48</v>
      </c>
      <c r="D56" s="231">
        <f t="shared" si="52"/>
        <v>89</v>
      </c>
      <c r="E56" s="222">
        <f t="shared" si="2"/>
        <v>275125.9341</v>
      </c>
      <c r="F56" s="222">
        <f t="shared" si="3"/>
        <v>271171.3516</v>
      </c>
      <c r="G56" s="222">
        <f t="shared" si="4"/>
        <v>546297.2856</v>
      </c>
      <c r="H56" s="224">
        <f t="shared" si="7"/>
        <v>107119468.7</v>
      </c>
      <c r="I56" s="222">
        <f t="shared" si="5"/>
        <v>271</v>
      </c>
    </row>
    <row r="57" ht="12.0" customHeight="1">
      <c r="C57" s="222">
        <f t="shared" ref="C57:D57" si="53">C56+1</f>
        <v>49</v>
      </c>
      <c r="D57" s="231">
        <f t="shared" si="53"/>
        <v>90</v>
      </c>
      <c r="E57" s="222">
        <f t="shared" si="2"/>
        <v>275820.627</v>
      </c>
      <c r="F57" s="222">
        <f t="shared" si="3"/>
        <v>270476.6586</v>
      </c>
      <c r="G57" s="222">
        <f t="shared" si="4"/>
        <v>546297.2856</v>
      </c>
      <c r="H57" s="224">
        <f t="shared" si="7"/>
        <v>106843648.1</v>
      </c>
      <c r="I57" s="222">
        <f t="shared" si="5"/>
        <v>270</v>
      </c>
    </row>
    <row r="58" ht="12.0" customHeight="1">
      <c r="C58" s="222">
        <f t="shared" ref="C58:D58" si="54">C57+1</f>
        <v>50</v>
      </c>
      <c r="D58" s="231">
        <f t="shared" si="54"/>
        <v>91</v>
      </c>
      <c r="E58" s="222">
        <f t="shared" si="2"/>
        <v>276517.0741</v>
      </c>
      <c r="F58" s="222">
        <f t="shared" si="3"/>
        <v>269780.2115</v>
      </c>
      <c r="G58" s="222">
        <f t="shared" si="4"/>
        <v>546297.2856</v>
      </c>
      <c r="H58" s="224">
        <f t="shared" si="7"/>
        <v>106567131</v>
      </c>
      <c r="I58" s="222">
        <f t="shared" si="5"/>
        <v>269</v>
      </c>
    </row>
    <row r="59" ht="12.0" customHeight="1">
      <c r="C59" s="222">
        <f t="shared" ref="C59:D59" si="55">C58+1</f>
        <v>51</v>
      </c>
      <c r="D59" s="231">
        <f t="shared" si="55"/>
        <v>92</v>
      </c>
      <c r="E59" s="222">
        <f t="shared" si="2"/>
        <v>277215.2797</v>
      </c>
      <c r="F59" s="222">
        <f t="shared" si="3"/>
        <v>269082.0059</v>
      </c>
      <c r="G59" s="222">
        <f t="shared" si="4"/>
        <v>546297.2856</v>
      </c>
      <c r="H59" s="224">
        <f t="shared" si="7"/>
        <v>106289915.8</v>
      </c>
      <c r="I59" s="222">
        <f t="shared" si="5"/>
        <v>268</v>
      </c>
    </row>
    <row r="60" ht="12.0" customHeight="1">
      <c r="C60" s="222">
        <f t="shared" ref="C60:D60" si="56">C59+1</f>
        <v>52</v>
      </c>
      <c r="D60" s="231">
        <f t="shared" si="56"/>
        <v>93</v>
      </c>
      <c r="E60" s="222">
        <f t="shared" si="2"/>
        <v>277915.2483</v>
      </c>
      <c r="F60" s="222">
        <f t="shared" si="3"/>
        <v>268382.0373</v>
      </c>
      <c r="G60" s="222">
        <f t="shared" si="4"/>
        <v>546297.2856</v>
      </c>
      <c r="H60" s="224">
        <f t="shared" si="7"/>
        <v>106012000.5</v>
      </c>
      <c r="I60" s="222">
        <f t="shared" si="5"/>
        <v>267</v>
      </c>
    </row>
    <row r="61" ht="12.0" customHeight="1">
      <c r="C61" s="222">
        <f t="shared" ref="C61:D61" si="57">C60+1</f>
        <v>53</v>
      </c>
      <c r="D61" s="231">
        <f t="shared" si="57"/>
        <v>94</v>
      </c>
      <c r="E61" s="222">
        <f t="shared" si="2"/>
        <v>278616.9843</v>
      </c>
      <c r="F61" s="222">
        <f t="shared" si="3"/>
        <v>267680.3013</v>
      </c>
      <c r="G61" s="222">
        <f t="shared" si="4"/>
        <v>546297.2856</v>
      </c>
      <c r="H61" s="224">
        <f t="shared" si="7"/>
        <v>105733383.5</v>
      </c>
      <c r="I61" s="222">
        <f t="shared" si="5"/>
        <v>266</v>
      </c>
    </row>
    <row r="62" ht="12.0" customHeight="1">
      <c r="C62" s="222">
        <f t="shared" ref="C62:D62" si="58">C61+1</f>
        <v>54</v>
      </c>
      <c r="D62" s="231">
        <f t="shared" si="58"/>
        <v>95</v>
      </c>
      <c r="E62" s="222">
        <f t="shared" si="2"/>
        <v>279320.4922</v>
      </c>
      <c r="F62" s="222">
        <f t="shared" si="3"/>
        <v>266976.7934</v>
      </c>
      <c r="G62" s="222">
        <f t="shared" si="4"/>
        <v>546297.2856</v>
      </c>
      <c r="H62" s="224">
        <f t="shared" si="7"/>
        <v>105454063</v>
      </c>
      <c r="I62" s="222">
        <f t="shared" si="5"/>
        <v>265</v>
      </c>
    </row>
    <row r="63" ht="12.0" customHeight="1">
      <c r="C63" s="222">
        <f t="shared" ref="C63:D63" si="59">C62+1</f>
        <v>55</v>
      </c>
      <c r="D63" s="231">
        <f t="shared" si="59"/>
        <v>96</v>
      </c>
      <c r="E63" s="222">
        <f t="shared" si="2"/>
        <v>280025.7765</v>
      </c>
      <c r="F63" s="222">
        <f t="shared" si="3"/>
        <v>266271.5092</v>
      </c>
      <c r="G63" s="222">
        <f t="shared" si="4"/>
        <v>546297.2856</v>
      </c>
      <c r="H63" s="224">
        <f t="shared" si="7"/>
        <v>105174037.3</v>
      </c>
      <c r="I63" s="222">
        <f t="shared" si="5"/>
        <v>264</v>
      </c>
    </row>
    <row r="64" ht="12.0" customHeight="1">
      <c r="C64" s="222">
        <f t="shared" ref="C64:D64" si="60">C63+1</f>
        <v>56</v>
      </c>
      <c r="D64" s="231">
        <f t="shared" si="60"/>
        <v>97</v>
      </c>
      <c r="E64" s="222">
        <f t="shared" si="2"/>
        <v>280732.8415</v>
      </c>
      <c r="F64" s="222">
        <f t="shared" si="3"/>
        <v>265564.4441</v>
      </c>
      <c r="G64" s="222">
        <f t="shared" si="4"/>
        <v>546297.2856</v>
      </c>
      <c r="H64" s="224">
        <f t="shared" si="7"/>
        <v>104893304.4</v>
      </c>
      <c r="I64" s="222">
        <f t="shared" si="5"/>
        <v>263</v>
      </c>
    </row>
    <row r="65" ht="12.0" customHeight="1">
      <c r="C65" s="222">
        <f t="shared" ref="C65:D65" si="61">C64+1</f>
        <v>57</v>
      </c>
      <c r="D65" s="231">
        <f t="shared" si="61"/>
        <v>98</v>
      </c>
      <c r="E65" s="222">
        <f t="shared" si="2"/>
        <v>281441.692</v>
      </c>
      <c r="F65" s="222">
        <f t="shared" si="3"/>
        <v>264855.5937</v>
      </c>
      <c r="G65" s="222">
        <f t="shared" si="4"/>
        <v>546297.2856</v>
      </c>
      <c r="H65" s="224">
        <f t="shared" si="7"/>
        <v>104611862.7</v>
      </c>
      <c r="I65" s="222">
        <f t="shared" si="5"/>
        <v>262</v>
      </c>
    </row>
    <row r="66" ht="12.0" customHeight="1">
      <c r="C66" s="222">
        <f t="shared" ref="C66:D66" si="62">C65+1</f>
        <v>58</v>
      </c>
      <c r="D66" s="231">
        <f t="shared" si="62"/>
        <v>99</v>
      </c>
      <c r="E66" s="222">
        <f t="shared" si="2"/>
        <v>282152.3322</v>
      </c>
      <c r="F66" s="222">
        <f t="shared" si="3"/>
        <v>264144.9534</v>
      </c>
      <c r="G66" s="222">
        <f t="shared" si="4"/>
        <v>546297.2856</v>
      </c>
      <c r="H66" s="224">
        <f t="shared" si="7"/>
        <v>104329710.4</v>
      </c>
      <c r="I66" s="222">
        <f t="shared" si="5"/>
        <v>261</v>
      </c>
    </row>
    <row r="67" ht="12.0" customHeight="1">
      <c r="C67" s="222">
        <f t="shared" ref="C67:D67" si="63">C66+1</f>
        <v>59</v>
      </c>
      <c r="D67" s="231">
        <f t="shared" si="63"/>
        <v>100</v>
      </c>
      <c r="E67" s="222">
        <f t="shared" si="2"/>
        <v>282864.7669</v>
      </c>
      <c r="F67" s="222">
        <f t="shared" si="3"/>
        <v>263432.5187</v>
      </c>
      <c r="G67" s="222">
        <f t="shared" si="4"/>
        <v>546297.2856</v>
      </c>
      <c r="H67" s="224">
        <f t="shared" si="7"/>
        <v>104046845.6</v>
      </c>
      <c r="I67" s="222">
        <f t="shared" si="5"/>
        <v>260</v>
      </c>
    </row>
    <row r="68" ht="12.0" customHeight="1">
      <c r="C68" s="222">
        <f t="shared" ref="C68:D68" si="64">C67+1</f>
        <v>60</v>
      </c>
      <c r="D68" s="231">
        <f t="shared" si="64"/>
        <v>101</v>
      </c>
      <c r="E68" s="222">
        <f t="shared" si="2"/>
        <v>283579.0004</v>
      </c>
      <c r="F68" s="222">
        <f t="shared" si="3"/>
        <v>262718.2852</v>
      </c>
      <c r="G68" s="222">
        <f t="shared" si="4"/>
        <v>546297.2856</v>
      </c>
      <c r="H68" s="224">
        <f t="shared" si="7"/>
        <v>103763266.6</v>
      </c>
      <c r="I68" s="222">
        <f t="shared" si="5"/>
        <v>259</v>
      </c>
    </row>
    <row r="69" ht="12.0" customHeight="1">
      <c r="C69" s="222">
        <f t="shared" ref="C69:D69" si="65">C68+1</f>
        <v>61</v>
      </c>
      <c r="D69" s="231">
        <f t="shared" si="65"/>
        <v>102</v>
      </c>
      <c r="E69" s="222">
        <f t="shared" si="2"/>
        <v>284295.0374</v>
      </c>
      <c r="F69" s="222">
        <f t="shared" si="3"/>
        <v>262002.2482</v>
      </c>
      <c r="G69" s="222">
        <f t="shared" si="4"/>
        <v>546297.2856</v>
      </c>
      <c r="H69" s="224">
        <f t="shared" si="7"/>
        <v>103478971.6</v>
      </c>
      <c r="I69" s="222">
        <f t="shared" si="5"/>
        <v>258</v>
      </c>
    </row>
    <row r="70" ht="12.0" customHeight="1">
      <c r="C70" s="222">
        <f t="shared" ref="C70:D70" si="66">C69+1</f>
        <v>62</v>
      </c>
      <c r="D70" s="231">
        <f t="shared" si="66"/>
        <v>103</v>
      </c>
      <c r="E70" s="222">
        <f t="shared" si="2"/>
        <v>285012.8824</v>
      </c>
      <c r="F70" s="222">
        <f t="shared" si="3"/>
        <v>261284.4033</v>
      </c>
      <c r="G70" s="222">
        <f t="shared" si="4"/>
        <v>546297.2856</v>
      </c>
      <c r="H70" s="224">
        <f t="shared" si="7"/>
        <v>103193958.7</v>
      </c>
      <c r="I70" s="222">
        <f t="shared" si="5"/>
        <v>257</v>
      </c>
    </row>
    <row r="71" ht="12.0" customHeight="1">
      <c r="C71" s="222">
        <f t="shared" ref="C71:D71" si="67">C70+1</f>
        <v>63</v>
      </c>
      <c r="D71" s="231">
        <f t="shared" si="67"/>
        <v>104</v>
      </c>
      <c r="E71" s="222">
        <f t="shared" si="2"/>
        <v>285732.5399</v>
      </c>
      <c r="F71" s="222">
        <f t="shared" si="3"/>
        <v>260564.7457</v>
      </c>
      <c r="G71" s="222">
        <f t="shared" si="4"/>
        <v>546297.2856</v>
      </c>
      <c r="H71" s="224">
        <f t="shared" si="7"/>
        <v>102908226.2</v>
      </c>
      <c r="I71" s="222">
        <f t="shared" si="5"/>
        <v>256</v>
      </c>
    </row>
    <row r="72" ht="12.0" customHeight="1">
      <c r="C72" s="222">
        <f t="shared" ref="C72:D72" si="68">C71+1</f>
        <v>64</v>
      </c>
      <c r="D72" s="231">
        <f t="shared" si="68"/>
        <v>105</v>
      </c>
      <c r="E72" s="222">
        <f t="shared" si="2"/>
        <v>286454.0145</v>
      </c>
      <c r="F72" s="222">
        <f t="shared" si="3"/>
        <v>259843.2711</v>
      </c>
      <c r="G72" s="222">
        <f t="shared" si="4"/>
        <v>546297.2856</v>
      </c>
      <c r="H72" s="224">
        <f t="shared" si="7"/>
        <v>102621772.2</v>
      </c>
      <c r="I72" s="222">
        <f t="shared" si="5"/>
        <v>255</v>
      </c>
    </row>
    <row r="73" ht="12.0" customHeight="1">
      <c r="C73" s="222">
        <f t="shared" ref="C73:D73" si="69">C72+1</f>
        <v>65</v>
      </c>
      <c r="D73" s="231">
        <f t="shared" si="69"/>
        <v>106</v>
      </c>
      <c r="E73" s="222">
        <f t="shared" si="2"/>
        <v>287177.3109</v>
      </c>
      <c r="F73" s="222">
        <f t="shared" si="3"/>
        <v>259119.9747</v>
      </c>
      <c r="G73" s="222">
        <f t="shared" si="4"/>
        <v>546297.2856</v>
      </c>
      <c r="H73" s="224">
        <f t="shared" si="7"/>
        <v>102334594.8</v>
      </c>
      <c r="I73" s="222">
        <f t="shared" si="5"/>
        <v>254</v>
      </c>
    </row>
    <row r="74" ht="12.0" customHeight="1">
      <c r="C74" s="222">
        <f t="shared" ref="C74:D74" si="70">C73+1</f>
        <v>66</v>
      </c>
      <c r="D74" s="231">
        <f t="shared" si="70"/>
        <v>107</v>
      </c>
      <c r="E74" s="222">
        <f t="shared" si="2"/>
        <v>287902.4336</v>
      </c>
      <c r="F74" s="222">
        <f t="shared" si="3"/>
        <v>258394.852</v>
      </c>
      <c r="G74" s="222">
        <f t="shared" si="4"/>
        <v>546297.2856</v>
      </c>
      <c r="H74" s="224">
        <f t="shared" si="7"/>
        <v>102046692.4</v>
      </c>
      <c r="I74" s="222">
        <f t="shared" si="5"/>
        <v>253</v>
      </c>
    </row>
    <row r="75" ht="12.0" customHeight="1">
      <c r="C75" s="222">
        <f t="shared" ref="C75:D75" si="71">C74+1</f>
        <v>67</v>
      </c>
      <c r="D75" s="231">
        <f t="shared" si="71"/>
        <v>108</v>
      </c>
      <c r="E75" s="222">
        <f t="shared" si="2"/>
        <v>288629.3873</v>
      </c>
      <c r="F75" s="222">
        <f t="shared" si="3"/>
        <v>257667.8983</v>
      </c>
      <c r="G75" s="222">
        <f t="shared" si="4"/>
        <v>546297.2856</v>
      </c>
      <c r="H75" s="224">
        <f t="shared" si="7"/>
        <v>101758063</v>
      </c>
      <c r="I75" s="222">
        <f t="shared" si="5"/>
        <v>252</v>
      </c>
    </row>
    <row r="76" ht="12.0" customHeight="1">
      <c r="C76" s="222">
        <f t="shared" ref="C76:D76" si="72">C75+1</f>
        <v>68</v>
      </c>
      <c r="D76" s="231">
        <f t="shared" si="72"/>
        <v>109</v>
      </c>
      <c r="E76" s="222">
        <f t="shared" si="2"/>
        <v>289358.1765</v>
      </c>
      <c r="F76" s="222">
        <f t="shared" si="3"/>
        <v>256939.1091</v>
      </c>
      <c r="G76" s="222">
        <f t="shared" si="4"/>
        <v>546297.2856</v>
      </c>
      <c r="H76" s="224">
        <f t="shared" si="7"/>
        <v>101468704.8</v>
      </c>
      <c r="I76" s="222">
        <f t="shared" si="5"/>
        <v>251</v>
      </c>
    </row>
    <row r="77" ht="12.0" customHeight="1">
      <c r="C77" s="222">
        <f t="shared" ref="C77:D77" si="73">C76+1</f>
        <v>69</v>
      </c>
      <c r="D77" s="231">
        <f t="shared" si="73"/>
        <v>110</v>
      </c>
      <c r="E77" s="222">
        <f t="shared" si="2"/>
        <v>290088.8059</v>
      </c>
      <c r="F77" s="222">
        <f t="shared" si="3"/>
        <v>256208.4797</v>
      </c>
      <c r="G77" s="222">
        <f t="shared" si="4"/>
        <v>546297.2856</v>
      </c>
      <c r="H77" s="224">
        <f t="shared" si="7"/>
        <v>101178616</v>
      </c>
      <c r="I77" s="222">
        <f t="shared" si="5"/>
        <v>250</v>
      </c>
    </row>
    <row r="78" ht="12.0" customHeight="1">
      <c r="C78" s="222">
        <f t="shared" ref="C78:D78" si="74">C77+1</f>
        <v>70</v>
      </c>
      <c r="D78" s="231">
        <f t="shared" si="74"/>
        <v>111</v>
      </c>
      <c r="E78" s="222">
        <f t="shared" si="2"/>
        <v>290821.2801</v>
      </c>
      <c r="F78" s="222">
        <f t="shared" si="3"/>
        <v>255476.0055</v>
      </c>
      <c r="G78" s="222">
        <f t="shared" si="4"/>
        <v>546297.2856</v>
      </c>
      <c r="H78" s="224">
        <f t="shared" si="7"/>
        <v>100887794.8</v>
      </c>
      <c r="I78" s="222">
        <f t="shared" si="5"/>
        <v>249</v>
      </c>
    </row>
    <row r="79" ht="12.0" customHeight="1">
      <c r="C79" s="222">
        <f t="shared" ref="C79:D79" si="75">C78+1</f>
        <v>71</v>
      </c>
      <c r="D79" s="231">
        <f t="shared" si="75"/>
        <v>112</v>
      </c>
      <c r="E79" s="222">
        <f t="shared" si="2"/>
        <v>291555.6039</v>
      </c>
      <c r="F79" s="222">
        <f t="shared" si="3"/>
        <v>254741.6818</v>
      </c>
      <c r="G79" s="222">
        <f t="shared" si="4"/>
        <v>546297.2856</v>
      </c>
      <c r="H79" s="224">
        <f t="shared" si="7"/>
        <v>100596239.2</v>
      </c>
      <c r="I79" s="222">
        <f t="shared" si="5"/>
        <v>248</v>
      </c>
    </row>
    <row r="80" ht="12.0" customHeight="1">
      <c r="C80" s="222">
        <f t="shared" ref="C80:D80" si="76">C79+1</f>
        <v>72</v>
      </c>
      <c r="D80" s="231">
        <f t="shared" si="76"/>
        <v>113</v>
      </c>
      <c r="E80" s="222">
        <f t="shared" si="2"/>
        <v>292291.7818</v>
      </c>
      <c r="F80" s="222">
        <f t="shared" si="3"/>
        <v>254005.5039</v>
      </c>
      <c r="G80" s="222">
        <f t="shared" si="4"/>
        <v>546297.2856</v>
      </c>
      <c r="H80" s="224">
        <f t="shared" si="7"/>
        <v>100303947.4</v>
      </c>
      <c r="I80" s="222">
        <f t="shared" si="5"/>
        <v>247</v>
      </c>
    </row>
    <row r="81" ht="12.0" customHeight="1">
      <c r="C81" s="222">
        <f t="shared" ref="C81:D81" si="77">C80+1</f>
        <v>73</v>
      </c>
      <c r="D81" s="231">
        <f t="shared" si="77"/>
        <v>114</v>
      </c>
      <c r="E81" s="222">
        <f t="shared" si="2"/>
        <v>293029.8185</v>
      </c>
      <c r="F81" s="222">
        <f t="shared" si="3"/>
        <v>253267.4671</v>
      </c>
      <c r="G81" s="222">
        <f t="shared" si="4"/>
        <v>546297.2856</v>
      </c>
      <c r="H81" s="224">
        <f t="shared" si="7"/>
        <v>100010917.6</v>
      </c>
      <c r="I81" s="222">
        <f t="shared" si="5"/>
        <v>246</v>
      </c>
    </row>
    <row r="82" ht="12.0" customHeight="1">
      <c r="C82" s="222">
        <f t="shared" ref="C82:D82" si="78">C81+1</f>
        <v>74</v>
      </c>
      <c r="D82" s="231">
        <f t="shared" si="78"/>
        <v>115</v>
      </c>
      <c r="E82" s="222">
        <f t="shared" si="2"/>
        <v>293769.7188</v>
      </c>
      <c r="F82" s="222">
        <f t="shared" si="3"/>
        <v>252527.5668</v>
      </c>
      <c r="G82" s="222">
        <f t="shared" si="4"/>
        <v>546297.2856</v>
      </c>
      <c r="H82" s="224">
        <f t="shared" si="7"/>
        <v>99717147.84</v>
      </c>
      <c r="I82" s="222">
        <f t="shared" si="5"/>
        <v>245</v>
      </c>
    </row>
    <row r="83" ht="12.0" customHeight="1">
      <c r="C83" s="222">
        <f t="shared" ref="C83:D83" si="79">C82+1</f>
        <v>75</v>
      </c>
      <c r="D83" s="231">
        <f t="shared" si="79"/>
        <v>116</v>
      </c>
      <c r="E83" s="222">
        <f t="shared" si="2"/>
        <v>294511.4873</v>
      </c>
      <c r="F83" s="222">
        <f t="shared" si="3"/>
        <v>251785.7983</v>
      </c>
      <c r="G83" s="222">
        <f t="shared" si="4"/>
        <v>546297.2856</v>
      </c>
      <c r="H83" s="224">
        <f t="shared" si="7"/>
        <v>99422636.35</v>
      </c>
      <c r="I83" s="222">
        <f t="shared" si="5"/>
        <v>244</v>
      </c>
    </row>
    <row r="84" ht="12.0" customHeight="1">
      <c r="C84" s="222">
        <f t="shared" ref="C84:D84" si="80">C83+1</f>
        <v>76</v>
      </c>
      <c r="D84" s="231">
        <f t="shared" si="80"/>
        <v>117</v>
      </c>
      <c r="E84" s="222">
        <f t="shared" si="2"/>
        <v>295255.1288</v>
      </c>
      <c r="F84" s="222">
        <f t="shared" si="3"/>
        <v>251042.1568</v>
      </c>
      <c r="G84" s="222">
        <f t="shared" si="4"/>
        <v>546297.2856</v>
      </c>
      <c r="H84" s="224">
        <f t="shared" si="7"/>
        <v>99127381.22</v>
      </c>
      <c r="I84" s="222">
        <f t="shared" si="5"/>
        <v>243</v>
      </c>
    </row>
    <row r="85" ht="12.0" customHeight="1">
      <c r="C85" s="222">
        <f t="shared" ref="C85:D85" si="81">C84+1</f>
        <v>77</v>
      </c>
      <c r="D85" s="231">
        <f t="shared" si="81"/>
        <v>118</v>
      </c>
      <c r="E85" s="222">
        <f t="shared" si="2"/>
        <v>296000.648</v>
      </c>
      <c r="F85" s="222">
        <f t="shared" si="3"/>
        <v>250296.6376</v>
      </c>
      <c r="G85" s="222">
        <f t="shared" si="4"/>
        <v>546297.2856</v>
      </c>
      <c r="H85" s="224">
        <f t="shared" si="7"/>
        <v>98831380.57</v>
      </c>
      <c r="I85" s="222">
        <f t="shared" si="5"/>
        <v>242</v>
      </c>
    </row>
    <row r="86" ht="12.0" customHeight="1">
      <c r="C86" s="222">
        <f t="shared" ref="C86:D86" si="82">C85+1</f>
        <v>78</v>
      </c>
      <c r="D86" s="231">
        <f t="shared" si="82"/>
        <v>119</v>
      </c>
      <c r="E86" s="222">
        <f t="shared" si="2"/>
        <v>296748.0497</v>
      </c>
      <c r="F86" s="222">
        <f t="shared" si="3"/>
        <v>249549.2359</v>
      </c>
      <c r="G86" s="222">
        <f t="shared" si="4"/>
        <v>546297.2856</v>
      </c>
      <c r="H86" s="224">
        <f t="shared" si="7"/>
        <v>98534632.52</v>
      </c>
      <c r="I86" s="222">
        <f t="shared" si="5"/>
        <v>241</v>
      </c>
    </row>
    <row r="87" ht="12.0" customHeight="1">
      <c r="C87" s="222">
        <f t="shared" ref="C87:D87" si="83">C86+1</f>
        <v>79</v>
      </c>
      <c r="D87" s="231">
        <f t="shared" si="83"/>
        <v>120</v>
      </c>
      <c r="E87" s="222">
        <f t="shared" si="2"/>
        <v>297497.3385</v>
      </c>
      <c r="F87" s="222">
        <f t="shared" si="3"/>
        <v>248799.9471</v>
      </c>
      <c r="G87" s="222">
        <f t="shared" si="4"/>
        <v>546297.2856</v>
      </c>
      <c r="H87" s="224">
        <f t="shared" si="7"/>
        <v>98237135.18</v>
      </c>
      <c r="I87" s="222">
        <f t="shared" si="5"/>
        <v>240</v>
      </c>
    </row>
    <row r="88" ht="12.0" customHeight="1">
      <c r="C88" s="222">
        <f t="shared" ref="C88:D88" si="84">C87+1</f>
        <v>80</v>
      </c>
      <c r="D88" s="231">
        <f t="shared" si="84"/>
        <v>121</v>
      </c>
      <c r="E88" s="222">
        <f t="shared" si="2"/>
        <v>298248.5193</v>
      </c>
      <c r="F88" s="222">
        <f t="shared" si="3"/>
        <v>248048.7663</v>
      </c>
      <c r="G88" s="222">
        <f t="shared" si="4"/>
        <v>546297.2856</v>
      </c>
      <c r="H88" s="224">
        <f t="shared" si="7"/>
        <v>97938886.66</v>
      </c>
      <c r="I88" s="222">
        <f t="shared" si="5"/>
        <v>239</v>
      </c>
    </row>
    <row r="89" ht="12.0" customHeight="1">
      <c r="C89" s="222">
        <f t="shared" ref="C89:D89" si="85">C88+1</f>
        <v>81</v>
      </c>
      <c r="D89" s="231">
        <f t="shared" si="85"/>
        <v>122</v>
      </c>
      <c r="E89" s="222">
        <f t="shared" si="2"/>
        <v>299001.5968</v>
      </c>
      <c r="F89" s="222">
        <f t="shared" si="3"/>
        <v>247295.6888</v>
      </c>
      <c r="G89" s="222">
        <f t="shared" si="4"/>
        <v>546297.2856</v>
      </c>
      <c r="H89" s="224">
        <f t="shared" si="7"/>
        <v>97639885.07</v>
      </c>
      <c r="I89" s="222">
        <f t="shared" si="5"/>
        <v>238</v>
      </c>
    </row>
    <row r="90" ht="12.0" customHeight="1">
      <c r="C90" s="222">
        <f t="shared" ref="C90:D90" si="86">C89+1</f>
        <v>82</v>
      </c>
      <c r="D90" s="231">
        <f t="shared" si="86"/>
        <v>123</v>
      </c>
      <c r="E90" s="222">
        <f t="shared" si="2"/>
        <v>299756.5758</v>
      </c>
      <c r="F90" s="222">
        <f t="shared" si="3"/>
        <v>246540.7098</v>
      </c>
      <c r="G90" s="222">
        <f t="shared" si="4"/>
        <v>546297.2856</v>
      </c>
      <c r="H90" s="224">
        <f t="shared" si="7"/>
        <v>97340128.49</v>
      </c>
      <c r="I90" s="222">
        <f t="shared" si="5"/>
        <v>237</v>
      </c>
    </row>
    <row r="91" ht="12.0" customHeight="1">
      <c r="C91" s="222">
        <f t="shared" ref="C91:D91" si="87">C90+1</f>
        <v>83</v>
      </c>
      <c r="D91" s="231">
        <f t="shared" si="87"/>
        <v>124</v>
      </c>
      <c r="E91" s="222">
        <f t="shared" si="2"/>
        <v>300513.4612</v>
      </c>
      <c r="F91" s="222">
        <f t="shared" si="3"/>
        <v>245783.8244</v>
      </c>
      <c r="G91" s="222">
        <f t="shared" si="4"/>
        <v>546297.2856</v>
      </c>
      <c r="H91" s="224">
        <f t="shared" si="7"/>
        <v>97039615.03</v>
      </c>
      <c r="I91" s="222">
        <f t="shared" si="5"/>
        <v>236</v>
      </c>
    </row>
    <row r="92" ht="12.0" customHeight="1">
      <c r="C92" s="222">
        <f t="shared" ref="C92:D92" si="88">C91+1</f>
        <v>84</v>
      </c>
      <c r="D92" s="231">
        <f t="shared" si="88"/>
        <v>125</v>
      </c>
      <c r="E92" s="222">
        <f t="shared" si="2"/>
        <v>301272.2577</v>
      </c>
      <c r="F92" s="222">
        <f t="shared" si="3"/>
        <v>245025.028</v>
      </c>
      <c r="G92" s="222">
        <f t="shared" si="4"/>
        <v>546297.2856</v>
      </c>
      <c r="H92" s="224">
        <f t="shared" si="7"/>
        <v>96738342.77</v>
      </c>
      <c r="I92" s="222">
        <f t="shared" si="5"/>
        <v>235</v>
      </c>
    </row>
    <row r="93" ht="12.0" customHeight="1">
      <c r="C93" s="222">
        <f t="shared" ref="C93:D93" si="89">C92+1</f>
        <v>85</v>
      </c>
      <c r="D93" s="231">
        <f t="shared" si="89"/>
        <v>126</v>
      </c>
      <c r="E93" s="222">
        <f t="shared" si="2"/>
        <v>302032.9701</v>
      </c>
      <c r="F93" s="222">
        <f t="shared" si="3"/>
        <v>244264.3155</v>
      </c>
      <c r="G93" s="222">
        <f t="shared" si="4"/>
        <v>546297.2856</v>
      </c>
      <c r="H93" s="224">
        <f t="shared" si="7"/>
        <v>96436309.8</v>
      </c>
      <c r="I93" s="222">
        <f t="shared" si="5"/>
        <v>234</v>
      </c>
    </row>
    <row r="94" ht="12.0" customHeight="1">
      <c r="C94" s="222">
        <f t="shared" ref="C94:D94" si="90">C93+1</f>
        <v>86</v>
      </c>
      <c r="D94" s="231">
        <f t="shared" si="90"/>
        <v>127</v>
      </c>
      <c r="E94" s="222">
        <f t="shared" si="2"/>
        <v>302795.6034</v>
      </c>
      <c r="F94" s="222">
        <f t="shared" si="3"/>
        <v>243501.6822</v>
      </c>
      <c r="G94" s="222">
        <f t="shared" si="4"/>
        <v>546297.2856</v>
      </c>
      <c r="H94" s="224">
        <f t="shared" si="7"/>
        <v>96133514.2</v>
      </c>
      <c r="I94" s="222">
        <f t="shared" si="5"/>
        <v>233</v>
      </c>
    </row>
    <row r="95" ht="12.0" customHeight="1">
      <c r="C95" s="222">
        <f t="shared" ref="C95:D95" si="91">C94+1</f>
        <v>87</v>
      </c>
      <c r="D95" s="231">
        <f t="shared" si="91"/>
        <v>128</v>
      </c>
      <c r="E95" s="222">
        <f t="shared" si="2"/>
        <v>303560.1623</v>
      </c>
      <c r="F95" s="222">
        <f t="shared" si="3"/>
        <v>242737.1234</v>
      </c>
      <c r="G95" s="222">
        <f t="shared" si="4"/>
        <v>546297.2856</v>
      </c>
      <c r="H95" s="224">
        <f t="shared" si="7"/>
        <v>95829954.04</v>
      </c>
      <c r="I95" s="222">
        <f t="shared" si="5"/>
        <v>232</v>
      </c>
    </row>
    <row r="96" ht="12.0" customHeight="1">
      <c r="C96" s="222">
        <f t="shared" ref="C96:D96" si="92">C95+1</f>
        <v>88</v>
      </c>
      <c r="D96" s="231">
        <f t="shared" si="92"/>
        <v>129</v>
      </c>
      <c r="E96" s="222">
        <f t="shared" si="2"/>
        <v>304326.6517</v>
      </c>
      <c r="F96" s="222">
        <f t="shared" si="3"/>
        <v>241970.6339</v>
      </c>
      <c r="G96" s="222">
        <f t="shared" si="4"/>
        <v>546297.2856</v>
      </c>
      <c r="H96" s="224">
        <f t="shared" si="7"/>
        <v>95525627.38</v>
      </c>
      <c r="I96" s="222">
        <f t="shared" si="5"/>
        <v>231</v>
      </c>
    </row>
    <row r="97" ht="12.0" customHeight="1">
      <c r="C97" s="222">
        <f t="shared" ref="C97:D97" si="93">C96+1</f>
        <v>89</v>
      </c>
      <c r="D97" s="231">
        <f t="shared" si="93"/>
        <v>130</v>
      </c>
      <c r="E97" s="222">
        <f t="shared" si="2"/>
        <v>305095.0765</v>
      </c>
      <c r="F97" s="222">
        <f t="shared" si="3"/>
        <v>241202.2091</v>
      </c>
      <c r="G97" s="222">
        <f t="shared" si="4"/>
        <v>546297.2856</v>
      </c>
      <c r="H97" s="224">
        <f t="shared" si="7"/>
        <v>95220532.31</v>
      </c>
      <c r="I97" s="222">
        <f t="shared" si="5"/>
        <v>230</v>
      </c>
    </row>
    <row r="98" ht="12.0" customHeight="1">
      <c r="C98" s="222">
        <f t="shared" ref="C98:D98" si="94">C97+1</f>
        <v>90</v>
      </c>
      <c r="D98" s="231">
        <f t="shared" si="94"/>
        <v>131</v>
      </c>
      <c r="E98" s="222">
        <f t="shared" si="2"/>
        <v>305865.4415</v>
      </c>
      <c r="F98" s="222">
        <f t="shared" si="3"/>
        <v>240431.8441</v>
      </c>
      <c r="G98" s="222">
        <f t="shared" si="4"/>
        <v>546297.2856</v>
      </c>
      <c r="H98" s="224">
        <f t="shared" si="7"/>
        <v>94914666.87</v>
      </c>
      <c r="I98" s="222">
        <f t="shared" si="5"/>
        <v>229</v>
      </c>
    </row>
    <row r="99" ht="12.0" customHeight="1">
      <c r="C99" s="222">
        <f t="shared" ref="C99:D99" si="95">C98+1</f>
        <v>91</v>
      </c>
      <c r="D99" s="231">
        <f t="shared" si="95"/>
        <v>132</v>
      </c>
      <c r="E99" s="222">
        <f t="shared" si="2"/>
        <v>306637.7518</v>
      </c>
      <c r="F99" s="222">
        <f t="shared" si="3"/>
        <v>239659.5338</v>
      </c>
      <c r="G99" s="222">
        <f t="shared" si="4"/>
        <v>546297.2856</v>
      </c>
      <c r="H99" s="224">
        <f t="shared" si="7"/>
        <v>94608029.11</v>
      </c>
      <c r="I99" s="222">
        <f t="shared" si="5"/>
        <v>228</v>
      </c>
    </row>
    <row r="100" ht="12.0" customHeight="1">
      <c r="C100" s="222">
        <f t="shared" ref="C100:D100" si="96">C99+1</f>
        <v>92</v>
      </c>
      <c r="D100" s="231">
        <f t="shared" si="96"/>
        <v>133</v>
      </c>
      <c r="E100" s="222">
        <f t="shared" si="2"/>
        <v>307412.0121</v>
      </c>
      <c r="F100" s="222">
        <f t="shared" si="3"/>
        <v>238885.2735</v>
      </c>
      <c r="G100" s="222">
        <f t="shared" si="4"/>
        <v>546297.2856</v>
      </c>
      <c r="H100" s="224">
        <f t="shared" si="7"/>
        <v>94300617.1</v>
      </c>
      <c r="I100" s="222">
        <f t="shared" si="5"/>
        <v>227</v>
      </c>
    </row>
    <row r="101" ht="12.0" customHeight="1">
      <c r="C101" s="222">
        <f t="shared" ref="C101:D101" si="97">C100+1</f>
        <v>93</v>
      </c>
      <c r="D101" s="231">
        <f t="shared" si="97"/>
        <v>134</v>
      </c>
      <c r="E101" s="222">
        <f t="shared" si="2"/>
        <v>308188.2274</v>
      </c>
      <c r="F101" s="222">
        <f t="shared" si="3"/>
        <v>238109.0582</v>
      </c>
      <c r="G101" s="222">
        <f t="shared" si="4"/>
        <v>546297.2856</v>
      </c>
      <c r="H101" s="224">
        <f t="shared" si="7"/>
        <v>93992428.88</v>
      </c>
      <c r="I101" s="222">
        <f t="shared" si="5"/>
        <v>226</v>
      </c>
    </row>
    <row r="102" ht="12.0" customHeight="1">
      <c r="C102" s="222">
        <f t="shared" ref="C102:D102" si="98">C101+1</f>
        <v>94</v>
      </c>
      <c r="D102" s="231">
        <f t="shared" si="98"/>
        <v>135</v>
      </c>
      <c r="E102" s="222">
        <f t="shared" si="2"/>
        <v>308966.4027</v>
      </c>
      <c r="F102" s="222">
        <f t="shared" si="3"/>
        <v>237330.8829</v>
      </c>
      <c r="G102" s="222">
        <f t="shared" si="4"/>
        <v>546297.2856</v>
      </c>
      <c r="H102" s="224">
        <f t="shared" si="7"/>
        <v>93683462.47</v>
      </c>
      <c r="I102" s="222">
        <f t="shared" si="5"/>
        <v>225</v>
      </c>
    </row>
    <row r="103" ht="12.0" customHeight="1">
      <c r="C103" s="222">
        <f t="shared" ref="C103:D103" si="99">C102+1</f>
        <v>95</v>
      </c>
      <c r="D103" s="231">
        <f t="shared" si="99"/>
        <v>136</v>
      </c>
      <c r="E103" s="222">
        <f t="shared" si="2"/>
        <v>309746.5429</v>
      </c>
      <c r="F103" s="222">
        <f t="shared" si="3"/>
        <v>236550.7427</v>
      </c>
      <c r="G103" s="222">
        <f t="shared" si="4"/>
        <v>546297.2856</v>
      </c>
      <c r="H103" s="224">
        <f t="shared" si="7"/>
        <v>93373715.93</v>
      </c>
      <c r="I103" s="222">
        <f t="shared" si="5"/>
        <v>224</v>
      </c>
    </row>
    <row r="104" ht="12.0" customHeight="1">
      <c r="C104" s="222">
        <f t="shared" ref="C104:D104" si="100">C103+1</f>
        <v>96</v>
      </c>
      <c r="D104" s="231">
        <f t="shared" si="100"/>
        <v>137</v>
      </c>
      <c r="E104" s="222">
        <f t="shared" si="2"/>
        <v>310528.6529</v>
      </c>
      <c r="F104" s="222">
        <f t="shared" si="3"/>
        <v>235768.6327</v>
      </c>
      <c r="G104" s="222">
        <f t="shared" si="4"/>
        <v>546297.2856</v>
      </c>
      <c r="H104" s="224">
        <f t="shared" si="7"/>
        <v>93063187.28</v>
      </c>
      <c r="I104" s="222">
        <f t="shared" si="5"/>
        <v>223</v>
      </c>
    </row>
    <row r="105" ht="12.0" customHeight="1">
      <c r="C105" s="222">
        <f t="shared" ref="C105:D105" si="101">C104+1</f>
        <v>97</v>
      </c>
      <c r="D105" s="231">
        <f t="shared" si="101"/>
        <v>138</v>
      </c>
      <c r="E105" s="222">
        <f t="shared" si="2"/>
        <v>311312.7377</v>
      </c>
      <c r="F105" s="222">
        <f t="shared" si="3"/>
        <v>234984.5479</v>
      </c>
      <c r="G105" s="222">
        <f t="shared" si="4"/>
        <v>546297.2856</v>
      </c>
      <c r="H105" s="224">
        <f t="shared" si="7"/>
        <v>92751874.54</v>
      </c>
      <c r="I105" s="222">
        <f t="shared" si="5"/>
        <v>222</v>
      </c>
    </row>
    <row r="106" ht="12.0" customHeight="1">
      <c r="C106" s="222">
        <f t="shared" ref="C106:D106" si="102">C105+1</f>
        <v>98</v>
      </c>
      <c r="D106" s="231">
        <f t="shared" si="102"/>
        <v>139</v>
      </c>
      <c r="E106" s="222">
        <f t="shared" si="2"/>
        <v>312098.8024</v>
      </c>
      <c r="F106" s="222">
        <f t="shared" si="3"/>
        <v>234198.4832</v>
      </c>
      <c r="G106" s="222">
        <f t="shared" si="4"/>
        <v>546297.2856</v>
      </c>
      <c r="H106" s="224">
        <f t="shared" si="7"/>
        <v>92439775.74</v>
      </c>
      <c r="I106" s="222">
        <f t="shared" si="5"/>
        <v>221</v>
      </c>
    </row>
    <row r="107" ht="12.0" customHeight="1">
      <c r="C107" s="222">
        <f t="shared" ref="C107:D107" si="103">C106+1</f>
        <v>99</v>
      </c>
      <c r="D107" s="231">
        <f t="shared" si="103"/>
        <v>140</v>
      </c>
      <c r="E107" s="222">
        <f t="shared" si="2"/>
        <v>312886.8519</v>
      </c>
      <c r="F107" s="222">
        <f t="shared" si="3"/>
        <v>233410.4337</v>
      </c>
      <c r="G107" s="222">
        <f t="shared" si="4"/>
        <v>546297.2856</v>
      </c>
      <c r="H107" s="224">
        <f t="shared" si="7"/>
        <v>92126888.88</v>
      </c>
      <c r="I107" s="222">
        <f t="shared" si="5"/>
        <v>220</v>
      </c>
    </row>
    <row r="108" ht="12.0" customHeight="1">
      <c r="C108" s="222">
        <f t="shared" ref="C108:D108" si="104">C107+1</f>
        <v>100</v>
      </c>
      <c r="D108" s="231">
        <f t="shared" si="104"/>
        <v>141</v>
      </c>
      <c r="E108" s="222">
        <f t="shared" si="2"/>
        <v>313676.8912</v>
      </c>
      <c r="F108" s="222">
        <f t="shared" si="3"/>
        <v>232620.3944</v>
      </c>
      <c r="G108" s="222">
        <f t="shared" si="4"/>
        <v>546297.2856</v>
      </c>
      <c r="H108" s="224">
        <f t="shared" si="7"/>
        <v>91813211.99</v>
      </c>
      <c r="I108" s="222">
        <f t="shared" si="5"/>
        <v>219</v>
      </c>
    </row>
    <row r="109" ht="12.0" customHeight="1">
      <c r="C109" s="222">
        <f t="shared" ref="C109:D109" si="105">C108+1</f>
        <v>101</v>
      </c>
      <c r="D109" s="231">
        <f t="shared" si="105"/>
        <v>142</v>
      </c>
      <c r="E109" s="222">
        <f t="shared" si="2"/>
        <v>314468.9253</v>
      </c>
      <c r="F109" s="222">
        <f t="shared" si="3"/>
        <v>231828.3603</v>
      </c>
      <c r="G109" s="222">
        <f t="shared" si="4"/>
        <v>546297.2856</v>
      </c>
      <c r="H109" s="224">
        <f t="shared" si="7"/>
        <v>91498743.07</v>
      </c>
      <c r="I109" s="222">
        <f t="shared" si="5"/>
        <v>218</v>
      </c>
    </row>
    <row r="110" ht="12.0" customHeight="1">
      <c r="C110" s="222">
        <f t="shared" ref="C110:D110" si="106">C109+1</f>
        <v>102</v>
      </c>
      <c r="D110" s="231">
        <f t="shared" si="106"/>
        <v>143</v>
      </c>
      <c r="E110" s="222">
        <f t="shared" si="2"/>
        <v>315262.9594</v>
      </c>
      <c r="F110" s="222">
        <f t="shared" si="3"/>
        <v>231034.3262</v>
      </c>
      <c r="G110" s="222">
        <f t="shared" si="4"/>
        <v>546297.2856</v>
      </c>
      <c r="H110" s="224">
        <f t="shared" si="7"/>
        <v>91183480.11</v>
      </c>
      <c r="I110" s="222">
        <f t="shared" si="5"/>
        <v>217</v>
      </c>
    </row>
    <row r="111" ht="12.0" customHeight="1">
      <c r="C111" s="222">
        <f t="shared" ref="C111:D111" si="107">C110+1</f>
        <v>103</v>
      </c>
      <c r="D111" s="231">
        <f t="shared" si="107"/>
        <v>144</v>
      </c>
      <c r="E111" s="222">
        <f t="shared" si="2"/>
        <v>316058.9983</v>
      </c>
      <c r="F111" s="222">
        <f t="shared" si="3"/>
        <v>230238.2873</v>
      </c>
      <c r="G111" s="222">
        <f t="shared" si="4"/>
        <v>546297.2856</v>
      </c>
      <c r="H111" s="224">
        <f t="shared" si="7"/>
        <v>90867421.11</v>
      </c>
      <c r="I111" s="222">
        <f t="shared" si="5"/>
        <v>216</v>
      </c>
    </row>
    <row r="112" ht="12.0" customHeight="1">
      <c r="C112" s="222">
        <f t="shared" ref="C112:D112" si="108">C111+1</f>
        <v>104</v>
      </c>
      <c r="D112" s="231">
        <f t="shared" si="108"/>
        <v>145</v>
      </c>
      <c r="E112" s="222">
        <f t="shared" si="2"/>
        <v>316857.0473</v>
      </c>
      <c r="F112" s="222">
        <f t="shared" si="3"/>
        <v>229440.2383</v>
      </c>
      <c r="G112" s="222">
        <f t="shared" si="4"/>
        <v>546297.2856</v>
      </c>
      <c r="H112" s="224">
        <f t="shared" si="7"/>
        <v>90550564.06</v>
      </c>
      <c r="I112" s="222">
        <f t="shared" si="5"/>
        <v>215</v>
      </c>
    </row>
    <row r="113" ht="12.0" customHeight="1">
      <c r="C113" s="222">
        <f t="shared" ref="C113:D113" si="109">C112+1</f>
        <v>105</v>
      </c>
      <c r="D113" s="231">
        <f t="shared" si="109"/>
        <v>146</v>
      </c>
      <c r="E113" s="222">
        <f t="shared" si="2"/>
        <v>317657.1114</v>
      </c>
      <c r="F113" s="222">
        <f t="shared" si="3"/>
        <v>228640.1743</v>
      </c>
      <c r="G113" s="222">
        <f t="shared" si="4"/>
        <v>546297.2856</v>
      </c>
      <c r="H113" s="224">
        <f t="shared" si="7"/>
        <v>90232906.95</v>
      </c>
      <c r="I113" s="222">
        <f t="shared" si="5"/>
        <v>214</v>
      </c>
    </row>
    <row r="114" ht="12.0" customHeight="1">
      <c r="C114" s="222">
        <f t="shared" ref="C114:D114" si="110">C113+1</f>
        <v>106</v>
      </c>
      <c r="D114" s="231">
        <f t="shared" si="110"/>
        <v>147</v>
      </c>
      <c r="E114" s="222">
        <f t="shared" si="2"/>
        <v>318459.1956</v>
      </c>
      <c r="F114" s="222">
        <f t="shared" si="3"/>
        <v>227838.0901</v>
      </c>
      <c r="G114" s="222">
        <f t="shared" si="4"/>
        <v>546297.2856</v>
      </c>
      <c r="H114" s="224">
        <f t="shared" si="7"/>
        <v>89914447.76</v>
      </c>
      <c r="I114" s="222">
        <f t="shared" si="5"/>
        <v>213</v>
      </c>
    </row>
    <row r="115" ht="12.0" customHeight="1">
      <c r="C115" s="222">
        <f t="shared" ref="C115:D115" si="111">C114+1</f>
        <v>107</v>
      </c>
      <c r="D115" s="231">
        <f t="shared" si="111"/>
        <v>148</v>
      </c>
      <c r="E115" s="222">
        <f t="shared" si="2"/>
        <v>319263.305</v>
      </c>
      <c r="F115" s="222">
        <f t="shared" si="3"/>
        <v>227033.9806</v>
      </c>
      <c r="G115" s="222">
        <f t="shared" si="4"/>
        <v>546297.2856</v>
      </c>
      <c r="H115" s="224">
        <f t="shared" si="7"/>
        <v>89595184.45</v>
      </c>
      <c r="I115" s="222">
        <f t="shared" si="5"/>
        <v>212</v>
      </c>
    </row>
    <row r="116" ht="12.0" customHeight="1">
      <c r="C116" s="222">
        <f t="shared" ref="C116:D116" si="112">C115+1</f>
        <v>108</v>
      </c>
      <c r="D116" s="231">
        <f t="shared" si="112"/>
        <v>149</v>
      </c>
      <c r="E116" s="222">
        <f t="shared" si="2"/>
        <v>320069.4449</v>
      </c>
      <c r="F116" s="222">
        <f t="shared" si="3"/>
        <v>226227.8407</v>
      </c>
      <c r="G116" s="222">
        <f t="shared" si="4"/>
        <v>546297.2856</v>
      </c>
      <c r="H116" s="224">
        <f t="shared" si="7"/>
        <v>89275115.01</v>
      </c>
      <c r="I116" s="222">
        <f t="shared" si="5"/>
        <v>211</v>
      </c>
    </row>
    <row r="117" ht="12.0" customHeight="1">
      <c r="C117" s="222">
        <f t="shared" ref="C117:D117" si="113">C116+1</f>
        <v>109</v>
      </c>
      <c r="D117" s="231">
        <f t="shared" si="113"/>
        <v>150</v>
      </c>
      <c r="E117" s="222">
        <f t="shared" si="2"/>
        <v>320877.6202</v>
      </c>
      <c r="F117" s="222">
        <f t="shared" si="3"/>
        <v>225419.6654</v>
      </c>
      <c r="G117" s="222">
        <f t="shared" si="4"/>
        <v>546297.2856</v>
      </c>
      <c r="H117" s="224">
        <f t="shared" si="7"/>
        <v>88954237.39</v>
      </c>
      <c r="I117" s="222">
        <f t="shared" si="5"/>
        <v>210</v>
      </c>
    </row>
    <row r="118" ht="12.0" customHeight="1">
      <c r="C118" s="222">
        <f t="shared" ref="C118:D118" si="114">C117+1</f>
        <v>110</v>
      </c>
      <c r="D118" s="231">
        <f t="shared" si="114"/>
        <v>151</v>
      </c>
      <c r="E118" s="222">
        <f t="shared" si="2"/>
        <v>321687.8362</v>
      </c>
      <c r="F118" s="222">
        <f t="shared" si="3"/>
        <v>224609.4494</v>
      </c>
      <c r="G118" s="222">
        <f t="shared" si="4"/>
        <v>546297.2856</v>
      </c>
      <c r="H118" s="224">
        <f t="shared" si="7"/>
        <v>88632549.55</v>
      </c>
      <c r="I118" s="222">
        <f t="shared" si="5"/>
        <v>209</v>
      </c>
    </row>
    <row r="119" ht="12.0" customHeight="1">
      <c r="C119" s="222">
        <f t="shared" ref="C119:D119" si="115">C118+1</f>
        <v>111</v>
      </c>
      <c r="D119" s="231">
        <f t="shared" si="115"/>
        <v>152</v>
      </c>
      <c r="E119" s="222">
        <f t="shared" si="2"/>
        <v>322500.098</v>
      </c>
      <c r="F119" s="222">
        <f t="shared" si="3"/>
        <v>223797.1876</v>
      </c>
      <c r="G119" s="222">
        <f t="shared" si="4"/>
        <v>546297.2856</v>
      </c>
      <c r="H119" s="224">
        <f t="shared" si="7"/>
        <v>88310049.45</v>
      </c>
      <c r="I119" s="222">
        <f t="shared" si="5"/>
        <v>208</v>
      </c>
    </row>
    <row r="120" ht="12.0" customHeight="1">
      <c r="C120" s="222">
        <f t="shared" ref="C120:D120" si="116">C119+1</f>
        <v>112</v>
      </c>
      <c r="D120" s="231">
        <f t="shared" si="116"/>
        <v>153</v>
      </c>
      <c r="E120" s="222">
        <f t="shared" si="2"/>
        <v>323314.4108</v>
      </c>
      <c r="F120" s="222">
        <f t="shared" si="3"/>
        <v>222982.8749</v>
      </c>
      <c r="G120" s="222">
        <f t="shared" si="4"/>
        <v>546297.2856</v>
      </c>
      <c r="H120" s="224">
        <f t="shared" si="7"/>
        <v>87986735.04</v>
      </c>
      <c r="I120" s="222">
        <f t="shared" si="5"/>
        <v>207</v>
      </c>
    </row>
    <row r="121" ht="12.0" customHeight="1">
      <c r="C121" s="222">
        <f t="shared" ref="C121:D121" si="117">C120+1</f>
        <v>113</v>
      </c>
      <c r="D121" s="231">
        <f t="shared" si="117"/>
        <v>154</v>
      </c>
      <c r="E121" s="222">
        <f t="shared" si="2"/>
        <v>324130.7796</v>
      </c>
      <c r="F121" s="222">
        <f t="shared" si="3"/>
        <v>222166.506</v>
      </c>
      <c r="G121" s="222">
        <f t="shared" si="4"/>
        <v>546297.2856</v>
      </c>
      <c r="H121" s="224">
        <f t="shared" si="7"/>
        <v>87662604.26</v>
      </c>
      <c r="I121" s="222">
        <f t="shared" si="5"/>
        <v>206</v>
      </c>
    </row>
    <row r="122" ht="12.0" customHeight="1">
      <c r="C122" s="222">
        <f t="shared" ref="C122:D122" si="118">C121+1</f>
        <v>114</v>
      </c>
      <c r="D122" s="231">
        <f t="shared" si="118"/>
        <v>155</v>
      </c>
      <c r="E122" s="222">
        <f t="shared" si="2"/>
        <v>324949.2099</v>
      </c>
      <c r="F122" s="222">
        <f t="shared" si="3"/>
        <v>221348.0758</v>
      </c>
      <c r="G122" s="222">
        <f t="shared" si="4"/>
        <v>546297.2856</v>
      </c>
      <c r="H122" s="224">
        <f t="shared" si="7"/>
        <v>87337655.05</v>
      </c>
      <c r="I122" s="222">
        <f t="shared" si="5"/>
        <v>205</v>
      </c>
    </row>
    <row r="123" ht="12.0" customHeight="1">
      <c r="C123" s="222">
        <f t="shared" ref="C123:D123" si="119">C122+1</f>
        <v>115</v>
      </c>
      <c r="D123" s="231">
        <f t="shared" si="119"/>
        <v>156</v>
      </c>
      <c r="E123" s="222">
        <f t="shared" si="2"/>
        <v>325769.7066</v>
      </c>
      <c r="F123" s="222">
        <f t="shared" si="3"/>
        <v>220527.579</v>
      </c>
      <c r="G123" s="222">
        <f t="shared" si="4"/>
        <v>546297.2856</v>
      </c>
      <c r="H123" s="224">
        <f t="shared" si="7"/>
        <v>87011885.34</v>
      </c>
      <c r="I123" s="222">
        <f t="shared" si="5"/>
        <v>204</v>
      </c>
    </row>
    <row r="124" ht="12.0" customHeight="1">
      <c r="C124" s="222">
        <f t="shared" ref="C124:D124" si="120">C123+1</f>
        <v>116</v>
      </c>
      <c r="D124" s="231">
        <f t="shared" si="120"/>
        <v>157</v>
      </c>
      <c r="E124" s="222">
        <f t="shared" si="2"/>
        <v>326592.2751</v>
      </c>
      <c r="F124" s="222">
        <f t="shared" si="3"/>
        <v>219705.0105</v>
      </c>
      <c r="G124" s="222">
        <f t="shared" si="4"/>
        <v>546297.2856</v>
      </c>
      <c r="H124" s="224">
        <f t="shared" si="7"/>
        <v>86685293.07</v>
      </c>
      <c r="I124" s="222">
        <f t="shared" si="5"/>
        <v>203</v>
      </c>
    </row>
    <row r="125" ht="12.0" customHeight="1">
      <c r="C125" s="222">
        <f t="shared" ref="C125:D125" si="121">C124+1</f>
        <v>117</v>
      </c>
      <c r="D125" s="231">
        <f t="shared" si="121"/>
        <v>158</v>
      </c>
      <c r="E125" s="222">
        <f t="shared" si="2"/>
        <v>327416.9206</v>
      </c>
      <c r="F125" s="222">
        <f t="shared" si="3"/>
        <v>218880.365</v>
      </c>
      <c r="G125" s="222">
        <f t="shared" si="4"/>
        <v>546297.2856</v>
      </c>
      <c r="H125" s="224">
        <f t="shared" si="7"/>
        <v>86357876.15</v>
      </c>
      <c r="I125" s="222">
        <f t="shared" si="5"/>
        <v>202</v>
      </c>
    </row>
    <row r="126" ht="12.0" customHeight="1">
      <c r="C126" s="222">
        <f t="shared" ref="C126:D126" si="122">C125+1</f>
        <v>118</v>
      </c>
      <c r="D126" s="231">
        <f t="shared" si="122"/>
        <v>159</v>
      </c>
      <c r="E126" s="222">
        <f t="shared" si="2"/>
        <v>328243.6483</v>
      </c>
      <c r="F126" s="222">
        <f t="shared" si="3"/>
        <v>218053.6373</v>
      </c>
      <c r="G126" s="222">
        <f t="shared" si="4"/>
        <v>546297.2856</v>
      </c>
      <c r="H126" s="224">
        <f t="shared" si="7"/>
        <v>86029632.5</v>
      </c>
      <c r="I126" s="222">
        <f t="shared" si="5"/>
        <v>201</v>
      </c>
    </row>
    <row r="127" ht="12.0" customHeight="1">
      <c r="C127" s="222">
        <f t="shared" ref="C127:D127" si="123">C126+1</f>
        <v>119</v>
      </c>
      <c r="D127" s="231">
        <f t="shared" si="123"/>
        <v>160</v>
      </c>
      <c r="E127" s="222">
        <f t="shared" si="2"/>
        <v>329072.4636</v>
      </c>
      <c r="F127" s="222">
        <f t="shared" si="3"/>
        <v>217224.8221</v>
      </c>
      <c r="G127" s="222">
        <f t="shared" si="4"/>
        <v>546297.2856</v>
      </c>
      <c r="H127" s="224">
        <f t="shared" si="7"/>
        <v>85700560.04</v>
      </c>
      <c r="I127" s="222">
        <f t="shared" si="5"/>
        <v>200</v>
      </c>
    </row>
    <row r="128" ht="12.0" customHeight="1">
      <c r="C128" s="222">
        <f t="shared" ref="C128:D128" si="124">C127+1</f>
        <v>120</v>
      </c>
      <c r="D128" s="231">
        <f t="shared" si="124"/>
        <v>161</v>
      </c>
      <c r="E128" s="222">
        <f t="shared" si="2"/>
        <v>329903.3715</v>
      </c>
      <c r="F128" s="222">
        <f t="shared" si="3"/>
        <v>216393.9141</v>
      </c>
      <c r="G128" s="222">
        <f t="shared" si="4"/>
        <v>546297.2856</v>
      </c>
      <c r="H128" s="224">
        <f t="shared" si="7"/>
        <v>85370656.67</v>
      </c>
      <c r="I128" s="222">
        <f t="shared" si="5"/>
        <v>199</v>
      </c>
    </row>
    <row r="129" ht="12.0" customHeight="1">
      <c r="C129" s="222">
        <f t="shared" ref="C129:D129" si="125">C128+1</f>
        <v>121</v>
      </c>
      <c r="D129" s="231">
        <f t="shared" si="125"/>
        <v>162</v>
      </c>
      <c r="E129" s="222">
        <f t="shared" si="2"/>
        <v>330736.3775</v>
      </c>
      <c r="F129" s="222">
        <f t="shared" si="3"/>
        <v>215560.9081</v>
      </c>
      <c r="G129" s="222">
        <f t="shared" si="4"/>
        <v>546297.2856</v>
      </c>
      <c r="H129" s="224">
        <f t="shared" si="7"/>
        <v>85039920.29</v>
      </c>
      <c r="I129" s="222">
        <f t="shared" si="5"/>
        <v>198</v>
      </c>
    </row>
    <row r="130" ht="12.0" customHeight="1">
      <c r="C130" s="222">
        <f t="shared" ref="C130:D130" si="126">C129+1</f>
        <v>122</v>
      </c>
      <c r="D130" s="231">
        <f t="shared" si="126"/>
        <v>163</v>
      </c>
      <c r="E130" s="222">
        <f t="shared" si="2"/>
        <v>331571.4869</v>
      </c>
      <c r="F130" s="222">
        <f t="shared" si="3"/>
        <v>214725.7987</v>
      </c>
      <c r="G130" s="222">
        <f t="shared" si="4"/>
        <v>546297.2856</v>
      </c>
      <c r="H130" s="224">
        <f t="shared" si="7"/>
        <v>84708348.8</v>
      </c>
      <c r="I130" s="222">
        <f t="shared" si="5"/>
        <v>197</v>
      </c>
    </row>
    <row r="131" ht="12.0" customHeight="1">
      <c r="C131" s="222">
        <f t="shared" ref="C131:D131" si="127">C130+1</f>
        <v>123</v>
      </c>
      <c r="D131" s="231">
        <f t="shared" si="127"/>
        <v>164</v>
      </c>
      <c r="E131" s="222">
        <f t="shared" si="2"/>
        <v>332408.7049</v>
      </c>
      <c r="F131" s="222">
        <f t="shared" si="3"/>
        <v>213888.5807</v>
      </c>
      <c r="G131" s="222">
        <f t="shared" si="4"/>
        <v>546297.2856</v>
      </c>
      <c r="H131" s="224">
        <f t="shared" si="7"/>
        <v>84375940.1</v>
      </c>
      <c r="I131" s="222">
        <f t="shared" si="5"/>
        <v>196</v>
      </c>
    </row>
    <row r="132" ht="12.0" customHeight="1">
      <c r="C132" s="222">
        <f t="shared" ref="C132:D132" si="128">C131+1</f>
        <v>124</v>
      </c>
      <c r="D132" s="231">
        <f t="shared" si="128"/>
        <v>165</v>
      </c>
      <c r="E132" s="222">
        <f t="shared" si="2"/>
        <v>333248.0369</v>
      </c>
      <c r="F132" s="222">
        <f t="shared" si="3"/>
        <v>213049.2487</v>
      </c>
      <c r="G132" s="222">
        <f t="shared" si="4"/>
        <v>546297.2856</v>
      </c>
      <c r="H132" s="224">
        <f t="shared" si="7"/>
        <v>84042692.06</v>
      </c>
      <c r="I132" s="222">
        <f t="shared" si="5"/>
        <v>195</v>
      </c>
    </row>
    <row r="133" ht="12.0" customHeight="1">
      <c r="C133" s="222">
        <f t="shared" ref="C133:D133" si="129">C132+1</f>
        <v>125</v>
      </c>
      <c r="D133" s="231">
        <f t="shared" si="129"/>
        <v>166</v>
      </c>
      <c r="E133" s="222">
        <f t="shared" si="2"/>
        <v>334089.4882</v>
      </c>
      <c r="F133" s="222">
        <f t="shared" si="3"/>
        <v>212207.7975</v>
      </c>
      <c r="G133" s="222">
        <f t="shared" si="4"/>
        <v>546297.2856</v>
      </c>
      <c r="H133" s="224">
        <f t="shared" si="7"/>
        <v>83708602.57</v>
      </c>
      <c r="I133" s="222">
        <f t="shared" si="5"/>
        <v>194</v>
      </c>
    </row>
    <row r="134" ht="12.0" customHeight="1">
      <c r="C134" s="222">
        <f t="shared" ref="C134:D134" si="130">C133+1</f>
        <v>126</v>
      </c>
      <c r="D134" s="231">
        <f t="shared" si="130"/>
        <v>167</v>
      </c>
      <c r="E134" s="222">
        <f t="shared" si="2"/>
        <v>334933.0641</v>
      </c>
      <c r="F134" s="222">
        <f t="shared" si="3"/>
        <v>211364.2215</v>
      </c>
      <c r="G134" s="222">
        <f t="shared" si="4"/>
        <v>546297.2856</v>
      </c>
      <c r="H134" s="224">
        <f t="shared" si="7"/>
        <v>83373669.51</v>
      </c>
      <c r="I134" s="222">
        <f t="shared" si="5"/>
        <v>193</v>
      </c>
    </row>
    <row r="135" ht="12.0" customHeight="1">
      <c r="C135" s="222">
        <f t="shared" ref="C135:D135" si="131">C134+1</f>
        <v>127</v>
      </c>
      <c r="D135" s="231">
        <f t="shared" si="131"/>
        <v>168</v>
      </c>
      <c r="E135" s="222">
        <f t="shared" si="2"/>
        <v>335778.7701</v>
      </c>
      <c r="F135" s="222">
        <f t="shared" si="3"/>
        <v>210518.5155</v>
      </c>
      <c r="G135" s="222">
        <f t="shared" si="4"/>
        <v>546297.2856</v>
      </c>
      <c r="H135" s="224">
        <f t="shared" si="7"/>
        <v>83037890.74</v>
      </c>
      <c r="I135" s="222">
        <f t="shared" si="5"/>
        <v>192</v>
      </c>
    </row>
    <row r="136" ht="12.0" customHeight="1">
      <c r="C136" s="222">
        <f t="shared" ref="C136:D136" si="132">C135+1</f>
        <v>128</v>
      </c>
      <c r="D136" s="231">
        <f t="shared" si="132"/>
        <v>169</v>
      </c>
      <c r="E136" s="222">
        <f t="shared" si="2"/>
        <v>336626.6115</v>
      </c>
      <c r="F136" s="222">
        <f t="shared" si="3"/>
        <v>209670.6741</v>
      </c>
      <c r="G136" s="222">
        <f t="shared" si="4"/>
        <v>546297.2856</v>
      </c>
      <c r="H136" s="224">
        <f t="shared" si="7"/>
        <v>82701264.13</v>
      </c>
      <c r="I136" s="222">
        <f t="shared" si="5"/>
        <v>191</v>
      </c>
    </row>
    <row r="137" ht="12.0" customHeight="1">
      <c r="C137" s="222">
        <f t="shared" ref="C137:D137" si="133">C136+1</f>
        <v>129</v>
      </c>
      <c r="D137" s="231">
        <f t="shared" si="133"/>
        <v>170</v>
      </c>
      <c r="E137" s="222">
        <f t="shared" si="2"/>
        <v>337476.5937</v>
      </c>
      <c r="F137" s="222">
        <f t="shared" si="3"/>
        <v>208820.6919</v>
      </c>
      <c r="G137" s="222">
        <f t="shared" si="4"/>
        <v>546297.2856</v>
      </c>
      <c r="H137" s="224">
        <f t="shared" si="7"/>
        <v>82363787.53</v>
      </c>
      <c r="I137" s="222">
        <f t="shared" si="5"/>
        <v>190</v>
      </c>
    </row>
    <row r="138" ht="12.0" customHeight="1">
      <c r="C138" s="222">
        <f t="shared" ref="C138:D138" si="134">C137+1</f>
        <v>130</v>
      </c>
      <c r="D138" s="231">
        <f t="shared" si="134"/>
        <v>171</v>
      </c>
      <c r="E138" s="222">
        <f t="shared" si="2"/>
        <v>338328.7221</v>
      </c>
      <c r="F138" s="222">
        <f t="shared" si="3"/>
        <v>207968.5635</v>
      </c>
      <c r="G138" s="222">
        <f t="shared" si="4"/>
        <v>546297.2856</v>
      </c>
      <c r="H138" s="224">
        <f t="shared" si="7"/>
        <v>82025458.81</v>
      </c>
      <c r="I138" s="222">
        <f t="shared" si="5"/>
        <v>189</v>
      </c>
    </row>
    <row r="139" ht="12.0" customHeight="1">
      <c r="C139" s="222">
        <f t="shared" ref="C139:D139" si="135">C138+1</f>
        <v>131</v>
      </c>
      <c r="D139" s="231">
        <f t="shared" si="135"/>
        <v>172</v>
      </c>
      <c r="E139" s="222">
        <f t="shared" si="2"/>
        <v>339183.0021</v>
      </c>
      <c r="F139" s="222">
        <f t="shared" si="3"/>
        <v>207114.2835</v>
      </c>
      <c r="G139" s="222">
        <f t="shared" si="4"/>
        <v>546297.2856</v>
      </c>
      <c r="H139" s="224">
        <f t="shared" si="7"/>
        <v>81686275.81</v>
      </c>
      <c r="I139" s="222">
        <f t="shared" si="5"/>
        <v>188</v>
      </c>
    </row>
    <row r="140" ht="12.0" customHeight="1">
      <c r="C140" s="222">
        <f t="shared" ref="C140:D140" si="136">C139+1</f>
        <v>132</v>
      </c>
      <c r="D140" s="231">
        <f t="shared" si="136"/>
        <v>173</v>
      </c>
      <c r="E140" s="222">
        <f t="shared" si="2"/>
        <v>340039.4392</v>
      </c>
      <c r="F140" s="222">
        <f t="shared" si="3"/>
        <v>206257.8464</v>
      </c>
      <c r="G140" s="222">
        <f t="shared" si="4"/>
        <v>546297.2856</v>
      </c>
      <c r="H140" s="224">
        <f t="shared" si="7"/>
        <v>81346236.37</v>
      </c>
      <c r="I140" s="222">
        <f t="shared" si="5"/>
        <v>187</v>
      </c>
    </row>
    <row r="141" ht="12.0" customHeight="1">
      <c r="C141" s="222">
        <f t="shared" ref="C141:D141" si="137">C140+1</f>
        <v>133</v>
      </c>
      <c r="D141" s="231">
        <f t="shared" si="137"/>
        <v>174</v>
      </c>
      <c r="E141" s="222">
        <f t="shared" si="2"/>
        <v>340898.0388</v>
      </c>
      <c r="F141" s="222">
        <f t="shared" si="3"/>
        <v>205399.2468</v>
      </c>
      <c r="G141" s="222">
        <f t="shared" si="4"/>
        <v>546297.2856</v>
      </c>
      <c r="H141" s="224">
        <f t="shared" si="7"/>
        <v>81005338.33</v>
      </c>
      <c r="I141" s="222">
        <f t="shared" si="5"/>
        <v>186</v>
      </c>
    </row>
    <row r="142" ht="12.0" customHeight="1">
      <c r="C142" s="222">
        <f t="shared" ref="C142:D142" si="138">C141+1</f>
        <v>134</v>
      </c>
      <c r="D142" s="231">
        <f t="shared" si="138"/>
        <v>175</v>
      </c>
      <c r="E142" s="222">
        <f t="shared" si="2"/>
        <v>341758.8063</v>
      </c>
      <c r="F142" s="222">
        <f t="shared" si="3"/>
        <v>204538.4793</v>
      </c>
      <c r="G142" s="222">
        <f t="shared" si="4"/>
        <v>546297.2856</v>
      </c>
      <c r="H142" s="224">
        <f t="shared" si="7"/>
        <v>80663579.52</v>
      </c>
      <c r="I142" s="222">
        <f t="shared" si="5"/>
        <v>185</v>
      </c>
    </row>
    <row r="143" ht="12.0" customHeight="1">
      <c r="C143" s="222">
        <f t="shared" ref="C143:D143" si="139">C142+1</f>
        <v>135</v>
      </c>
      <c r="D143" s="231">
        <f t="shared" si="139"/>
        <v>176</v>
      </c>
      <c r="E143" s="222">
        <f t="shared" si="2"/>
        <v>342621.7473</v>
      </c>
      <c r="F143" s="222">
        <f t="shared" si="3"/>
        <v>203675.5383</v>
      </c>
      <c r="G143" s="222">
        <f t="shared" si="4"/>
        <v>546297.2856</v>
      </c>
      <c r="H143" s="224">
        <f t="shared" si="7"/>
        <v>80320957.78</v>
      </c>
      <c r="I143" s="222">
        <f t="shared" si="5"/>
        <v>184</v>
      </c>
    </row>
    <row r="144" ht="12.0" customHeight="1">
      <c r="C144" s="222">
        <f t="shared" ref="C144:D144" si="140">C143+1</f>
        <v>136</v>
      </c>
      <c r="D144" s="231">
        <f t="shared" si="140"/>
        <v>177</v>
      </c>
      <c r="E144" s="222">
        <f t="shared" si="2"/>
        <v>343486.8672</v>
      </c>
      <c r="F144" s="222">
        <f t="shared" si="3"/>
        <v>202810.4184</v>
      </c>
      <c r="G144" s="222">
        <f t="shared" si="4"/>
        <v>546297.2856</v>
      </c>
      <c r="H144" s="224">
        <f t="shared" si="7"/>
        <v>79977470.91</v>
      </c>
      <c r="I144" s="222">
        <f t="shared" si="5"/>
        <v>183</v>
      </c>
    </row>
    <row r="145" ht="12.0" customHeight="1">
      <c r="C145" s="222">
        <f t="shared" ref="C145:D145" si="141">C144+1</f>
        <v>137</v>
      </c>
      <c r="D145" s="231">
        <f t="shared" si="141"/>
        <v>178</v>
      </c>
      <c r="E145" s="222">
        <f t="shared" si="2"/>
        <v>344354.1716</v>
      </c>
      <c r="F145" s="222">
        <f t="shared" si="3"/>
        <v>201943.114</v>
      </c>
      <c r="G145" s="222">
        <f t="shared" si="4"/>
        <v>546297.2856</v>
      </c>
      <c r="H145" s="224">
        <f t="shared" si="7"/>
        <v>79633116.74</v>
      </c>
      <c r="I145" s="222">
        <f t="shared" si="5"/>
        <v>182</v>
      </c>
    </row>
    <row r="146" ht="12.0" customHeight="1">
      <c r="C146" s="222">
        <f t="shared" ref="C146:D146" si="142">C145+1</f>
        <v>138</v>
      </c>
      <c r="D146" s="231">
        <f t="shared" si="142"/>
        <v>179</v>
      </c>
      <c r="E146" s="222">
        <f t="shared" si="2"/>
        <v>345223.6659</v>
      </c>
      <c r="F146" s="222">
        <f t="shared" si="3"/>
        <v>201073.6198</v>
      </c>
      <c r="G146" s="222">
        <f t="shared" si="4"/>
        <v>546297.2856</v>
      </c>
      <c r="H146" s="224">
        <f t="shared" si="7"/>
        <v>79287893.07</v>
      </c>
      <c r="I146" s="222">
        <f t="shared" si="5"/>
        <v>181</v>
      </c>
    </row>
    <row r="147" ht="12.0" customHeight="1">
      <c r="C147" s="222">
        <f t="shared" ref="C147:D147" si="143">C146+1</f>
        <v>139</v>
      </c>
      <c r="D147" s="231">
        <f t="shared" si="143"/>
        <v>180</v>
      </c>
      <c r="E147" s="222">
        <f t="shared" si="2"/>
        <v>346095.3556</v>
      </c>
      <c r="F147" s="222">
        <f t="shared" si="3"/>
        <v>200201.93</v>
      </c>
      <c r="G147" s="222">
        <f t="shared" si="4"/>
        <v>546297.2856</v>
      </c>
      <c r="H147" s="224">
        <f t="shared" si="7"/>
        <v>78941797.72</v>
      </c>
      <c r="I147" s="222">
        <f t="shared" si="5"/>
        <v>180</v>
      </c>
    </row>
    <row r="148" ht="12.0" customHeight="1">
      <c r="C148" s="222">
        <f t="shared" ref="C148:D148" si="144">C147+1</f>
        <v>140</v>
      </c>
      <c r="D148" s="231">
        <f t="shared" si="144"/>
        <v>181</v>
      </c>
      <c r="E148" s="222">
        <f t="shared" si="2"/>
        <v>346969.2464</v>
      </c>
      <c r="F148" s="222">
        <f t="shared" si="3"/>
        <v>199328.0392</v>
      </c>
      <c r="G148" s="222">
        <f t="shared" si="4"/>
        <v>546297.2856</v>
      </c>
      <c r="H148" s="224">
        <f t="shared" si="7"/>
        <v>78594828.47</v>
      </c>
      <c r="I148" s="222">
        <f t="shared" si="5"/>
        <v>179</v>
      </c>
    </row>
    <row r="149" ht="12.0" customHeight="1">
      <c r="C149" s="222">
        <f t="shared" ref="C149:D149" si="145">C148+1</f>
        <v>141</v>
      </c>
      <c r="D149" s="231">
        <f t="shared" si="145"/>
        <v>182</v>
      </c>
      <c r="E149" s="222">
        <f t="shared" si="2"/>
        <v>347845.3437</v>
      </c>
      <c r="F149" s="222">
        <f t="shared" si="3"/>
        <v>198451.9419</v>
      </c>
      <c r="G149" s="222">
        <f t="shared" si="4"/>
        <v>546297.2856</v>
      </c>
      <c r="H149" s="224">
        <f t="shared" si="7"/>
        <v>78246983.13</v>
      </c>
      <c r="I149" s="222">
        <f t="shared" si="5"/>
        <v>178</v>
      </c>
    </row>
    <row r="150" ht="12.0" customHeight="1">
      <c r="C150" s="222">
        <f t="shared" ref="C150:D150" si="146">C149+1</f>
        <v>142</v>
      </c>
      <c r="D150" s="231">
        <f t="shared" si="146"/>
        <v>183</v>
      </c>
      <c r="E150" s="222">
        <f t="shared" si="2"/>
        <v>348723.6532</v>
      </c>
      <c r="F150" s="222">
        <f t="shared" si="3"/>
        <v>197573.6324</v>
      </c>
      <c r="G150" s="222">
        <f t="shared" si="4"/>
        <v>546297.2856</v>
      </c>
      <c r="H150" s="224">
        <f t="shared" si="7"/>
        <v>77898259.47</v>
      </c>
      <c r="I150" s="222">
        <f t="shared" si="5"/>
        <v>177</v>
      </c>
    </row>
    <row r="151" ht="12.0" customHeight="1">
      <c r="C151" s="222">
        <f t="shared" ref="C151:D151" si="147">C150+1</f>
        <v>143</v>
      </c>
      <c r="D151" s="231">
        <f t="shared" si="147"/>
        <v>184</v>
      </c>
      <c r="E151" s="222">
        <f t="shared" si="2"/>
        <v>349604.1805</v>
      </c>
      <c r="F151" s="222">
        <f t="shared" si="3"/>
        <v>196693.1052</v>
      </c>
      <c r="G151" s="222">
        <f t="shared" si="4"/>
        <v>546297.2856</v>
      </c>
      <c r="H151" s="224">
        <f t="shared" si="7"/>
        <v>77548655.29</v>
      </c>
      <c r="I151" s="222">
        <f t="shared" si="5"/>
        <v>176</v>
      </c>
    </row>
    <row r="152" ht="12.0" customHeight="1">
      <c r="C152" s="222">
        <f t="shared" ref="C152:D152" si="148">C151+1</f>
        <v>144</v>
      </c>
      <c r="D152" s="231">
        <f t="shared" si="148"/>
        <v>185</v>
      </c>
      <c r="E152" s="222">
        <f t="shared" si="2"/>
        <v>350486.931</v>
      </c>
      <c r="F152" s="222">
        <f t="shared" si="3"/>
        <v>195810.3546</v>
      </c>
      <c r="G152" s="222">
        <f t="shared" si="4"/>
        <v>546297.2856</v>
      </c>
      <c r="H152" s="224">
        <f t="shared" si="7"/>
        <v>77198168.36</v>
      </c>
      <c r="I152" s="222">
        <f t="shared" si="5"/>
        <v>175</v>
      </c>
    </row>
    <row r="153" ht="12.0" customHeight="1">
      <c r="C153" s="222">
        <f t="shared" ref="C153:D153" si="149">C152+1</f>
        <v>145</v>
      </c>
      <c r="D153" s="231">
        <f t="shared" si="149"/>
        <v>186</v>
      </c>
      <c r="E153" s="222">
        <f t="shared" si="2"/>
        <v>351371.9105</v>
      </c>
      <c r="F153" s="222">
        <f t="shared" si="3"/>
        <v>194925.3751</v>
      </c>
      <c r="G153" s="222">
        <f t="shared" si="4"/>
        <v>546297.2856</v>
      </c>
      <c r="H153" s="224">
        <f t="shared" si="7"/>
        <v>76846796.45</v>
      </c>
      <c r="I153" s="222">
        <f t="shared" si="5"/>
        <v>174</v>
      </c>
    </row>
    <row r="154" ht="12.0" customHeight="1">
      <c r="C154" s="222">
        <f t="shared" ref="C154:D154" si="150">C153+1</f>
        <v>146</v>
      </c>
      <c r="D154" s="231">
        <f t="shared" si="150"/>
        <v>187</v>
      </c>
      <c r="E154" s="222">
        <f t="shared" si="2"/>
        <v>352259.1246</v>
      </c>
      <c r="F154" s="222">
        <f t="shared" si="3"/>
        <v>194038.161</v>
      </c>
      <c r="G154" s="222">
        <f t="shared" si="4"/>
        <v>546297.2856</v>
      </c>
      <c r="H154" s="224">
        <f t="shared" si="7"/>
        <v>76494537.33</v>
      </c>
      <c r="I154" s="222">
        <f t="shared" si="5"/>
        <v>173</v>
      </c>
    </row>
    <row r="155" ht="12.0" customHeight="1">
      <c r="C155" s="222">
        <f t="shared" ref="C155:D155" si="151">C154+1</f>
        <v>147</v>
      </c>
      <c r="D155" s="231">
        <f t="shared" si="151"/>
        <v>188</v>
      </c>
      <c r="E155" s="222">
        <f t="shared" si="2"/>
        <v>353148.5789</v>
      </c>
      <c r="F155" s="222">
        <f t="shared" si="3"/>
        <v>193148.7067</v>
      </c>
      <c r="G155" s="222">
        <f t="shared" si="4"/>
        <v>546297.2856</v>
      </c>
      <c r="H155" s="224">
        <f t="shared" si="7"/>
        <v>76141388.75</v>
      </c>
      <c r="I155" s="222">
        <f t="shared" si="5"/>
        <v>172</v>
      </c>
    </row>
    <row r="156" ht="12.0" customHeight="1">
      <c r="C156" s="222">
        <f t="shared" ref="C156:D156" si="152">C155+1</f>
        <v>148</v>
      </c>
      <c r="D156" s="231">
        <f t="shared" si="152"/>
        <v>189</v>
      </c>
      <c r="E156" s="222">
        <f t="shared" si="2"/>
        <v>354040.279</v>
      </c>
      <c r="F156" s="222">
        <f t="shared" si="3"/>
        <v>192257.0066</v>
      </c>
      <c r="G156" s="222">
        <f t="shared" si="4"/>
        <v>546297.2856</v>
      </c>
      <c r="H156" s="224">
        <f t="shared" si="7"/>
        <v>75787348.47</v>
      </c>
      <c r="I156" s="222">
        <f t="shared" si="5"/>
        <v>171</v>
      </c>
    </row>
    <row r="157" ht="12.0" customHeight="1">
      <c r="C157" s="222">
        <f t="shared" ref="C157:D157" si="153">C156+1</f>
        <v>149</v>
      </c>
      <c r="D157" s="231">
        <f t="shared" si="153"/>
        <v>190</v>
      </c>
      <c r="E157" s="222">
        <f t="shared" si="2"/>
        <v>354934.2307</v>
      </c>
      <c r="F157" s="222">
        <f t="shared" si="3"/>
        <v>191363.0549</v>
      </c>
      <c r="G157" s="222">
        <f t="shared" si="4"/>
        <v>546297.2856</v>
      </c>
      <c r="H157" s="224">
        <f t="shared" si="7"/>
        <v>75432414.24</v>
      </c>
      <c r="I157" s="222">
        <f t="shared" si="5"/>
        <v>170</v>
      </c>
    </row>
    <row r="158" ht="12.0" customHeight="1">
      <c r="C158" s="222">
        <f t="shared" ref="C158:D158" si="154">C157+1</f>
        <v>150</v>
      </c>
      <c r="D158" s="231">
        <f t="shared" si="154"/>
        <v>191</v>
      </c>
      <c r="E158" s="222">
        <f t="shared" si="2"/>
        <v>355830.4397</v>
      </c>
      <c r="F158" s="222">
        <f t="shared" si="3"/>
        <v>190466.8459</v>
      </c>
      <c r="G158" s="222">
        <f t="shared" si="4"/>
        <v>546297.2856</v>
      </c>
      <c r="H158" s="224">
        <f t="shared" si="7"/>
        <v>75076583.8</v>
      </c>
      <c r="I158" s="222">
        <f t="shared" si="5"/>
        <v>169</v>
      </c>
    </row>
    <row r="159" ht="12.0" customHeight="1">
      <c r="C159" s="222">
        <f t="shared" ref="C159:D159" si="155">C158+1</f>
        <v>151</v>
      </c>
      <c r="D159" s="231">
        <f t="shared" si="155"/>
        <v>192</v>
      </c>
      <c r="E159" s="222">
        <f t="shared" si="2"/>
        <v>356728.9115</v>
      </c>
      <c r="F159" s="222">
        <f t="shared" si="3"/>
        <v>189568.3741</v>
      </c>
      <c r="G159" s="222">
        <f t="shared" si="4"/>
        <v>546297.2856</v>
      </c>
      <c r="H159" s="224">
        <f t="shared" si="7"/>
        <v>74719854.89</v>
      </c>
      <c r="I159" s="222">
        <f t="shared" si="5"/>
        <v>168</v>
      </c>
    </row>
    <row r="160" ht="12.0" customHeight="1">
      <c r="C160" s="222">
        <f t="shared" ref="C160:D160" si="156">C159+1</f>
        <v>152</v>
      </c>
      <c r="D160" s="231">
        <f t="shared" si="156"/>
        <v>193</v>
      </c>
      <c r="E160" s="222">
        <f t="shared" si="2"/>
        <v>357629.652</v>
      </c>
      <c r="F160" s="222">
        <f t="shared" si="3"/>
        <v>188667.6336</v>
      </c>
      <c r="G160" s="222">
        <f t="shared" si="4"/>
        <v>546297.2856</v>
      </c>
      <c r="H160" s="224">
        <f t="shared" si="7"/>
        <v>74362225.23</v>
      </c>
      <c r="I160" s="222">
        <f t="shared" si="5"/>
        <v>167</v>
      </c>
    </row>
    <row r="161" ht="12.0" customHeight="1">
      <c r="C161" s="222">
        <f t="shared" ref="C161:D161" si="157">C160+1</f>
        <v>153</v>
      </c>
      <c r="D161" s="231">
        <f t="shared" si="157"/>
        <v>194</v>
      </c>
      <c r="E161" s="222">
        <f t="shared" si="2"/>
        <v>358532.6669</v>
      </c>
      <c r="F161" s="222">
        <f t="shared" si="3"/>
        <v>187764.6187</v>
      </c>
      <c r="G161" s="222">
        <f t="shared" si="4"/>
        <v>546297.2856</v>
      </c>
      <c r="H161" s="224">
        <f t="shared" si="7"/>
        <v>74003692.57</v>
      </c>
      <c r="I161" s="222">
        <f t="shared" si="5"/>
        <v>166</v>
      </c>
    </row>
    <row r="162" ht="12.0" customHeight="1">
      <c r="C162" s="222">
        <f t="shared" ref="C162:D162" si="158">C161+1</f>
        <v>154</v>
      </c>
      <c r="D162" s="231">
        <f t="shared" si="158"/>
        <v>195</v>
      </c>
      <c r="E162" s="222">
        <f t="shared" si="2"/>
        <v>359437.9619</v>
      </c>
      <c r="F162" s="222">
        <f t="shared" si="3"/>
        <v>186859.3237</v>
      </c>
      <c r="G162" s="222">
        <f t="shared" si="4"/>
        <v>546297.2856</v>
      </c>
      <c r="H162" s="224">
        <f t="shared" si="7"/>
        <v>73644254.61</v>
      </c>
      <c r="I162" s="222">
        <f t="shared" si="5"/>
        <v>165</v>
      </c>
    </row>
    <row r="163" ht="12.0" customHeight="1">
      <c r="C163" s="222">
        <f t="shared" ref="C163:D163" si="159">C162+1</f>
        <v>155</v>
      </c>
      <c r="D163" s="231">
        <f t="shared" si="159"/>
        <v>196</v>
      </c>
      <c r="E163" s="222">
        <f t="shared" si="2"/>
        <v>360345.5427</v>
      </c>
      <c r="F163" s="222">
        <f t="shared" si="3"/>
        <v>185951.7429</v>
      </c>
      <c r="G163" s="222">
        <f t="shared" si="4"/>
        <v>546297.2856</v>
      </c>
      <c r="H163" s="224">
        <f t="shared" si="7"/>
        <v>73283909.06</v>
      </c>
      <c r="I163" s="222">
        <f t="shared" si="5"/>
        <v>164</v>
      </c>
    </row>
    <row r="164" ht="12.0" customHeight="1">
      <c r="C164" s="222">
        <f t="shared" ref="C164:D164" si="160">C163+1</f>
        <v>156</v>
      </c>
      <c r="D164" s="231">
        <f t="shared" si="160"/>
        <v>197</v>
      </c>
      <c r="E164" s="222">
        <f t="shared" si="2"/>
        <v>361255.4152</v>
      </c>
      <c r="F164" s="222">
        <f t="shared" si="3"/>
        <v>185041.8704</v>
      </c>
      <c r="G164" s="222">
        <f t="shared" si="4"/>
        <v>546297.2856</v>
      </c>
      <c r="H164" s="224">
        <f t="shared" si="7"/>
        <v>72922653.65</v>
      </c>
      <c r="I164" s="222">
        <f t="shared" si="5"/>
        <v>163</v>
      </c>
    </row>
    <row r="165" ht="12.0" customHeight="1">
      <c r="C165" s="222">
        <f t="shared" ref="C165:D165" si="161">C164+1</f>
        <v>157</v>
      </c>
      <c r="D165" s="231">
        <f t="shared" si="161"/>
        <v>198</v>
      </c>
      <c r="E165" s="222">
        <f t="shared" si="2"/>
        <v>362167.5852</v>
      </c>
      <c r="F165" s="222">
        <f t="shared" si="3"/>
        <v>184129.7005</v>
      </c>
      <c r="G165" s="222">
        <f t="shared" si="4"/>
        <v>546297.2856</v>
      </c>
      <c r="H165" s="224">
        <f t="shared" si="7"/>
        <v>72560486.06</v>
      </c>
      <c r="I165" s="222">
        <f t="shared" si="5"/>
        <v>162</v>
      </c>
    </row>
    <row r="166" ht="12.0" customHeight="1">
      <c r="C166" s="222">
        <f t="shared" ref="C166:D166" si="162">C165+1</f>
        <v>158</v>
      </c>
      <c r="D166" s="231">
        <f t="shared" si="162"/>
        <v>199</v>
      </c>
      <c r="E166" s="222">
        <f t="shared" si="2"/>
        <v>363082.0583</v>
      </c>
      <c r="F166" s="222">
        <f t="shared" si="3"/>
        <v>183215.2273</v>
      </c>
      <c r="G166" s="222">
        <f t="shared" si="4"/>
        <v>546297.2856</v>
      </c>
      <c r="H166" s="224">
        <f t="shared" si="7"/>
        <v>72197404</v>
      </c>
      <c r="I166" s="222">
        <f t="shared" si="5"/>
        <v>161</v>
      </c>
    </row>
    <row r="167" ht="12.0" customHeight="1">
      <c r="C167" s="222">
        <f t="shared" ref="C167:D167" si="163">C166+1</f>
        <v>159</v>
      </c>
      <c r="D167" s="231">
        <f t="shared" si="163"/>
        <v>200</v>
      </c>
      <c r="E167" s="222">
        <f t="shared" si="2"/>
        <v>363998.8405</v>
      </c>
      <c r="F167" s="222">
        <f t="shared" si="3"/>
        <v>182298.4451</v>
      </c>
      <c r="G167" s="222">
        <f t="shared" si="4"/>
        <v>546297.2856</v>
      </c>
      <c r="H167" s="224">
        <f t="shared" si="7"/>
        <v>71833405.16</v>
      </c>
      <c r="I167" s="222">
        <f t="shared" si="5"/>
        <v>160</v>
      </c>
    </row>
    <row r="168" ht="12.0" customHeight="1">
      <c r="C168" s="222">
        <f t="shared" ref="C168:D168" si="164">C167+1</f>
        <v>160</v>
      </c>
      <c r="D168" s="231">
        <f t="shared" si="164"/>
        <v>201</v>
      </c>
      <c r="E168" s="222">
        <f t="shared" si="2"/>
        <v>364917.9376</v>
      </c>
      <c r="F168" s="222">
        <f t="shared" si="3"/>
        <v>181379.348</v>
      </c>
      <c r="G168" s="222">
        <f t="shared" si="4"/>
        <v>546297.2856</v>
      </c>
      <c r="H168" s="224">
        <f t="shared" si="7"/>
        <v>71468487.23</v>
      </c>
      <c r="I168" s="222">
        <f t="shared" si="5"/>
        <v>159</v>
      </c>
    </row>
    <row r="169" ht="12.0" customHeight="1">
      <c r="C169" s="222">
        <f t="shared" ref="C169:D169" si="165">C168+1</f>
        <v>161</v>
      </c>
      <c r="D169" s="231">
        <f t="shared" si="165"/>
        <v>202</v>
      </c>
      <c r="E169" s="222">
        <f t="shared" si="2"/>
        <v>365839.3554</v>
      </c>
      <c r="F169" s="222">
        <f t="shared" si="3"/>
        <v>180457.9302</v>
      </c>
      <c r="G169" s="222">
        <f t="shared" si="4"/>
        <v>546297.2856</v>
      </c>
      <c r="H169" s="224">
        <f t="shared" si="7"/>
        <v>71102647.87</v>
      </c>
      <c r="I169" s="222">
        <f t="shared" si="5"/>
        <v>158</v>
      </c>
    </row>
    <row r="170" ht="12.0" customHeight="1">
      <c r="C170" s="222">
        <f t="shared" ref="C170:D170" si="166">C169+1</f>
        <v>162</v>
      </c>
      <c r="D170" s="231">
        <f t="shared" si="166"/>
        <v>203</v>
      </c>
      <c r="E170" s="222">
        <f t="shared" si="2"/>
        <v>366763.0997</v>
      </c>
      <c r="F170" s="222">
        <f t="shared" si="3"/>
        <v>179534.1859</v>
      </c>
      <c r="G170" s="222">
        <f t="shared" si="4"/>
        <v>546297.2856</v>
      </c>
      <c r="H170" s="224">
        <f t="shared" si="7"/>
        <v>70735884.77</v>
      </c>
      <c r="I170" s="222">
        <f t="shared" si="5"/>
        <v>157</v>
      </c>
    </row>
    <row r="171" ht="12.0" customHeight="1">
      <c r="C171" s="222">
        <f t="shared" ref="C171:D171" si="167">C170+1</f>
        <v>163</v>
      </c>
      <c r="D171" s="231">
        <f t="shared" si="167"/>
        <v>204</v>
      </c>
      <c r="E171" s="222">
        <f t="shared" si="2"/>
        <v>367689.1766</v>
      </c>
      <c r="F171" s="222">
        <f t="shared" si="3"/>
        <v>178608.109</v>
      </c>
      <c r="G171" s="222">
        <f t="shared" si="4"/>
        <v>546297.2856</v>
      </c>
      <c r="H171" s="224">
        <f t="shared" si="7"/>
        <v>70368195.59</v>
      </c>
      <c r="I171" s="222">
        <f t="shared" si="5"/>
        <v>156</v>
      </c>
    </row>
    <row r="172" ht="12.0" customHeight="1">
      <c r="C172" s="222">
        <f t="shared" ref="C172:D172" si="168">C171+1</f>
        <v>164</v>
      </c>
      <c r="D172" s="231">
        <f t="shared" si="168"/>
        <v>205</v>
      </c>
      <c r="E172" s="222">
        <f t="shared" si="2"/>
        <v>368617.5917</v>
      </c>
      <c r="F172" s="222">
        <f t="shared" si="3"/>
        <v>177679.6939</v>
      </c>
      <c r="G172" s="222">
        <f t="shared" si="4"/>
        <v>546297.2856</v>
      </c>
      <c r="H172" s="224">
        <f t="shared" si="7"/>
        <v>69999578</v>
      </c>
      <c r="I172" s="222">
        <f t="shared" si="5"/>
        <v>155</v>
      </c>
    </row>
    <row r="173" ht="12.0" customHeight="1">
      <c r="C173" s="222">
        <f t="shared" ref="C173:D173" si="169">C172+1</f>
        <v>165</v>
      </c>
      <c r="D173" s="231">
        <f t="shared" si="169"/>
        <v>206</v>
      </c>
      <c r="E173" s="222">
        <f t="shared" si="2"/>
        <v>369548.3512</v>
      </c>
      <c r="F173" s="222">
        <f t="shared" si="3"/>
        <v>176748.9345</v>
      </c>
      <c r="G173" s="222">
        <f t="shared" si="4"/>
        <v>546297.2856</v>
      </c>
      <c r="H173" s="224">
        <f t="shared" si="7"/>
        <v>69630029.65</v>
      </c>
      <c r="I173" s="222">
        <f t="shared" si="5"/>
        <v>154</v>
      </c>
    </row>
    <row r="174" ht="12.0" customHeight="1">
      <c r="C174" s="222">
        <f t="shared" ref="C174:D174" si="170">C173+1</f>
        <v>166</v>
      </c>
      <c r="D174" s="231">
        <f t="shared" si="170"/>
        <v>207</v>
      </c>
      <c r="E174" s="222">
        <f t="shared" si="2"/>
        <v>370481.4608</v>
      </c>
      <c r="F174" s="222">
        <f t="shared" si="3"/>
        <v>175815.8249</v>
      </c>
      <c r="G174" s="222">
        <f t="shared" si="4"/>
        <v>546297.2856</v>
      </c>
      <c r="H174" s="224">
        <f t="shared" si="7"/>
        <v>69259548.19</v>
      </c>
      <c r="I174" s="222">
        <f t="shared" si="5"/>
        <v>153</v>
      </c>
    </row>
    <row r="175" ht="12.0" customHeight="1">
      <c r="C175" s="222">
        <f t="shared" ref="C175:D175" si="171">C174+1</f>
        <v>167</v>
      </c>
      <c r="D175" s="231">
        <f t="shared" si="171"/>
        <v>208</v>
      </c>
      <c r="E175" s="222">
        <f t="shared" si="2"/>
        <v>371416.9264</v>
      </c>
      <c r="F175" s="222">
        <f t="shared" si="3"/>
        <v>174880.3592</v>
      </c>
      <c r="G175" s="222">
        <f t="shared" si="4"/>
        <v>546297.2856</v>
      </c>
      <c r="H175" s="224">
        <f t="shared" si="7"/>
        <v>68888131.26</v>
      </c>
      <c r="I175" s="222">
        <f t="shared" si="5"/>
        <v>152</v>
      </c>
    </row>
    <row r="176" ht="12.0" customHeight="1">
      <c r="C176" s="222">
        <f t="shared" ref="C176:D176" si="172">C175+1</f>
        <v>168</v>
      </c>
      <c r="D176" s="231">
        <f t="shared" si="172"/>
        <v>209</v>
      </c>
      <c r="E176" s="222">
        <f t="shared" si="2"/>
        <v>372354.7542</v>
      </c>
      <c r="F176" s="222">
        <f t="shared" si="3"/>
        <v>173942.5314</v>
      </c>
      <c r="G176" s="222">
        <f t="shared" si="4"/>
        <v>546297.2856</v>
      </c>
      <c r="H176" s="224">
        <f t="shared" si="7"/>
        <v>68515776.51</v>
      </c>
      <c r="I176" s="222">
        <f t="shared" si="5"/>
        <v>151</v>
      </c>
    </row>
    <row r="177" ht="12.0" customHeight="1">
      <c r="C177" s="222">
        <f t="shared" ref="C177:D177" si="173">C176+1</f>
        <v>169</v>
      </c>
      <c r="D177" s="231">
        <f t="shared" si="173"/>
        <v>210</v>
      </c>
      <c r="E177" s="222">
        <f t="shared" si="2"/>
        <v>373294.9499</v>
      </c>
      <c r="F177" s="222">
        <f t="shared" si="3"/>
        <v>173002.3357</v>
      </c>
      <c r="G177" s="222">
        <f t="shared" si="4"/>
        <v>546297.2856</v>
      </c>
      <c r="H177" s="224">
        <f t="shared" si="7"/>
        <v>68142481.56</v>
      </c>
      <c r="I177" s="222">
        <f t="shared" si="5"/>
        <v>150</v>
      </c>
    </row>
    <row r="178" ht="12.0" customHeight="1">
      <c r="C178" s="222">
        <f t="shared" ref="C178:D178" si="174">C177+1</f>
        <v>170</v>
      </c>
      <c r="D178" s="231">
        <f t="shared" si="174"/>
        <v>211</v>
      </c>
      <c r="E178" s="222">
        <f t="shared" si="2"/>
        <v>374237.5197</v>
      </c>
      <c r="F178" s="222">
        <f t="shared" si="3"/>
        <v>172059.7659</v>
      </c>
      <c r="G178" s="222">
        <f t="shared" si="4"/>
        <v>546297.2856</v>
      </c>
      <c r="H178" s="224">
        <f t="shared" si="7"/>
        <v>67768244.04</v>
      </c>
      <c r="I178" s="222">
        <f t="shared" si="5"/>
        <v>149</v>
      </c>
    </row>
    <row r="179" ht="12.0" customHeight="1">
      <c r="C179" s="222">
        <f t="shared" ref="C179:D179" si="175">C178+1</f>
        <v>171</v>
      </c>
      <c r="D179" s="231">
        <f t="shared" si="175"/>
        <v>212</v>
      </c>
      <c r="E179" s="222">
        <f t="shared" si="2"/>
        <v>375182.4694</v>
      </c>
      <c r="F179" s="222">
        <f t="shared" si="3"/>
        <v>171114.8162</v>
      </c>
      <c r="G179" s="222">
        <f t="shared" si="4"/>
        <v>546297.2856</v>
      </c>
      <c r="H179" s="224">
        <f t="shared" si="7"/>
        <v>67393061.57</v>
      </c>
      <c r="I179" s="222">
        <f t="shared" si="5"/>
        <v>148</v>
      </c>
    </row>
    <row r="180" ht="12.0" customHeight="1">
      <c r="C180" s="222">
        <f t="shared" ref="C180:D180" si="176">C179+1</f>
        <v>172</v>
      </c>
      <c r="D180" s="231">
        <f t="shared" si="176"/>
        <v>213</v>
      </c>
      <c r="E180" s="222">
        <f t="shared" si="2"/>
        <v>376129.8052</v>
      </c>
      <c r="F180" s="222">
        <f t="shared" si="3"/>
        <v>170167.4805</v>
      </c>
      <c r="G180" s="222">
        <f t="shared" si="4"/>
        <v>546297.2856</v>
      </c>
      <c r="H180" s="224">
        <f t="shared" si="7"/>
        <v>67016931.77</v>
      </c>
      <c r="I180" s="222">
        <f t="shared" si="5"/>
        <v>147</v>
      </c>
    </row>
    <row r="181" ht="12.0" customHeight="1">
      <c r="C181" s="222">
        <f t="shared" ref="C181:D181" si="177">C180+1</f>
        <v>173</v>
      </c>
      <c r="D181" s="231">
        <f t="shared" si="177"/>
        <v>214</v>
      </c>
      <c r="E181" s="222">
        <f t="shared" si="2"/>
        <v>377079.5329</v>
      </c>
      <c r="F181" s="222">
        <f t="shared" si="3"/>
        <v>169217.7527</v>
      </c>
      <c r="G181" s="222">
        <f t="shared" si="4"/>
        <v>546297.2856</v>
      </c>
      <c r="H181" s="224">
        <f t="shared" si="7"/>
        <v>66639852.23</v>
      </c>
      <c r="I181" s="222">
        <f t="shared" si="5"/>
        <v>146</v>
      </c>
    </row>
    <row r="182" ht="12.0" customHeight="1">
      <c r="C182" s="222">
        <f t="shared" ref="C182:D182" si="178">C181+1</f>
        <v>174</v>
      </c>
      <c r="D182" s="231">
        <f t="shared" si="178"/>
        <v>215</v>
      </c>
      <c r="E182" s="222">
        <f t="shared" si="2"/>
        <v>378031.6587</v>
      </c>
      <c r="F182" s="222">
        <f t="shared" si="3"/>
        <v>168265.6269</v>
      </c>
      <c r="G182" s="222">
        <f t="shared" si="4"/>
        <v>546297.2856</v>
      </c>
      <c r="H182" s="224">
        <f t="shared" si="7"/>
        <v>66261820.57</v>
      </c>
      <c r="I182" s="222">
        <f t="shared" si="5"/>
        <v>145</v>
      </c>
    </row>
    <row r="183" ht="12.0" customHeight="1">
      <c r="C183" s="222">
        <f t="shared" ref="C183:D183" si="179">C182+1</f>
        <v>175</v>
      </c>
      <c r="D183" s="231">
        <f t="shared" si="179"/>
        <v>216</v>
      </c>
      <c r="E183" s="222">
        <f t="shared" si="2"/>
        <v>378986.1887</v>
      </c>
      <c r="F183" s="222">
        <f t="shared" si="3"/>
        <v>167311.0969</v>
      </c>
      <c r="G183" s="222">
        <f t="shared" si="4"/>
        <v>546297.2856</v>
      </c>
      <c r="H183" s="224">
        <f t="shared" si="7"/>
        <v>65882834.39</v>
      </c>
      <c r="I183" s="222">
        <f t="shared" si="5"/>
        <v>144</v>
      </c>
    </row>
    <row r="184" ht="12.0" customHeight="1">
      <c r="C184" s="222">
        <f t="shared" ref="C184:D184" si="180">C183+1</f>
        <v>176</v>
      </c>
      <c r="D184" s="231">
        <f t="shared" si="180"/>
        <v>217</v>
      </c>
      <c r="E184" s="222">
        <f t="shared" si="2"/>
        <v>379943.1288</v>
      </c>
      <c r="F184" s="222">
        <f t="shared" si="3"/>
        <v>166354.1568</v>
      </c>
      <c r="G184" s="222">
        <f t="shared" si="4"/>
        <v>546297.2856</v>
      </c>
      <c r="H184" s="224">
        <f t="shared" si="7"/>
        <v>65502891.26</v>
      </c>
      <c r="I184" s="222">
        <f t="shared" si="5"/>
        <v>143</v>
      </c>
    </row>
    <row r="185" ht="12.0" customHeight="1">
      <c r="C185" s="222">
        <f t="shared" ref="C185:D185" si="181">C184+1</f>
        <v>177</v>
      </c>
      <c r="D185" s="231">
        <f t="shared" si="181"/>
        <v>218</v>
      </c>
      <c r="E185" s="222">
        <f t="shared" si="2"/>
        <v>380902.4852</v>
      </c>
      <c r="F185" s="222">
        <f t="shared" si="3"/>
        <v>165394.8004</v>
      </c>
      <c r="G185" s="222">
        <f t="shared" si="4"/>
        <v>546297.2856</v>
      </c>
      <c r="H185" s="224">
        <f t="shared" si="7"/>
        <v>65121988.77</v>
      </c>
      <c r="I185" s="222">
        <f t="shared" si="5"/>
        <v>142</v>
      </c>
    </row>
    <row r="186" ht="12.0" customHeight="1">
      <c r="C186" s="222">
        <f t="shared" ref="C186:D186" si="182">C185+1</f>
        <v>178</v>
      </c>
      <c r="D186" s="231">
        <f t="shared" si="182"/>
        <v>219</v>
      </c>
      <c r="E186" s="222">
        <f t="shared" si="2"/>
        <v>381864.264</v>
      </c>
      <c r="F186" s="222">
        <f t="shared" si="3"/>
        <v>164433.0216</v>
      </c>
      <c r="G186" s="222">
        <f t="shared" si="4"/>
        <v>546297.2856</v>
      </c>
      <c r="H186" s="224">
        <f t="shared" si="7"/>
        <v>64740124.51</v>
      </c>
      <c r="I186" s="222">
        <f t="shared" si="5"/>
        <v>141</v>
      </c>
    </row>
    <row r="187" ht="12.0" customHeight="1">
      <c r="C187" s="222">
        <f t="shared" ref="C187:D187" si="183">C186+1</f>
        <v>179</v>
      </c>
      <c r="D187" s="231">
        <f t="shared" si="183"/>
        <v>220</v>
      </c>
      <c r="E187" s="222">
        <f t="shared" si="2"/>
        <v>382828.4712</v>
      </c>
      <c r="F187" s="222">
        <f t="shared" si="3"/>
        <v>163468.8144</v>
      </c>
      <c r="G187" s="222">
        <f t="shared" si="4"/>
        <v>546297.2856</v>
      </c>
      <c r="H187" s="224">
        <f t="shared" si="7"/>
        <v>64357296.04</v>
      </c>
      <c r="I187" s="222">
        <f t="shared" si="5"/>
        <v>140</v>
      </c>
    </row>
    <row r="188" ht="12.0" customHeight="1">
      <c r="C188" s="222">
        <f t="shared" ref="C188:D188" si="184">C187+1</f>
        <v>180</v>
      </c>
      <c r="D188" s="231">
        <f t="shared" si="184"/>
        <v>221</v>
      </c>
      <c r="E188" s="222">
        <f t="shared" si="2"/>
        <v>383795.1131</v>
      </c>
      <c r="F188" s="222">
        <f t="shared" si="3"/>
        <v>162502.1725</v>
      </c>
      <c r="G188" s="222">
        <f t="shared" si="4"/>
        <v>546297.2856</v>
      </c>
      <c r="H188" s="224">
        <f t="shared" si="7"/>
        <v>63973500.92</v>
      </c>
      <c r="I188" s="222">
        <f t="shared" si="5"/>
        <v>139</v>
      </c>
    </row>
    <row r="189" ht="12.0" customHeight="1">
      <c r="C189" s="222">
        <f t="shared" ref="C189:D189" si="185">C188+1</f>
        <v>181</v>
      </c>
      <c r="D189" s="231">
        <f t="shared" si="185"/>
        <v>222</v>
      </c>
      <c r="E189" s="222">
        <f t="shared" si="2"/>
        <v>384764.1958</v>
      </c>
      <c r="F189" s="222">
        <f t="shared" si="3"/>
        <v>161533.0898</v>
      </c>
      <c r="G189" s="222">
        <f t="shared" si="4"/>
        <v>546297.2856</v>
      </c>
      <c r="H189" s="224">
        <f t="shared" si="7"/>
        <v>63588736.73</v>
      </c>
      <c r="I189" s="222">
        <f t="shared" si="5"/>
        <v>138</v>
      </c>
    </row>
    <row r="190" ht="12.0" customHeight="1">
      <c r="C190" s="222">
        <f t="shared" ref="C190:D190" si="186">C189+1</f>
        <v>182</v>
      </c>
      <c r="D190" s="231">
        <f t="shared" si="186"/>
        <v>223</v>
      </c>
      <c r="E190" s="222">
        <f t="shared" si="2"/>
        <v>385735.7254</v>
      </c>
      <c r="F190" s="222">
        <f t="shared" si="3"/>
        <v>160561.5602</v>
      </c>
      <c r="G190" s="222">
        <f t="shared" si="4"/>
        <v>546297.2856</v>
      </c>
      <c r="H190" s="224">
        <f t="shared" si="7"/>
        <v>63203001</v>
      </c>
      <c r="I190" s="222">
        <f t="shared" si="5"/>
        <v>137</v>
      </c>
    </row>
    <row r="191" ht="12.0" customHeight="1">
      <c r="C191" s="222">
        <f t="shared" ref="C191:D191" si="187">C190+1</f>
        <v>183</v>
      </c>
      <c r="D191" s="231">
        <f t="shared" si="187"/>
        <v>224</v>
      </c>
      <c r="E191" s="222">
        <f t="shared" si="2"/>
        <v>386709.7081</v>
      </c>
      <c r="F191" s="222">
        <f t="shared" si="3"/>
        <v>159587.5775</v>
      </c>
      <c r="G191" s="222">
        <f t="shared" si="4"/>
        <v>546297.2856</v>
      </c>
      <c r="H191" s="224">
        <f t="shared" si="7"/>
        <v>62816291.29</v>
      </c>
      <c r="I191" s="222">
        <f t="shared" si="5"/>
        <v>136</v>
      </c>
    </row>
    <row r="192" ht="12.0" customHeight="1">
      <c r="C192" s="222">
        <f t="shared" ref="C192:D192" si="188">C191+1</f>
        <v>184</v>
      </c>
      <c r="D192" s="231">
        <f t="shared" si="188"/>
        <v>225</v>
      </c>
      <c r="E192" s="222">
        <f t="shared" si="2"/>
        <v>387686.1501</v>
      </c>
      <c r="F192" s="222">
        <f t="shared" si="3"/>
        <v>158611.1355</v>
      </c>
      <c r="G192" s="222">
        <f t="shared" si="4"/>
        <v>546297.2856</v>
      </c>
      <c r="H192" s="224">
        <f t="shared" si="7"/>
        <v>62428605.14</v>
      </c>
      <c r="I192" s="222">
        <f t="shared" si="5"/>
        <v>135</v>
      </c>
    </row>
    <row r="193" ht="12.0" customHeight="1">
      <c r="C193" s="222">
        <f t="shared" ref="C193:D193" si="189">C192+1</f>
        <v>185</v>
      </c>
      <c r="D193" s="231">
        <f t="shared" si="189"/>
        <v>226</v>
      </c>
      <c r="E193" s="222">
        <f t="shared" si="2"/>
        <v>388665.0576</v>
      </c>
      <c r="F193" s="222">
        <f t="shared" si="3"/>
        <v>157632.228</v>
      </c>
      <c r="G193" s="222">
        <f t="shared" si="4"/>
        <v>546297.2856</v>
      </c>
      <c r="H193" s="224">
        <f t="shared" si="7"/>
        <v>62039940.09</v>
      </c>
      <c r="I193" s="222">
        <f t="shared" si="5"/>
        <v>134</v>
      </c>
    </row>
    <row r="194" ht="12.0" customHeight="1">
      <c r="C194" s="222">
        <f t="shared" ref="C194:D194" si="190">C193+1</f>
        <v>186</v>
      </c>
      <c r="D194" s="231">
        <f t="shared" si="190"/>
        <v>227</v>
      </c>
      <c r="E194" s="222">
        <f t="shared" si="2"/>
        <v>389646.4369</v>
      </c>
      <c r="F194" s="222">
        <f t="shared" si="3"/>
        <v>156650.8487</v>
      </c>
      <c r="G194" s="222">
        <f t="shared" si="4"/>
        <v>546297.2856</v>
      </c>
      <c r="H194" s="224">
        <f t="shared" si="7"/>
        <v>61650293.65</v>
      </c>
      <c r="I194" s="222">
        <f t="shared" si="5"/>
        <v>133</v>
      </c>
    </row>
    <row r="195" ht="12.0" customHeight="1">
      <c r="C195" s="222">
        <f t="shared" ref="C195:D195" si="191">C194+1</f>
        <v>187</v>
      </c>
      <c r="D195" s="231">
        <f t="shared" si="191"/>
        <v>228</v>
      </c>
      <c r="E195" s="222">
        <f t="shared" si="2"/>
        <v>390630.2942</v>
      </c>
      <c r="F195" s="222">
        <f t="shared" si="3"/>
        <v>155666.9915</v>
      </c>
      <c r="G195" s="222">
        <f t="shared" si="4"/>
        <v>546297.2856</v>
      </c>
      <c r="H195" s="224">
        <f t="shared" si="7"/>
        <v>61259663.35</v>
      </c>
      <c r="I195" s="222">
        <f t="shared" si="5"/>
        <v>132</v>
      </c>
    </row>
    <row r="196" ht="12.0" customHeight="1">
      <c r="C196" s="222">
        <f t="shared" ref="C196:D196" si="192">C195+1</f>
        <v>188</v>
      </c>
      <c r="D196" s="231">
        <f t="shared" si="192"/>
        <v>229</v>
      </c>
      <c r="E196" s="222">
        <f t="shared" si="2"/>
        <v>391616.6357</v>
      </c>
      <c r="F196" s="222">
        <f t="shared" si="3"/>
        <v>154680.65</v>
      </c>
      <c r="G196" s="222">
        <f t="shared" si="4"/>
        <v>546297.2856</v>
      </c>
      <c r="H196" s="224">
        <f t="shared" si="7"/>
        <v>60868046.72</v>
      </c>
      <c r="I196" s="222">
        <f t="shared" si="5"/>
        <v>131</v>
      </c>
    </row>
    <row r="197" ht="12.0" customHeight="1">
      <c r="C197" s="222">
        <f t="shared" ref="C197:D197" si="193">C196+1</f>
        <v>189</v>
      </c>
      <c r="D197" s="231">
        <f t="shared" si="193"/>
        <v>230</v>
      </c>
      <c r="E197" s="222">
        <f t="shared" si="2"/>
        <v>392605.4677</v>
      </c>
      <c r="F197" s="222">
        <f t="shared" si="3"/>
        <v>153691.818</v>
      </c>
      <c r="G197" s="222">
        <f t="shared" si="4"/>
        <v>546297.2856</v>
      </c>
      <c r="H197" s="224">
        <f t="shared" si="7"/>
        <v>60475441.25</v>
      </c>
      <c r="I197" s="222">
        <f t="shared" si="5"/>
        <v>130</v>
      </c>
    </row>
    <row r="198" ht="12.0" customHeight="1">
      <c r="C198" s="222">
        <f t="shared" ref="C198:D198" si="194">C197+1</f>
        <v>190</v>
      </c>
      <c r="D198" s="231">
        <f t="shared" si="194"/>
        <v>231</v>
      </c>
      <c r="E198" s="222">
        <f t="shared" si="2"/>
        <v>393596.7965</v>
      </c>
      <c r="F198" s="222">
        <f t="shared" si="3"/>
        <v>152700.4892</v>
      </c>
      <c r="G198" s="222">
        <f t="shared" si="4"/>
        <v>546297.2856</v>
      </c>
      <c r="H198" s="224">
        <f t="shared" si="7"/>
        <v>60081844.45</v>
      </c>
      <c r="I198" s="222">
        <f t="shared" si="5"/>
        <v>129</v>
      </c>
    </row>
    <row r="199" ht="12.0" customHeight="1">
      <c r="C199" s="222">
        <f t="shared" ref="C199:D199" si="195">C198+1</f>
        <v>191</v>
      </c>
      <c r="D199" s="231">
        <f t="shared" si="195"/>
        <v>232</v>
      </c>
      <c r="E199" s="222">
        <f t="shared" si="2"/>
        <v>394590.6284</v>
      </c>
      <c r="F199" s="222">
        <f t="shared" si="3"/>
        <v>151706.6572</v>
      </c>
      <c r="G199" s="222">
        <f t="shared" si="4"/>
        <v>546297.2856</v>
      </c>
      <c r="H199" s="224">
        <f t="shared" si="7"/>
        <v>59687253.83</v>
      </c>
      <c r="I199" s="222">
        <f t="shared" si="5"/>
        <v>128</v>
      </c>
    </row>
    <row r="200" ht="12.0" customHeight="1">
      <c r="C200" s="222">
        <f t="shared" ref="C200:D200" si="196">C199+1</f>
        <v>192</v>
      </c>
      <c r="D200" s="231">
        <f t="shared" si="196"/>
        <v>233</v>
      </c>
      <c r="E200" s="222">
        <f t="shared" si="2"/>
        <v>395586.9697</v>
      </c>
      <c r="F200" s="222">
        <f t="shared" si="3"/>
        <v>150710.3159</v>
      </c>
      <c r="G200" s="222">
        <f t="shared" si="4"/>
        <v>546297.2856</v>
      </c>
      <c r="H200" s="224">
        <f t="shared" si="7"/>
        <v>59291666.86</v>
      </c>
      <c r="I200" s="222">
        <f t="shared" si="5"/>
        <v>127</v>
      </c>
    </row>
    <row r="201" ht="12.0" customHeight="1">
      <c r="C201" s="222">
        <f t="shared" ref="C201:D201" si="197">C200+1</f>
        <v>193</v>
      </c>
      <c r="D201" s="231">
        <f t="shared" si="197"/>
        <v>234</v>
      </c>
      <c r="E201" s="222">
        <f t="shared" si="2"/>
        <v>396585.8268</v>
      </c>
      <c r="F201" s="222">
        <f t="shared" si="3"/>
        <v>149711.4588</v>
      </c>
      <c r="G201" s="222">
        <f t="shared" si="4"/>
        <v>546297.2856</v>
      </c>
      <c r="H201" s="224">
        <f t="shared" si="7"/>
        <v>58895081.03</v>
      </c>
      <c r="I201" s="222">
        <f t="shared" si="5"/>
        <v>126</v>
      </c>
    </row>
    <row r="202" ht="12.0" customHeight="1">
      <c r="C202" s="222">
        <f t="shared" ref="C202:D202" si="198">C201+1</f>
        <v>194</v>
      </c>
      <c r="D202" s="231">
        <f t="shared" si="198"/>
        <v>235</v>
      </c>
      <c r="E202" s="222">
        <f t="shared" si="2"/>
        <v>397587.206</v>
      </c>
      <c r="F202" s="222">
        <f t="shared" si="3"/>
        <v>148710.0796</v>
      </c>
      <c r="G202" s="222">
        <f t="shared" si="4"/>
        <v>546297.2856</v>
      </c>
      <c r="H202" s="224">
        <f t="shared" si="7"/>
        <v>58497493.82</v>
      </c>
      <c r="I202" s="222">
        <f t="shared" si="5"/>
        <v>125</v>
      </c>
    </row>
    <row r="203" ht="12.0" customHeight="1">
      <c r="C203" s="222">
        <f t="shared" ref="C203:D203" si="199">C202+1</f>
        <v>195</v>
      </c>
      <c r="D203" s="231">
        <f t="shared" si="199"/>
        <v>236</v>
      </c>
      <c r="E203" s="222">
        <f t="shared" si="2"/>
        <v>398591.1137</v>
      </c>
      <c r="F203" s="222">
        <f t="shared" si="3"/>
        <v>147706.1719</v>
      </c>
      <c r="G203" s="222">
        <f t="shared" si="4"/>
        <v>546297.2856</v>
      </c>
      <c r="H203" s="224">
        <f t="shared" si="7"/>
        <v>58098902.71</v>
      </c>
      <c r="I203" s="222">
        <f t="shared" si="5"/>
        <v>124</v>
      </c>
    </row>
    <row r="204" ht="12.0" customHeight="1">
      <c r="C204" s="222">
        <f t="shared" ref="C204:D204" si="200">C203+1</f>
        <v>196</v>
      </c>
      <c r="D204" s="231">
        <f t="shared" si="200"/>
        <v>237</v>
      </c>
      <c r="E204" s="222">
        <f t="shared" si="2"/>
        <v>399597.5563</v>
      </c>
      <c r="F204" s="222">
        <f t="shared" si="3"/>
        <v>146699.7293</v>
      </c>
      <c r="G204" s="222">
        <f t="shared" si="4"/>
        <v>546297.2856</v>
      </c>
      <c r="H204" s="224">
        <f t="shared" si="7"/>
        <v>57699305.15</v>
      </c>
      <c r="I204" s="222">
        <f t="shared" si="5"/>
        <v>123</v>
      </c>
    </row>
    <row r="205" ht="12.0" customHeight="1">
      <c r="C205" s="222">
        <f t="shared" ref="C205:D205" si="201">C204+1</f>
        <v>197</v>
      </c>
      <c r="D205" s="231">
        <f t="shared" si="201"/>
        <v>238</v>
      </c>
      <c r="E205" s="222">
        <f t="shared" si="2"/>
        <v>400606.5401</v>
      </c>
      <c r="F205" s="222">
        <f t="shared" si="3"/>
        <v>145690.7455</v>
      </c>
      <c r="G205" s="222">
        <f t="shared" si="4"/>
        <v>546297.2856</v>
      </c>
      <c r="H205" s="224">
        <f t="shared" si="7"/>
        <v>57298698.61</v>
      </c>
      <c r="I205" s="222">
        <f t="shared" si="5"/>
        <v>122</v>
      </c>
    </row>
    <row r="206" ht="12.0" customHeight="1">
      <c r="C206" s="222">
        <f t="shared" ref="C206:D206" si="202">C205+1</f>
        <v>198</v>
      </c>
      <c r="D206" s="231">
        <f t="shared" si="202"/>
        <v>239</v>
      </c>
      <c r="E206" s="222">
        <f t="shared" si="2"/>
        <v>401618.0716</v>
      </c>
      <c r="F206" s="222">
        <f t="shared" si="3"/>
        <v>144679.214</v>
      </c>
      <c r="G206" s="222">
        <f t="shared" si="4"/>
        <v>546297.2856</v>
      </c>
      <c r="H206" s="224">
        <f t="shared" si="7"/>
        <v>56897080.54</v>
      </c>
      <c r="I206" s="222">
        <f t="shared" si="5"/>
        <v>121</v>
      </c>
    </row>
    <row r="207" ht="12.0" customHeight="1">
      <c r="C207" s="222">
        <f t="shared" ref="C207:D207" si="203">C206+1</f>
        <v>199</v>
      </c>
      <c r="D207" s="231">
        <f t="shared" si="203"/>
        <v>240</v>
      </c>
      <c r="E207" s="222">
        <f t="shared" si="2"/>
        <v>402632.1573</v>
      </c>
      <c r="F207" s="222">
        <f t="shared" si="3"/>
        <v>143665.1284</v>
      </c>
      <c r="G207" s="222">
        <f t="shared" si="4"/>
        <v>546297.2856</v>
      </c>
      <c r="H207" s="224">
        <f t="shared" si="7"/>
        <v>56494448.39</v>
      </c>
      <c r="I207" s="222">
        <f t="shared" si="5"/>
        <v>120</v>
      </c>
    </row>
    <row r="208" ht="12.0" customHeight="1">
      <c r="C208" s="222">
        <f t="shared" ref="C208:D208" si="204">C207+1</f>
        <v>200</v>
      </c>
      <c r="D208" s="231">
        <f t="shared" si="204"/>
        <v>241</v>
      </c>
      <c r="E208" s="222">
        <f t="shared" si="2"/>
        <v>403648.8034</v>
      </c>
      <c r="F208" s="222">
        <f t="shared" si="3"/>
        <v>142648.4822</v>
      </c>
      <c r="G208" s="222">
        <f t="shared" si="4"/>
        <v>546297.2856</v>
      </c>
      <c r="H208" s="224">
        <f t="shared" si="7"/>
        <v>56090799.58</v>
      </c>
      <c r="I208" s="222">
        <f t="shared" si="5"/>
        <v>119</v>
      </c>
    </row>
    <row r="209" ht="12.0" customHeight="1">
      <c r="C209" s="222">
        <f t="shared" ref="C209:D209" si="205">C208+1</f>
        <v>201</v>
      </c>
      <c r="D209" s="231">
        <f t="shared" si="205"/>
        <v>242</v>
      </c>
      <c r="E209" s="222">
        <f t="shared" si="2"/>
        <v>404668.0167</v>
      </c>
      <c r="F209" s="222">
        <f t="shared" si="3"/>
        <v>141629.2689</v>
      </c>
      <c r="G209" s="222">
        <f t="shared" si="4"/>
        <v>546297.2856</v>
      </c>
      <c r="H209" s="224">
        <f t="shared" si="7"/>
        <v>55686131.56</v>
      </c>
      <c r="I209" s="222">
        <f t="shared" si="5"/>
        <v>118</v>
      </c>
    </row>
    <row r="210" ht="12.0" customHeight="1">
      <c r="C210" s="222">
        <f t="shared" ref="C210:D210" si="206">C209+1</f>
        <v>202</v>
      </c>
      <c r="D210" s="231">
        <f t="shared" si="206"/>
        <v>243</v>
      </c>
      <c r="E210" s="222">
        <f t="shared" si="2"/>
        <v>405689.8034</v>
      </c>
      <c r="F210" s="222">
        <f t="shared" si="3"/>
        <v>140607.4822</v>
      </c>
      <c r="G210" s="222">
        <f t="shared" si="4"/>
        <v>546297.2856</v>
      </c>
      <c r="H210" s="224">
        <f t="shared" si="7"/>
        <v>55280441.76</v>
      </c>
      <c r="I210" s="222">
        <f t="shared" si="5"/>
        <v>117</v>
      </c>
    </row>
    <row r="211" ht="12.0" customHeight="1">
      <c r="C211" s="222">
        <f t="shared" ref="C211:D211" si="207">C210+1</f>
        <v>203</v>
      </c>
      <c r="D211" s="231">
        <f t="shared" si="207"/>
        <v>244</v>
      </c>
      <c r="E211" s="222">
        <f t="shared" si="2"/>
        <v>406714.1702</v>
      </c>
      <c r="F211" s="222">
        <f t="shared" si="3"/>
        <v>139583.1154</v>
      </c>
      <c r="G211" s="222">
        <f t="shared" si="4"/>
        <v>546297.2856</v>
      </c>
      <c r="H211" s="224">
        <f t="shared" si="7"/>
        <v>54873727.59</v>
      </c>
      <c r="I211" s="222">
        <f t="shared" si="5"/>
        <v>116</v>
      </c>
    </row>
    <row r="212" ht="12.0" customHeight="1">
      <c r="C212" s="222">
        <f t="shared" ref="C212:D212" si="208">C211+1</f>
        <v>204</v>
      </c>
      <c r="D212" s="231">
        <f t="shared" si="208"/>
        <v>245</v>
      </c>
      <c r="E212" s="222">
        <f t="shared" si="2"/>
        <v>407741.1235</v>
      </c>
      <c r="F212" s="222">
        <f t="shared" si="3"/>
        <v>138556.1622</v>
      </c>
      <c r="G212" s="222">
        <f t="shared" si="4"/>
        <v>546297.2856</v>
      </c>
      <c r="H212" s="224">
        <f t="shared" si="7"/>
        <v>54465986.47</v>
      </c>
      <c r="I212" s="222">
        <f t="shared" si="5"/>
        <v>115</v>
      </c>
    </row>
    <row r="213" ht="12.0" customHeight="1">
      <c r="C213" s="222">
        <f t="shared" ref="C213:D213" si="209">C212+1</f>
        <v>205</v>
      </c>
      <c r="D213" s="231">
        <f t="shared" si="209"/>
        <v>246</v>
      </c>
      <c r="E213" s="222">
        <f t="shared" si="2"/>
        <v>408770.6698</v>
      </c>
      <c r="F213" s="222">
        <f t="shared" si="3"/>
        <v>137526.6158</v>
      </c>
      <c r="G213" s="222">
        <f t="shared" si="4"/>
        <v>546297.2856</v>
      </c>
      <c r="H213" s="224">
        <f t="shared" si="7"/>
        <v>54057215.8</v>
      </c>
      <c r="I213" s="222">
        <f t="shared" si="5"/>
        <v>114</v>
      </c>
    </row>
    <row r="214" ht="12.0" customHeight="1">
      <c r="C214" s="222">
        <f t="shared" ref="C214:D214" si="210">C213+1</f>
        <v>206</v>
      </c>
      <c r="D214" s="231">
        <f t="shared" si="210"/>
        <v>247</v>
      </c>
      <c r="E214" s="222">
        <f t="shared" si="2"/>
        <v>409802.8157</v>
      </c>
      <c r="F214" s="222">
        <f t="shared" si="3"/>
        <v>136494.4699</v>
      </c>
      <c r="G214" s="222">
        <f t="shared" si="4"/>
        <v>546297.2856</v>
      </c>
      <c r="H214" s="224">
        <f t="shared" si="7"/>
        <v>53647412.98</v>
      </c>
      <c r="I214" s="222">
        <f t="shared" si="5"/>
        <v>113</v>
      </c>
    </row>
    <row r="215" ht="12.0" customHeight="1">
      <c r="C215" s="222">
        <f t="shared" ref="C215:D215" si="211">C214+1</f>
        <v>207</v>
      </c>
      <c r="D215" s="231">
        <f t="shared" si="211"/>
        <v>248</v>
      </c>
      <c r="E215" s="222">
        <f t="shared" si="2"/>
        <v>410837.5678</v>
      </c>
      <c r="F215" s="222">
        <f t="shared" si="3"/>
        <v>135459.7178</v>
      </c>
      <c r="G215" s="222">
        <f t="shared" si="4"/>
        <v>546297.2856</v>
      </c>
      <c r="H215" s="224">
        <f t="shared" si="7"/>
        <v>53236575.41</v>
      </c>
      <c r="I215" s="222">
        <f t="shared" si="5"/>
        <v>112</v>
      </c>
    </row>
    <row r="216" ht="12.0" customHeight="1">
      <c r="C216" s="222">
        <f t="shared" ref="C216:D216" si="212">C215+1</f>
        <v>208</v>
      </c>
      <c r="D216" s="231">
        <f t="shared" si="212"/>
        <v>249</v>
      </c>
      <c r="E216" s="222">
        <f t="shared" si="2"/>
        <v>411874.9327</v>
      </c>
      <c r="F216" s="222">
        <f t="shared" si="3"/>
        <v>134422.3529</v>
      </c>
      <c r="G216" s="222">
        <f t="shared" si="4"/>
        <v>546297.2856</v>
      </c>
      <c r="H216" s="224">
        <f t="shared" si="7"/>
        <v>52824700.48</v>
      </c>
      <c r="I216" s="222">
        <f t="shared" si="5"/>
        <v>111</v>
      </c>
    </row>
    <row r="217" ht="12.0" customHeight="1">
      <c r="C217" s="222">
        <f t="shared" ref="C217:D217" si="213">C216+1</f>
        <v>209</v>
      </c>
      <c r="D217" s="231">
        <f t="shared" si="213"/>
        <v>250</v>
      </c>
      <c r="E217" s="222">
        <f t="shared" si="2"/>
        <v>412914.9169</v>
      </c>
      <c r="F217" s="222">
        <f t="shared" si="3"/>
        <v>133382.3687</v>
      </c>
      <c r="G217" s="222">
        <f t="shared" si="4"/>
        <v>546297.2856</v>
      </c>
      <c r="H217" s="224">
        <f t="shared" si="7"/>
        <v>52411785.56</v>
      </c>
      <c r="I217" s="222">
        <f t="shared" si="5"/>
        <v>110</v>
      </c>
    </row>
    <row r="218" ht="12.0" customHeight="1">
      <c r="C218" s="222">
        <f t="shared" ref="C218:D218" si="214">C217+1</f>
        <v>210</v>
      </c>
      <c r="D218" s="231">
        <f t="shared" si="214"/>
        <v>251</v>
      </c>
      <c r="E218" s="222">
        <f t="shared" si="2"/>
        <v>413957.5271</v>
      </c>
      <c r="F218" s="222">
        <f t="shared" si="3"/>
        <v>132339.7586</v>
      </c>
      <c r="G218" s="222">
        <f t="shared" si="4"/>
        <v>546297.2856</v>
      </c>
      <c r="H218" s="224">
        <f t="shared" si="7"/>
        <v>51997828.04</v>
      </c>
      <c r="I218" s="222">
        <f t="shared" si="5"/>
        <v>109</v>
      </c>
    </row>
    <row r="219" ht="12.0" customHeight="1">
      <c r="C219" s="222">
        <f t="shared" ref="C219:D219" si="215">C218+1</f>
        <v>211</v>
      </c>
      <c r="D219" s="231">
        <f t="shared" si="215"/>
        <v>252</v>
      </c>
      <c r="E219" s="222">
        <f t="shared" si="2"/>
        <v>415002.7698</v>
      </c>
      <c r="F219" s="222">
        <f t="shared" si="3"/>
        <v>131294.5158</v>
      </c>
      <c r="G219" s="222">
        <f t="shared" si="4"/>
        <v>546297.2856</v>
      </c>
      <c r="H219" s="224">
        <f t="shared" si="7"/>
        <v>51582825.27</v>
      </c>
      <c r="I219" s="222">
        <f t="shared" si="5"/>
        <v>108</v>
      </c>
    </row>
    <row r="220" ht="12.0" customHeight="1">
      <c r="C220" s="222">
        <f t="shared" ref="C220:D220" si="216">C219+1</f>
        <v>212</v>
      </c>
      <c r="D220" s="231">
        <f t="shared" si="216"/>
        <v>253</v>
      </c>
      <c r="E220" s="222">
        <f t="shared" si="2"/>
        <v>416050.6518</v>
      </c>
      <c r="F220" s="222">
        <f t="shared" si="3"/>
        <v>130246.6338</v>
      </c>
      <c r="G220" s="222">
        <f t="shared" si="4"/>
        <v>546297.2856</v>
      </c>
      <c r="H220" s="224">
        <f t="shared" si="7"/>
        <v>51166774.62</v>
      </c>
      <c r="I220" s="222">
        <f t="shared" si="5"/>
        <v>107</v>
      </c>
    </row>
    <row r="221" ht="12.0" customHeight="1">
      <c r="C221" s="222">
        <f t="shared" ref="C221:D221" si="217">C220+1</f>
        <v>213</v>
      </c>
      <c r="D221" s="231">
        <f t="shared" si="217"/>
        <v>254</v>
      </c>
      <c r="E221" s="222">
        <f t="shared" si="2"/>
        <v>417101.1797</v>
      </c>
      <c r="F221" s="222">
        <f t="shared" si="3"/>
        <v>129196.1059</v>
      </c>
      <c r="G221" s="222">
        <f t="shared" si="4"/>
        <v>546297.2856</v>
      </c>
      <c r="H221" s="224">
        <f t="shared" si="7"/>
        <v>50749673.44</v>
      </c>
      <c r="I221" s="222">
        <f t="shared" si="5"/>
        <v>106</v>
      </c>
    </row>
    <row r="222" ht="12.0" customHeight="1">
      <c r="C222" s="222">
        <f t="shared" ref="C222:D222" si="218">C221+1</f>
        <v>214</v>
      </c>
      <c r="D222" s="231">
        <f t="shared" si="218"/>
        <v>255</v>
      </c>
      <c r="E222" s="222">
        <f t="shared" si="2"/>
        <v>418154.3602</v>
      </c>
      <c r="F222" s="222">
        <f t="shared" si="3"/>
        <v>128142.9254</v>
      </c>
      <c r="G222" s="222">
        <f t="shared" si="4"/>
        <v>546297.2856</v>
      </c>
      <c r="H222" s="224">
        <f t="shared" si="7"/>
        <v>50331519.08</v>
      </c>
      <c r="I222" s="222">
        <f t="shared" si="5"/>
        <v>105</v>
      </c>
    </row>
    <row r="223" ht="12.0" customHeight="1">
      <c r="C223" s="222">
        <f t="shared" ref="C223:D223" si="219">C222+1</f>
        <v>215</v>
      </c>
      <c r="D223" s="231">
        <f t="shared" si="219"/>
        <v>256</v>
      </c>
      <c r="E223" s="222">
        <f t="shared" si="2"/>
        <v>419210.2</v>
      </c>
      <c r="F223" s="222">
        <f t="shared" si="3"/>
        <v>127087.0857</v>
      </c>
      <c r="G223" s="222">
        <f t="shared" si="4"/>
        <v>546297.2856</v>
      </c>
      <c r="H223" s="224">
        <f t="shared" si="7"/>
        <v>49912308.88</v>
      </c>
      <c r="I223" s="222">
        <f t="shared" si="5"/>
        <v>104</v>
      </c>
    </row>
    <row r="224" ht="12.0" customHeight="1">
      <c r="C224" s="222">
        <f t="shared" ref="C224:D224" si="220">C223+1</f>
        <v>216</v>
      </c>
      <c r="D224" s="231">
        <f t="shared" si="220"/>
        <v>257</v>
      </c>
      <c r="E224" s="222">
        <f t="shared" si="2"/>
        <v>420268.7057</v>
      </c>
      <c r="F224" s="222">
        <f t="shared" si="3"/>
        <v>126028.5799</v>
      </c>
      <c r="G224" s="222">
        <f t="shared" si="4"/>
        <v>546297.2856</v>
      </c>
      <c r="H224" s="224">
        <f t="shared" si="7"/>
        <v>49492040.17</v>
      </c>
      <c r="I224" s="222">
        <f t="shared" si="5"/>
        <v>103</v>
      </c>
    </row>
    <row r="225" ht="12.0" customHeight="1">
      <c r="C225" s="222">
        <f t="shared" ref="C225:D225" si="221">C224+1</f>
        <v>217</v>
      </c>
      <c r="D225" s="231">
        <f t="shared" si="221"/>
        <v>258</v>
      </c>
      <c r="E225" s="222">
        <f t="shared" si="2"/>
        <v>421329.8842</v>
      </c>
      <c r="F225" s="222">
        <f t="shared" si="3"/>
        <v>124967.4014</v>
      </c>
      <c r="G225" s="222">
        <f t="shared" si="4"/>
        <v>546297.2856</v>
      </c>
      <c r="H225" s="224">
        <f t="shared" si="7"/>
        <v>49070710.29</v>
      </c>
      <c r="I225" s="222">
        <f t="shared" si="5"/>
        <v>102</v>
      </c>
    </row>
    <row r="226" ht="12.0" customHeight="1">
      <c r="C226" s="222">
        <f t="shared" ref="C226:D226" si="222">C225+1</f>
        <v>218</v>
      </c>
      <c r="D226" s="231">
        <f t="shared" si="222"/>
        <v>259</v>
      </c>
      <c r="E226" s="222">
        <f t="shared" si="2"/>
        <v>422393.7421</v>
      </c>
      <c r="F226" s="222">
        <f t="shared" si="3"/>
        <v>123903.5435</v>
      </c>
      <c r="G226" s="222">
        <f t="shared" si="4"/>
        <v>546297.2856</v>
      </c>
      <c r="H226" s="224">
        <f t="shared" si="7"/>
        <v>48648316.54</v>
      </c>
      <c r="I226" s="222">
        <f t="shared" si="5"/>
        <v>101</v>
      </c>
    </row>
    <row r="227" ht="12.0" customHeight="1">
      <c r="C227" s="222">
        <f t="shared" ref="C227:D227" si="223">C226+1</f>
        <v>219</v>
      </c>
      <c r="D227" s="231">
        <f t="shared" si="223"/>
        <v>260</v>
      </c>
      <c r="E227" s="222">
        <f t="shared" si="2"/>
        <v>423460.2863</v>
      </c>
      <c r="F227" s="222">
        <f t="shared" si="3"/>
        <v>122836.9993</v>
      </c>
      <c r="G227" s="222">
        <f t="shared" si="4"/>
        <v>546297.2856</v>
      </c>
      <c r="H227" s="224">
        <f t="shared" si="7"/>
        <v>48224856.26</v>
      </c>
      <c r="I227" s="222">
        <f t="shared" si="5"/>
        <v>100</v>
      </c>
    </row>
    <row r="228" ht="12.0" customHeight="1">
      <c r="C228" s="222">
        <f t="shared" ref="C228:D228" si="224">C227+1</f>
        <v>220</v>
      </c>
      <c r="D228" s="231">
        <f t="shared" si="224"/>
        <v>261</v>
      </c>
      <c r="E228" s="222">
        <f t="shared" si="2"/>
        <v>424529.5236</v>
      </c>
      <c r="F228" s="222">
        <f t="shared" si="3"/>
        <v>121767.7621</v>
      </c>
      <c r="G228" s="222">
        <f t="shared" si="4"/>
        <v>546297.2856</v>
      </c>
      <c r="H228" s="224">
        <f t="shared" si="7"/>
        <v>47800326.73</v>
      </c>
      <c r="I228" s="222">
        <f t="shared" si="5"/>
        <v>99</v>
      </c>
    </row>
    <row r="229" ht="12.0" customHeight="1">
      <c r="C229" s="222">
        <f t="shared" ref="C229:D229" si="225">C228+1</f>
        <v>221</v>
      </c>
      <c r="D229" s="231">
        <f t="shared" si="225"/>
        <v>262</v>
      </c>
      <c r="E229" s="222">
        <f t="shared" si="2"/>
        <v>425601.4606</v>
      </c>
      <c r="F229" s="222">
        <f t="shared" si="3"/>
        <v>120695.825</v>
      </c>
      <c r="G229" s="222">
        <f t="shared" si="4"/>
        <v>546297.2856</v>
      </c>
      <c r="H229" s="224">
        <f t="shared" si="7"/>
        <v>47374725.27</v>
      </c>
      <c r="I229" s="222">
        <f t="shared" si="5"/>
        <v>98</v>
      </c>
    </row>
    <row r="230" ht="12.0" customHeight="1">
      <c r="C230" s="222">
        <f t="shared" ref="C230:D230" si="226">C229+1</f>
        <v>222</v>
      </c>
      <c r="D230" s="231">
        <f t="shared" si="226"/>
        <v>263</v>
      </c>
      <c r="E230" s="222">
        <f t="shared" si="2"/>
        <v>426676.1043</v>
      </c>
      <c r="F230" s="222">
        <f t="shared" si="3"/>
        <v>119621.1813</v>
      </c>
      <c r="G230" s="222">
        <f t="shared" si="4"/>
        <v>546297.2856</v>
      </c>
      <c r="H230" s="224">
        <f t="shared" si="7"/>
        <v>46948049.17</v>
      </c>
      <c r="I230" s="222">
        <f t="shared" si="5"/>
        <v>97</v>
      </c>
    </row>
    <row r="231" ht="12.0" customHeight="1">
      <c r="C231" s="222">
        <f t="shared" ref="C231:D231" si="227">C230+1</f>
        <v>223</v>
      </c>
      <c r="D231" s="231">
        <f t="shared" si="227"/>
        <v>264</v>
      </c>
      <c r="E231" s="222">
        <f t="shared" si="2"/>
        <v>427753.4615</v>
      </c>
      <c r="F231" s="222">
        <f t="shared" si="3"/>
        <v>118543.8242</v>
      </c>
      <c r="G231" s="222">
        <f t="shared" si="4"/>
        <v>546297.2856</v>
      </c>
      <c r="H231" s="224">
        <f t="shared" si="7"/>
        <v>46520295.71</v>
      </c>
      <c r="I231" s="222">
        <f t="shared" si="5"/>
        <v>96</v>
      </c>
    </row>
    <row r="232" ht="12.0" customHeight="1">
      <c r="C232" s="222">
        <f t="shared" ref="C232:D232" si="228">C231+1</f>
        <v>224</v>
      </c>
      <c r="D232" s="231">
        <f t="shared" si="228"/>
        <v>265</v>
      </c>
      <c r="E232" s="222">
        <f t="shared" si="2"/>
        <v>428833.539</v>
      </c>
      <c r="F232" s="222">
        <f t="shared" si="3"/>
        <v>117463.7467</v>
      </c>
      <c r="G232" s="222">
        <f t="shared" si="4"/>
        <v>546297.2856</v>
      </c>
      <c r="H232" s="224">
        <f t="shared" si="7"/>
        <v>46091462.17</v>
      </c>
      <c r="I232" s="222">
        <f t="shared" si="5"/>
        <v>95</v>
      </c>
    </row>
    <row r="233" ht="12.0" customHeight="1">
      <c r="C233" s="222">
        <f t="shared" ref="C233:D233" si="229">C232+1</f>
        <v>225</v>
      </c>
      <c r="D233" s="231">
        <f t="shared" si="229"/>
        <v>266</v>
      </c>
      <c r="E233" s="222">
        <f t="shared" si="2"/>
        <v>429916.3436</v>
      </c>
      <c r="F233" s="222">
        <f t="shared" si="3"/>
        <v>116380.942</v>
      </c>
      <c r="G233" s="222">
        <f t="shared" si="4"/>
        <v>546297.2856</v>
      </c>
      <c r="H233" s="224">
        <f t="shared" si="7"/>
        <v>45661545.83</v>
      </c>
      <c r="I233" s="222">
        <f t="shared" si="5"/>
        <v>94</v>
      </c>
    </row>
    <row r="234" ht="12.0" customHeight="1">
      <c r="C234" s="222">
        <f t="shared" ref="C234:D234" si="230">C233+1</f>
        <v>226</v>
      </c>
      <c r="D234" s="231">
        <f t="shared" si="230"/>
        <v>267</v>
      </c>
      <c r="E234" s="222">
        <f t="shared" si="2"/>
        <v>431001.8824</v>
      </c>
      <c r="F234" s="222">
        <f t="shared" si="3"/>
        <v>115295.4032</v>
      </c>
      <c r="G234" s="222">
        <f t="shared" si="4"/>
        <v>546297.2856</v>
      </c>
      <c r="H234" s="224">
        <f t="shared" si="7"/>
        <v>45230543.94</v>
      </c>
      <c r="I234" s="222">
        <f t="shared" si="5"/>
        <v>93</v>
      </c>
    </row>
    <row r="235" ht="12.0" customHeight="1">
      <c r="C235" s="222">
        <f t="shared" ref="C235:D235" si="231">C234+1</f>
        <v>227</v>
      </c>
      <c r="D235" s="231">
        <f t="shared" si="231"/>
        <v>268</v>
      </c>
      <c r="E235" s="222">
        <f t="shared" si="2"/>
        <v>432090.1622</v>
      </c>
      <c r="F235" s="222">
        <f t="shared" si="3"/>
        <v>114207.1235</v>
      </c>
      <c r="G235" s="222">
        <f t="shared" si="4"/>
        <v>546297.2856</v>
      </c>
      <c r="H235" s="224">
        <f t="shared" si="7"/>
        <v>44798453.78</v>
      </c>
      <c r="I235" s="222">
        <f t="shared" si="5"/>
        <v>92</v>
      </c>
    </row>
    <row r="236" ht="12.0" customHeight="1">
      <c r="C236" s="222">
        <f t="shared" ref="C236:D236" si="232">C235+1</f>
        <v>228</v>
      </c>
      <c r="D236" s="231">
        <f t="shared" si="232"/>
        <v>269</v>
      </c>
      <c r="E236" s="222">
        <f t="shared" si="2"/>
        <v>433181.1898</v>
      </c>
      <c r="F236" s="222">
        <f t="shared" si="3"/>
        <v>113116.0958</v>
      </c>
      <c r="G236" s="222">
        <f t="shared" si="4"/>
        <v>546297.2856</v>
      </c>
      <c r="H236" s="224">
        <f t="shared" si="7"/>
        <v>44365272.59</v>
      </c>
      <c r="I236" s="222">
        <f t="shared" si="5"/>
        <v>91</v>
      </c>
    </row>
    <row r="237" ht="12.0" customHeight="1">
      <c r="C237" s="222">
        <f t="shared" ref="C237:D237" si="233">C236+1</f>
        <v>229</v>
      </c>
      <c r="D237" s="231">
        <f t="shared" si="233"/>
        <v>270</v>
      </c>
      <c r="E237" s="222">
        <f t="shared" si="2"/>
        <v>434274.9723</v>
      </c>
      <c r="F237" s="222">
        <f t="shared" si="3"/>
        <v>112022.3133</v>
      </c>
      <c r="G237" s="222">
        <f t="shared" si="4"/>
        <v>546297.2856</v>
      </c>
      <c r="H237" s="224">
        <f t="shared" si="7"/>
        <v>43930997.62</v>
      </c>
      <c r="I237" s="222">
        <f t="shared" si="5"/>
        <v>90</v>
      </c>
    </row>
    <row r="238" ht="12.0" customHeight="1">
      <c r="C238" s="222">
        <f t="shared" ref="C238:D238" si="234">C237+1</f>
        <v>230</v>
      </c>
      <c r="D238" s="231">
        <f t="shared" si="234"/>
        <v>271</v>
      </c>
      <c r="E238" s="222">
        <f t="shared" si="2"/>
        <v>435371.5166</v>
      </c>
      <c r="F238" s="222">
        <f t="shared" si="3"/>
        <v>110925.769</v>
      </c>
      <c r="G238" s="222">
        <f t="shared" si="4"/>
        <v>546297.2856</v>
      </c>
      <c r="H238" s="224">
        <f t="shared" si="7"/>
        <v>43495626.1</v>
      </c>
      <c r="I238" s="222">
        <f t="shared" si="5"/>
        <v>89</v>
      </c>
    </row>
    <row r="239" ht="12.0" customHeight="1">
      <c r="C239" s="222">
        <f t="shared" ref="C239:D239" si="235">C238+1</f>
        <v>231</v>
      </c>
      <c r="D239" s="231">
        <f t="shared" si="235"/>
        <v>272</v>
      </c>
      <c r="E239" s="222">
        <f t="shared" si="2"/>
        <v>436470.8297</v>
      </c>
      <c r="F239" s="222">
        <f t="shared" si="3"/>
        <v>109826.4559</v>
      </c>
      <c r="G239" s="222">
        <f t="shared" si="4"/>
        <v>546297.2856</v>
      </c>
      <c r="H239" s="224">
        <f t="shared" si="7"/>
        <v>43059155.27</v>
      </c>
      <c r="I239" s="222">
        <f t="shared" si="5"/>
        <v>88</v>
      </c>
    </row>
    <row r="240" ht="12.0" customHeight="1">
      <c r="C240" s="222">
        <f t="shared" ref="C240:D240" si="236">C239+1</f>
        <v>232</v>
      </c>
      <c r="D240" s="231">
        <f t="shared" si="236"/>
        <v>273</v>
      </c>
      <c r="E240" s="222">
        <f t="shared" si="2"/>
        <v>437572.9186</v>
      </c>
      <c r="F240" s="222">
        <f t="shared" si="3"/>
        <v>108724.3671</v>
      </c>
      <c r="G240" s="222">
        <f t="shared" si="4"/>
        <v>546297.2856</v>
      </c>
      <c r="H240" s="224">
        <f t="shared" si="7"/>
        <v>42621582.35</v>
      </c>
      <c r="I240" s="222">
        <f t="shared" si="5"/>
        <v>87</v>
      </c>
    </row>
    <row r="241" ht="12.0" customHeight="1">
      <c r="C241" s="222">
        <f t="shared" ref="C241:D241" si="237">C240+1</f>
        <v>233</v>
      </c>
      <c r="D241" s="231">
        <f t="shared" si="237"/>
        <v>274</v>
      </c>
      <c r="E241" s="222">
        <f t="shared" si="2"/>
        <v>438677.7902</v>
      </c>
      <c r="F241" s="222">
        <f t="shared" si="3"/>
        <v>107619.4954</v>
      </c>
      <c r="G241" s="222">
        <f t="shared" si="4"/>
        <v>546297.2856</v>
      </c>
      <c r="H241" s="224">
        <f t="shared" si="7"/>
        <v>42182904.56</v>
      </c>
      <c r="I241" s="222">
        <f t="shared" si="5"/>
        <v>86</v>
      </c>
    </row>
    <row r="242" ht="12.0" customHeight="1">
      <c r="C242" s="222">
        <f t="shared" ref="C242:D242" si="238">C241+1</f>
        <v>234</v>
      </c>
      <c r="D242" s="231">
        <f t="shared" si="238"/>
        <v>275</v>
      </c>
      <c r="E242" s="222">
        <f t="shared" si="2"/>
        <v>439785.4516</v>
      </c>
      <c r="F242" s="222">
        <f t="shared" si="3"/>
        <v>106511.834</v>
      </c>
      <c r="G242" s="222">
        <f t="shared" si="4"/>
        <v>546297.2856</v>
      </c>
      <c r="H242" s="224">
        <f t="shared" si="7"/>
        <v>41743119.11</v>
      </c>
      <c r="I242" s="222">
        <f t="shared" si="5"/>
        <v>85</v>
      </c>
    </row>
    <row r="243" ht="12.0" customHeight="1">
      <c r="C243" s="222">
        <f t="shared" ref="C243:D243" si="239">C242+1</f>
        <v>235</v>
      </c>
      <c r="D243" s="231">
        <f t="shared" si="239"/>
        <v>276</v>
      </c>
      <c r="E243" s="222">
        <f t="shared" si="2"/>
        <v>440895.9099</v>
      </c>
      <c r="F243" s="222">
        <f t="shared" si="3"/>
        <v>105401.3758</v>
      </c>
      <c r="G243" s="222">
        <f t="shared" si="4"/>
        <v>546297.2856</v>
      </c>
      <c r="H243" s="224">
        <f t="shared" si="7"/>
        <v>41302223.2</v>
      </c>
      <c r="I243" s="222">
        <f t="shared" si="5"/>
        <v>84</v>
      </c>
    </row>
    <row r="244" ht="12.0" customHeight="1">
      <c r="C244" s="222">
        <f t="shared" ref="C244:D244" si="240">C243+1</f>
        <v>236</v>
      </c>
      <c r="D244" s="231">
        <f t="shared" si="240"/>
        <v>277</v>
      </c>
      <c r="E244" s="222">
        <f t="shared" si="2"/>
        <v>442009.172</v>
      </c>
      <c r="F244" s="222">
        <f t="shared" si="3"/>
        <v>104288.1136</v>
      </c>
      <c r="G244" s="222">
        <f t="shared" si="4"/>
        <v>546297.2856</v>
      </c>
      <c r="H244" s="224">
        <f t="shared" si="7"/>
        <v>40860214.03</v>
      </c>
      <c r="I244" s="222">
        <f t="shared" si="5"/>
        <v>83</v>
      </c>
    </row>
    <row r="245" ht="12.0" customHeight="1">
      <c r="C245" s="222">
        <f t="shared" ref="C245:D245" si="241">C244+1</f>
        <v>237</v>
      </c>
      <c r="D245" s="231">
        <f t="shared" si="241"/>
        <v>278</v>
      </c>
      <c r="E245" s="222">
        <f t="shared" si="2"/>
        <v>443125.2452</v>
      </c>
      <c r="F245" s="222">
        <f t="shared" si="3"/>
        <v>103172.0404</v>
      </c>
      <c r="G245" s="222">
        <f t="shared" si="4"/>
        <v>546297.2856</v>
      </c>
      <c r="H245" s="224">
        <f t="shared" si="7"/>
        <v>40417088.78</v>
      </c>
      <c r="I245" s="222">
        <f t="shared" si="5"/>
        <v>82</v>
      </c>
    </row>
    <row r="246" ht="12.0" customHeight="1">
      <c r="C246" s="222">
        <f t="shared" ref="C246:D246" si="242">C245+1</f>
        <v>238</v>
      </c>
      <c r="D246" s="231">
        <f t="shared" si="242"/>
        <v>279</v>
      </c>
      <c r="E246" s="222">
        <f t="shared" si="2"/>
        <v>444244.1364</v>
      </c>
      <c r="F246" s="222">
        <f t="shared" si="3"/>
        <v>102053.1492</v>
      </c>
      <c r="G246" s="222">
        <f t="shared" si="4"/>
        <v>546297.2856</v>
      </c>
      <c r="H246" s="224">
        <f t="shared" si="7"/>
        <v>39972844.65</v>
      </c>
      <c r="I246" s="222">
        <f t="shared" si="5"/>
        <v>81</v>
      </c>
    </row>
    <row r="247" ht="12.0" customHeight="1">
      <c r="C247" s="222">
        <f t="shared" ref="C247:D247" si="243">C246+1</f>
        <v>239</v>
      </c>
      <c r="D247" s="231">
        <f t="shared" si="243"/>
        <v>280</v>
      </c>
      <c r="E247" s="222">
        <f t="shared" si="2"/>
        <v>445365.8529</v>
      </c>
      <c r="F247" s="222">
        <f t="shared" si="3"/>
        <v>100931.4327</v>
      </c>
      <c r="G247" s="222">
        <f t="shared" si="4"/>
        <v>546297.2856</v>
      </c>
      <c r="H247" s="224">
        <f t="shared" si="7"/>
        <v>39527478.8</v>
      </c>
      <c r="I247" s="222">
        <f t="shared" si="5"/>
        <v>80</v>
      </c>
    </row>
    <row r="248" ht="12.0" customHeight="1">
      <c r="C248" s="222">
        <f t="shared" ref="C248:D248" si="244">C247+1</f>
        <v>240</v>
      </c>
      <c r="D248" s="231">
        <f t="shared" si="244"/>
        <v>281</v>
      </c>
      <c r="E248" s="222">
        <f t="shared" si="2"/>
        <v>446490.4017</v>
      </c>
      <c r="F248" s="222">
        <f t="shared" si="3"/>
        <v>99806.88396</v>
      </c>
      <c r="G248" s="222">
        <f t="shared" si="4"/>
        <v>546297.2856</v>
      </c>
      <c r="H248" s="224">
        <f t="shared" si="7"/>
        <v>39080988.39</v>
      </c>
      <c r="I248" s="222">
        <f t="shared" si="5"/>
        <v>79</v>
      </c>
    </row>
    <row r="249" ht="12.0" customHeight="1">
      <c r="C249" s="222">
        <f t="shared" ref="C249:D249" si="245">C248+1</f>
        <v>241</v>
      </c>
      <c r="D249" s="231">
        <f t="shared" si="245"/>
        <v>282</v>
      </c>
      <c r="E249" s="222">
        <f t="shared" si="2"/>
        <v>447617.7899</v>
      </c>
      <c r="F249" s="222">
        <f t="shared" si="3"/>
        <v>98679.49569</v>
      </c>
      <c r="G249" s="222">
        <f t="shared" si="4"/>
        <v>546297.2856</v>
      </c>
      <c r="H249" s="224">
        <f t="shared" si="7"/>
        <v>38633370.6</v>
      </c>
      <c r="I249" s="222">
        <f t="shared" si="5"/>
        <v>78</v>
      </c>
    </row>
    <row r="250" ht="12.0" customHeight="1">
      <c r="C250" s="222">
        <f t="shared" ref="C250:D250" si="246">C249+1</f>
        <v>242</v>
      </c>
      <c r="D250" s="231">
        <f t="shared" si="246"/>
        <v>283</v>
      </c>
      <c r="E250" s="222">
        <f t="shared" si="2"/>
        <v>448748.0248</v>
      </c>
      <c r="F250" s="222">
        <f t="shared" si="3"/>
        <v>97549.26078</v>
      </c>
      <c r="G250" s="222">
        <f t="shared" si="4"/>
        <v>546297.2856</v>
      </c>
      <c r="H250" s="224">
        <f t="shared" si="7"/>
        <v>38184622.58</v>
      </c>
      <c r="I250" s="222">
        <f t="shared" si="5"/>
        <v>77</v>
      </c>
    </row>
    <row r="251" ht="12.0" customHeight="1">
      <c r="C251" s="222">
        <f t="shared" ref="C251:D251" si="247">C250+1</f>
        <v>243</v>
      </c>
      <c r="D251" s="231">
        <f t="shared" si="247"/>
        <v>284</v>
      </c>
      <c r="E251" s="222">
        <f t="shared" si="2"/>
        <v>449881.1136</v>
      </c>
      <c r="F251" s="222">
        <f t="shared" si="3"/>
        <v>96416.17201</v>
      </c>
      <c r="G251" s="222">
        <f t="shared" si="4"/>
        <v>546297.2856</v>
      </c>
      <c r="H251" s="224">
        <f t="shared" si="7"/>
        <v>37734741.47</v>
      </c>
      <c r="I251" s="222">
        <f t="shared" si="5"/>
        <v>76</v>
      </c>
    </row>
    <row r="252" ht="12.0" customHeight="1">
      <c r="C252" s="222">
        <f t="shared" ref="C252:D252" si="248">C251+1</f>
        <v>244</v>
      </c>
      <c r="D252" s="231">
        <f t="shared" si="248"/>
        <v>285</v>
      </c>
      <c r="E252" s="222">
        <f t="shared" si="2"/>
        <v>451017.0634</v>
      </c>
      <c r="F252" s="222">
        <f t="shared" si="3"/>
        <v>95280.2222</v>
      </c>
      <c r="G252" s="222">
        <f t="shared" si="4"/>
        <v>546297.2856</v>
      </c>
      <c r="H252" s="224">
        <f t="shared" si="7"/>
        <v>37283724.4</v>
      </c>
      <c r="I252" s="222">
        <f t="shared" si="5"/>
        <v>75</v>
      </c>
    </row>
    <row r="253" ht="12.0" customHeight="1">
      <c r="C253" s="222">
        <f t="shared" ref="C253:D253" si="249">C252+1</f>
        <v>245</v>
      </c>
      <c r="D253" s="231">
        <f t="shared" si="249"/>
        <v>286</v>
      </c>
      <c r="E253" s="222">
        <f t="shared" si="2"/>
        <v>452155.8815</v>
      </c>
      <c r="F253" s="222">
        <f t="shared" si="3"/>
        <v>94141.40412</v>
      </c>
      <c r="G253" s="222">
        <f t="shared" si="4"/>
        <v>546297.2856</v>
      </c>
      <c r="H253" s="224">
        <f t="shared" si="7"/>
        <v>36831568.52</v>
      </c>
      <c r="I253" s="222">
        <f t="shared" si="5"/>
        <v>74</v>
      </c>
    </row>
    <row r="254" ht="12.0" customHeight="1">
      <c r="C254" s="222">
        <f t="shared" ref="C254:D254" si="250">C253+1</f>
        <v>246</v>
      </c>
      <c r="D254" s="231">
        <f t="shared" si="250"/>
        <v>287</v>
      </c>
      <c r="E254" s="222">
        <f t="shared" si="2"/>
        <v>453297.5751</v>
      </c>
      <c r="F254" s="222">
        <f t="shared" si="3"/>
        <v>92999.71051</v>
      </c>
      <c r="G254" s="222">
        <f t="shared" si="4"/>
        <v>546297.2856</v>
      </c>
      <c r="H254" s="224">
        <f t="shared" si="7"/>
        <v>36378270.95</v>
      </c>
      <c r="I254" s="222">
        <f t="shared" si="5"/>
        <v>73</v>
      </c>
    </row>
    <row r="255" ht="12.0" customHeight="1">
      <c r="C255" s="222">
        <f t="shared" ref="C255:D255" si="251">C254+1</f>
        <v>247</v>
      </c>
      <c r="D255" s="231">
        <f t="shared" si="251"/>
        <v>288</v>
      </c>
      <c r="E255" s="222">
        <f t="shared" si="2"/>
        <v>454442.1515</v>
      </c>
      <c r="F255" s="222">
        <f t="shared" si="3"/>
        <v>91855.13414</v>
      </c>
      <c r="G255" s="222">
        <f t="shared" si="4"/>
        <v>546297.2856</v>
      </c>
      <c r="H255" s="224">
        <f t="shared" si="7"/>
        <v>35923828.79</v>
      </c>
      <c r="I255" s="222">
        <f t="shared" si="5"/>
        <v>72</v>
      </c>
    </row>
    <row r="256" ht="12.0" customHeight="1">
      <c r="C256" s="222">
        <f t="shared" ref="C256:D256" si="252">C255+1</f>
        <v>248</v>
      </c>
      <c r="D256" s="231">
        <f t="shared" si="252"/>
        <v>289</v>
      </c>
      <c r="E256" s="222">
        <f t="shared" si="2"/>
        <v>455589.6179</v>
      </c>
      <c r="F256" s="222">
        <f t="shared" si="3"/>
        <v>90707.6677</v>
      </c>
      <c r="G256" s="222">
        <f t="shared" si="4"/>
        <v>546297.2856</v>
      </c>
      <c r="H256" s="224">
        <f t="shared" si="7"/>
        <v>35468239.18</v>
      </c>
      <c r="I256" s="222">
        <f t="shared" si="5"/>
        <v>71</v>
      </c>
    </row>
    <row r="257" ht="12.0" customHeight="1">
      <c r="C257" s="222">
        <f t="shared" ref="C257:D257" si="253">C256+1</f>
        <v>249</v>
      </c>
      <c r="D257" s="231">
        <f t="shared" si="253"/>
        <v>290</v>
      </c>
      <c r="E257" s="222">
        <f t="shared" si="2"/>
        <v>456739.9817</v>
      </c>
      <c r="F257" s="222">
        <f t="shared" si="3"/>
        <v>89557.30392</v>
      </c>
      <c r="G257" s="222">
        <f t="shared" si="4"/>
        <v>546297.2856</v>
      </c>
      <c r="H257" s="224">
        <f t="shared" si="7"/>
        <v>35011499.19</v>
      </c>
      <c r="I257" s="222">
        <f t="shared" si="5"/>
        <v>70</v>
      </c>
    </row>
    <row r="258" ht="12.0" customHeight="1">
      <c r="C258" s="222">
        <f t="shared" ref="C258:D258" si="254">C257+1</f>
        <v>250</v>
      </c>
      <c r="D258" s="231">
        <f t="shared" si="254"/>
        <v>291</v>
      </c>
      <c r="E258" s="222">
        <f t="shared" si="2"/>
        <v>457893.2502</v>
      </c>
      <c r="F258" s="222">
        <f t="shared" si="3"/>
        <v>88404.03547</v>
      </c>
      <c r="G258" s="222">
        <f t="shared" si="4"/>
        <v>546297.2856</v>
      </c>
      <c r="H258" s="224">
        <f t="shared" si="7"/>
        <v>34553605.94</v>
      </c>
      <c r="I258" s="222">
        <f t="shared" si="5"/>
        <v>69</v>
      </c>
    </row>
    <row r="259" ht="12.0" customHeight="1">
      <c r="C259" s="222">
        <f t="shared" ref="C259:D259" si="255">C258+1</f>
        <v>251</v>
      </c>
      <c r="D259" s="231">
        <f t="shared" si="255"/>
        <v>292</v>
      </c>
      <c r="E259" s="222">
        <f t="shared" si="2"/>
        <v>459049.4306</v>
      </c>
      <c r="F259" s="222">
        <f t="shared" si="3"/>
        <v>87247.85501</v>
      </c>
      <c r="G259" s="222">
        <f t="shared" si="4"/>
        <v>546297.2856</v>
      </c>
      <c r="H259" s="224">
        <f t="shared" si="7"/>
        <v>34094556.51</v>
      </c>
      <c r="I259" s="222">
        <f t="shared" si="5"/>
        <v>68</v>
      </c>
    </row>
    <row r="260" ht="12.0" customHeight="1">
      <c r="C260" s="222">
        <f t="shared" ref="C260:D260" si="256">C259+1</f>
        <v>252</v>
      </c>
      <c r="D260" s="231">
        <f t="shared" si="256"/>
        <v>293</v>
      </c>
      <c r="E260" s="222">
        <f t="shared" si="2"/>
        <v>460208.5304</v>
      </c>
      <c r="F260" s="222">
        <f t="shared" si="3"/>
        <v>86088.7552</v>
      </c>
      <c r="G260" s="222">
        <f t="shared" si="4"/>
        <v>546297.2856</v>
      </c>
      <c r="H260" s="224">
        <f t="shared" si="7"/>
        <v>33634347.98</v>
      </c>
      <c r="I260" s="222">
        <f t="shared" si="5"/>
        <v>67</v>
      </c>
    </row>
    <row r="261" ht="12.0" customHeight="1">
      <c r="C261" s="222">
        <f t="shared" ref="C261:D261" si="257">C260+1</f>
        <v>253</v>
      </c>
      <c r="D261" s="231">
        <f t="shared" si="257"/>
        <v>294</v>
      </c>
      <c r="E261" s="222">
        <f t="shared" si="2"/>
        <v>461370.557</v>
      </c>
      <c r="F261" s="222">
        <f t="shared" si="3"/>
        <v>84926.72866</v>
      </c>
      <c r="G261" s="222">
        <f t="shared" si="4"/>
        <v>546297.2856</v>
      </c>
      <c r="H261" s="224">
        <f t="shared" si="7"/>
        <v>33172977.43</v>
      </c>
      <c r="I261" s="222">
        <f t="shared" si="5"/>
        <v>66</v>
      </c>
    </row>
    <row r="262" ht="12.0" customHeight="1">
      <c r="C262" s="222">
        <f t="shared" ref="C262:D262" si="258">C261+1</f>
        <v>254</v>
      </c>
      <c r="D262" s="231">
        <f t="shared" si="258"/>
        <v>295</v>
      </c>
      <c r="E262" s="222">
        <f t="shared" si="2"/>
        <v>462535.5176</v>
      </c>
      <c r="F262" s="222">
        <f t="shared" si="3"/>
        <v>83761.768</v>
      </c>
      <c r="G262" s="222">
        <f t="shared" si="4"/>
        <v>546297.2856</v>
      </c>
      <c r="H262" s="224">
        <f t="shared" si="7"/>
        <v>32710441.91</v>
      </c>
      <c r="I262" s="222">
        <f t="shared" si="5"/>
        <v>65</v>
      </c>
    </row>
    <row r="263" ht="12.0" customHeight="1">
      <c r="C263" s="222">
        <f t="shared" ref="C263:D263" si="259">C262+1</f>
        <v>255</v>
      </c>
      <c r="D263" s="231">
        <f t="shared" si="259"/>
        <v>296</v>
      </c>
      <c r="E263" s="222">
        <f t="shared" si="2"/>
        <v>463703.4198</v>
      </c>
      <c r="F263" s="222">
        <f t="shared" si="3"/>
        <v>82593.86582</v>
      </c>
      <c r="G263" s="222">
        <f t="shared" si="4"/>
        <v>546297.2856</v>
      </c>
      <c r="H263" s="224">
        <f t="shared" si="7"/>
        <v>32246738.49</v>
      </c>
      <c r="I263" s="222">
        <f t="shared" si="5"/>
        <v>64</v>
      </c>
    </row>
    <row r="264" ht="12.0" customHeight="1">
      <c r="C264" s="222">
        <f t="shared" ref="C264:D264" si="260">C263+1</f>
        <v>256</v>
      </c>
      <c r="D264" s="231">
        <f t="shared" si="260"/>
        <v>297</v>
      </c>
      <c r="E264" s="222">
        <f t="shared" si="2"/>
        <v>464874.2709</v>
      </c>
      <c r="F264" s="222">
        <f t="shared" si="3"/>
        <v>81423.01468</v>
      </c>
      <c r="G264" s="222">
        <f t="shared" si="4"/>
        <v>546297.2856</v>
      </c>
      <c r="H264" s="224">
        <f t="shared" si="7"/>
        <v>31781864.22</v>
      </c>
      <c r="I264" s="222">
        <f t="shared" si="5"/>
        <v>63</v>
      </c>
    </row>
    <row r="265" ht="12.0" customHeight="1">
      <c r="C265" s="222">
        <f t="shared" ref="C265:D265" si="261">C264+1</f>
        <v>257</v>
      </c>
      <c r="D265" s="231">
        <f t="shared" si="261"/>
        <v>298</v>
      </c>
      <c r="E265" s="222">
        <f t="shared" si="2"/>
        <v>466048.0785</v>
      </c>
      <c r="F265" s="222">
        <f t="shared" si="3"/>
        <v>80249.20715</v>
      </c>
      <c r="G265" s="222">
        <f t="shared" si="4"/>
        <v>546297.2856</v>
      </c>
      <c r="H265" s="224">
        <f t="shared" si="7"/>
        <v>31315816.14</v>
      </c>
      <c r="I265" s="222">
        <f t="shared" si="5"/>
        <v>62</v>
      </c>
    </row>
    <row r="266" ht="12.0" customHeight="1">
      <c r="C266" s="222">
        <f t="shared" ref="C266:D266" si="262">C265+1</f>
        <v>258</v>
      </c>
      <c r="D266" s="231">
        <f t="shared" si="262"/>
        <v>299</v>
      </c>
      <c r="E266" s="222">
        <f t="shared" si="2"/>
        <v>467224.8499</v>
      </c>
      <c r="F266" s="222">
        <f t="shared" si="3"/>
        <v>79072.43575</v>
      </c>
      <c r="G266" s="222">
        <f t="shared" si="4"/>
        <v>546297.2856</v>
      </c>
      <c r="H266" s="224">
        <f t="shared" si="7"/>
        <v>30848591.29</v>
      </c>
      <c r="I266" s="222">
        <f t="shared" si="5"/>
        <v>61</v>
      </c>
    </row>
    <row r="267" ht="12.0" customHeight="1">
      <c r="C267" s="222">
        <f t="shared" ref="C267:D267" si="263">C266+1</f>
        <v>259</v>
      </c>
      <c r="D267" s="231">
        <f t="shared" si="263"/>
        <v>300</v>
      </c>
      <c r="E267" s="222">
        <f t="shared" si="2"/>
        <v>468404.5926</v>
      </c>
      <c r="F267" s="222">
        <f t="shared" si="3"/>
        <v>77892.69301</v>
      </c>
      <c r="G267" s="222">
        <f t="shared" si="4"/>
        <v>546297.2856</v>
      </c>
      <c r="H267" s="224">
        <f t="shared" si="7"/>
        <v>30380186.7</v>
      </c>
      <c r="I267" s="222">
        <f t="shared" si="5"/>
        <v>60</v>
      </c>
    </row>
    <row r="268" ht="12.0" customHeight="1">
      <c r="C268" s="222">
        <f t="shared" ref="C268:D268" si="264">C267+1</f>
        <v>260</v>
      </c>
      <c r="D268" s="231">
        <f t="shared" si="264"/>
        <v>301</v>
      </c>
      <c r="E268" s="222">
        <f t="shared" si="2"/>
        <v>469587.3142</v>
      </c>
      <c r="F268" s="222">
        <f t="shared" si="3"/>
        <v>76709.97141</v>
      </c>
      <c r="G268" s="222">
        <f t="shared" si="4"/>
        <v>546297.2856</v>
      </c>
      <c r="H268" s="224">
        <f t="shared" si="7"/>
        <v>29910599.38</v>
      </c>
      <c r="I268" s="222">
        <f t="shared" si="5"/>
        <v>59</v>
      </c>
    </row>
    <row r="269" ht="12.0" customHeight="1">
      <c r="C269" s="222">
        <f t="shared" ref="C269:D269" si="265">C268+1</f>
        <v>261</v>
      </c>
      <c r="D269" s="231">
        <f t="shared" si="265"/>
        <v>302</v>
      </c>
      <c r="E269" s="222">
        <f t="shared" si="2"/>
        <v>470773.0222</v>
      </c>
      <c r="F269" s="222">
        <f t="shared" si="3"/>
        <v>75524.26344</v>
      </c>
      <c r="G269" s="222">
        <f t="shared" si="4"/>
        <v>546297.2856</v>
      </c>
      <c r="H269" s="224">
        <f t="shared" si="7"/>
        <v>29439826.36</v>
      </c>
      <c r="I269" s="222">
        <f t="shared" si="5"/>
        <v>58</v>
      </c>
    </row>
    <row r="270" ht="12.0" customHeight="1">
      <c r="C270" s="222">
        <f t="shared" ref="C270:D270" si="266">C269+1</f>
        <v>262</v>
      </c>
      <c r="D270" s="231">
        <f t="shared" si="266"/>
        <v>303</v>
      </c>
      <c r="E270" s="222">
        <f t="shared" si="2"/>
        <v>471961.7241</v>
      </c>
      <c r="F270" s="222">
        <f t="shared" si="3"/>
        <v>74335.56156</v>
      </c>
      <c r="G270" s="222">
        <f t="shared" si="4"/>
        <v>546297.2856</v>
      </c>
      <c r="H270" s="224">
        <f t="shared" si="7"/>
        <v>28967864.64</v>
      </c>
      <c r="I270" s="222">
        <f t="shared" si="5"/>
        <v>57</v>
      </c>
    </row>
    <row r="271" ht="12.0" customHeight="1">
      <c r="C271" s="222">
        <f t="shared" ref="C271:D271" si="267">C270+1</f>
        <v>263</v>
      </c>
      <c r="D271" s="231">
        <f t="shared" si="267"/>
        <v>304</v>
      </c>
      <c r="E271" s="222">
        <f t="shared" si="2"/>
        <v>473153.4274</v>
      </c>
      <c r="F271" s="222">
        <f t="shared" si="3"/>
        <v>73143.85821</v>
      </c>
      <c r="G271" s="222">
        <f t="shared" si="4"/>
        <v>546297.2856</v>
      </c>
      <c r="H271" s="224">
        <f t="shared" si="7"/>
        <v>28494711.21</v>
      </c>
      <c r="I271" s="222">
        <f t="shared" si="5"/>
        <v>56</v>
      </c>
    </row>
    <row r="272" ht="12.0" customHeight="1">
      <c r="C272" s="222">
        <f t="shared" ref="C272:D272" si="268">C271+1</f>
        <v>264</v>
      </c>
      <c r="D272" s="231">
        <f t="shared" si="268"/>
        <v>305</v>
      </c>
      <c r="E272" s="222">
        <f t="shared" si="2"/>
        <v>474348.1398</v>
      </c>
      <c r="F272" s="222">
        <f t="shared" si="3"/>
        <v>71949.1458</v>
      </c>
      <c r="G272" s="222">
        <f t="shared" si="4"/>
        <v>546297.2856</v>
      </c>
      <c r="H272" s="224">
        <f t="shared" si="7"/>
        <v>28020363.07</v>
      </c>
      <c r="I272" s="222">
        <f t="shared" si="5"/>
        <v>55</v>
      </c>
    </row>
    <row r="273" ht="12.0" customHeight="1">
      <c r="C273" s="222">
        <f t="shared" ref="C273:D273" si="269">C272+1</f>
        <v>265</v>
      </c>
      <c r="D273" s="231">
        <f t="shared" si="269"/>
        <v>306</v>
      </c>
      <c r="E273" s="222">
        <f t="shared" si="2"/>
        <v>475545.8689</v>
      </c>
      <c r="F273" s="222">
        <f t="shared" si="3"/>
        <v>70751.41675</v>
      </c>
      <c r="G273" s="222">
        <f t="shared" si="4"/>
        <v>546297.2856</v>
      </c>
      <c r="H273" s="224">
        <f t="shared" si="7"/>
        <v>27544817.2</v>
      </c>
      <c r="I273" s="222">
        <f t="shared" si="5"/>
        <v>54</v>
      </c>
    </row>
    <row r="274" ht="12.0" customHeight="1">
      <c r="C274" s="222">
        <f t="shared" ref="C274:D274" si="270">C273+1</f>
        <v>266</v>
      </c>
      <c r="D274" s="231">
        <f t="shared" si="270"/>
        <v>307</v>
      </c>
      <c r="E274" s="222">
        <f t="shared" si="2"/>
        <v>476746.6222</v>
      </c>
      <c r="F274" s="222">
        <f t="shared" si="3"/>
        <v>69550.66343</v>
      </c>
      <c r="G274" s="222">
        <f t="shared" si="4"/>
        <v>546297.2856</v>
      </c>
      <c r="H274" s="224">
        <f t="shared" si="7"/>
        <v>27068070.58</v>
      </c>
      <c r="I274" s="222">
        <f t="shared" si="5"/>
        <v>53</v>
      </c>
    </row>
    <row r="275" ht="12.0" customHeight="1">
      <c r="C275" s="222">
        <f t="shared" ref="C275:D275" si="271">C274+1</f>
        <v>267</v>
      </c>
      <c r="D275" s="231">
        <f t="shared" si="271"/>
        <v>308</v>
      </c>
      <c r="E275" s="222">
        <f t="shared" si="2"/>
        <v>477950.4074</v>
      </c>
      <c r="F275" s="222">
        <f t="shared" si="3"/>
        <v>68346.87821</v>
      </c>
      <c r="G275" s="222">
        <f t="shared" si="4"/>
        <v>546297.2856</v>
      </c>
      <c r="H275" s="224">
        <f t="shared" si="7"/>
        <v>26590120.17</v>
      </c>
      <c r="I275" s="222">
        <f t="shared" si="5"/>
        <v>52</v>
      </c>
    </row>
    <row r="276" ht="12.0" customHeight="1">
      <c r="C276" s="222">
        <f t="shared" ref="C276:D276" si="272">C275+1</f>
        <v>268</v>
      </c>
      <c r="D276" s="231">
        <f t="shared" si="272"/>
        <v>309</v>
      </c>
      <c r="E276" s="222">
        <f t="shared" si="2"/>
        <v>479157.2322</v>
      </c>
      <c r="F276" s="222">
        <f t="shared" si="3"/>
        <v>67140.05343</v>
      </c>
      <c r="G276" s="222">
        <f t="shared" si="4"/>
        <v>546297.2856</v>
      </c>
      <c r="H276" s="224">
        <f t="shared" si="7"/>
        <v>26110962.94</v>
      </c>
      <c r="I276" s="222">
        <f t="shared" si="5"/>
        <v>51</v>
      </c>
    </row>
    <row r="277" ht="12.0" customHeight="1">
      <c r="C277" s="222">
        <f t="shared" ref="C277:D277" si="273">C276+1</f>
        <v>269</v>
      </c>
      <c r="D277" s="231">
        <f t="shared" si="273"/>
        <v>310</v>
      </c>
      <c r="E277" s="222">
        <f t="shared" si="2"/>
        <v>480367.1042</v>
      </c>
      <c r="F277" s="222">
        <f t="shared" si="3"/>
        <v>65930.18142</v>
      </c>
      <c r="G277" s="222">
        <f t="shared" si="4"/>
        <v>546297.2856</v>
      </c>
      <c r="H277" s="224">
        <f t="shared" si="7"/>
        <v>25630595.83</v>
      </c>
      <c r="I277" s="222">
        <f t="shared" si="5"/>
        <v>50</v>
      </c>
    </row>
    <row r="278" ht="12.0" customHeight="1">
      <c r="C278" s="222">
        <f t="shared" ref="C278:D278" si="274">C277+1</f>
        <v>270</v>
      </c>
      <c r="D278" s="231">
        <f t="shared" si="274"/>
        <v>311</v>
      </c>
      <c r="E278" s="222">
        <f t="shared" si="2"/>
        <v>481580.0311</v>
      </c>
      <c r="F278" s="222">
        <f t="shared" si="3"/>
        <v>64717.25448</v>
      </c>
      <c r="G278" s="222">
        <f t="shared" si="4"/>
        <v>546297.2856</v>
      </c>
      <c r="H278" s="224">
        <f t="shared" si="7"/>
        <v>25149015.8</v>
      </c>
      <c r="I278" s="222">
        <f t="shared" si="5"/>
        <v>49</v>
      </c>
    </row>
    <row r="279" ht="12.0" customHeight="1">
      <c r="C279" s="222">
        <f t="shared" ref="C279:D279" si="275">C278+1</f>
        <v>271</v>
      </c>
      <c r="D279" s="231">
        <f t="shared" si="275"/>
        <v>312</v>
      </c>
      <c r="E279" s="222">
        <f t="shared" si="2"/>
        <v>482796.0207</v>
      </c>
      <c r="F279" s="222">
        <f t="shared" si="3"/>
        <v>63501.2649</v>
      </c>
      <c r="G279" s="222">
        <f t="shared" si="4"/>
        <v>546297.2856</v>
      </c>
      <c r="H279" s="224">
        <f t="shared" si="7"/>
        <v>24666219.78</v>
      </c>
      <c r="I279" s="222">
        <f t="shared" si="5"/>
        <v>48</v>
      </c>
    </row>
    <row r="280" ht="12.0" customHeight="1">
      <c r="C280" s="222">
        <f t="shared" ref="C280:D280" si="276">C279+1</f>
        <v>272</v>
      </c>
      <c r="D280" s="231">
        <f t="shared" si="276"/>
        <v>313</v>
      </c>
      <c r="E280" s="222">
        <f t="shared" si="2"/>
        <v>484015.0807</v>
      </c>
      <c r="F280" s="222">
        <f t="shared" si="3"/>
        <v>62282.20495</v>
      </c>
      <c r="G280" s="222">
        <f t="shared" si="4"/>
        <v>546297.2856</v>
      </c>
      <c r="H280" s="224">
        <f t="shared" si="7"/>
        <v>24182204.7</v>
      </c>
      <c r="I280" s="222">
        <f t="shared" si="5"/>
        <v>47</v>
      </c>
    </row>
    <row r="281" ht="12.0" customHeight="1">
      <c r="C281" s="222">
        <f t="shared" ref="C281:D281" si="277">C280+1</f>
        <v>273</v>
      </c>
      <c r="D281" s="231">
        <f t="shared" si="277"/>
        <v>314</v>
      </c>
      <c r="E281" s="222">
        <f t="shared" si="2"/>
        <v>485237.2187</v>
      </c>
      <c r="F281" s="222">
        <f t="shared" si="3"/>
        <v>61060.06687</v>
      </c>
      <c r="G281" s="222">
        <f t="shared" si="4"/>
        <v>546297.2856</v>
      </c>
      <c r="H281" s="224">
        <f t="shared" si="7"/>
        <v>23696967.48</v>
      </c>
      <c r="I281" s="222">
        <f t="shared" si="5"/>
        <v>46</v>
      </c>
    </row>
    <row r="282" ht="12.0" customHeight="1">
      <c r="C282" s="222">
        <f t="shared" ref="C282:D282" si="278">C281+1</f>
        <v>274</v>
      </c>
      <c r="D282" s="231">
        <f t="shared" si="278"/>
        <v>315</v>
      </c>
      <c r="E282" s="222">
        <f t="shared" si="2"/>
        <v>486462.4427</v>
      </c>
      <c r="F282" s="222">
        <f t="shared" si="3"/>
        <v>59834.84289</v>
      </c>
      <c r="G282" s="222">
        <f t="shared" si="4"/>
        <v>546297.2856</v>
      </c>
      <c r="H282" s="224">
        <f t="shared" si="7"/>
        <v>23210505.04</v>
      </c>
      <c r="I282" s="222">
        <f t="shared" si="5"/>
        <v>45</v>
      </c>
    </row>
    <row r="283" ht="12.0" customHeight="1">
      <c r="C283" s="222">
        <f t="shared" ref="C283:D283" si="279">C282+1</f>
        <v>275</v>
      </c>
      <c r="D283" s="231">
        <f t="shared" si="279"/>
        <v>316</v>
      </c>
      <c r="E283" s="222">
        <f t="shared" si="2"/>
        <v>487690.7604</v>
      </c>
      <c r="F283" s="222">
        <f t="shared" si="3"/>
        <v>58606.52523</v>
      </c>
      <c r="G283" s="222">
        <f t="shared" si="4"/>
        <v>546297.2856</v>
      </c>
      <c r="H283" s="224">
        <f t="shared" si="7"/>
        <v>22722814.28</v>
      </c>
      <c r="I283" s="222">
        <f t="shared" si="5"/>
        <v>44</v>
      </c>
    </row>
    <row r="284" ht="12.0" customHeight="1">
      <c r="C284" s="222">
        <f t="shared" ref="C284:D284" si="280">C283+1</f>
        <v>276</v>
      </c>
      <c r="D284" s="231">
        <f t="shared" si="280"/>
        <v>317</v>
      </c>
      <c r="E284" s="222">
        <f t="shared" si="2"/>
        <v>488922.1796</v>
      </c>
      <c r="F284" s="222">
        <f t="shared" si="3"/>
        <v>57375.10606</v>
      </c>
      <c r="G284" s="222">
        <f t="shared" si="4"/>
        <v>546297.2856</v>
      </c>
      <c r="H284" s="224">
        <f t="shared" si="7"/>
        <v>22233892.1</v>
      </c>
      <c r="I284" s="222">
        <f t="shared" si="5"/>
        <v>43</v>
      </c>
    </row>
    <row r="285" ht="12.0" customHeight="1">
      <c r="C285" s="222">
        <f t="shared" ref="C285:D285" si="281">C284+1</f>
        <v>277</v>
      </c>
      <c r="D285" s="231">
        <f t="shared" si="281"/>
        <v>318</v>
      </c>
      <c r="E285" s="222">
        <f t="shared" si="2"/>
        <v>490156.7081</v>
      </c>
      <c r="F285" s="222">
        <f t="shared" si="3"/>
        <v>56140.57755</v>
      </c>
      <c r="G285" s="222">
        <f t="shared" si="4"/>
        <v>546297.2856</v>
      </c>
      <c r="H285" s="224">
        <f t="shared" si="7"/>
        <v>21743735.39</v>
      </c>
      <c r="I285" s="222">
        <f t="shared" si="5"/>
        <v>42</v>
      </c>
    </row>
    <row r="286" ht="12.0" customHeight="1">
      <c r="C286" s="222">
        <f t="shared" ref="C286:D286" si="282">C285+1</f>
        <v>278</v>
      </c>
      <c r="D286" s="231">
        <f t="shared" si="282"/>
        <v>319</v>
      </c>
      <c r="E286" s="222">
        <f t="shared" si="2"/>
        <v>491394.3538</v>
      </c>
      <c r="F286" s="222">
        <f t="shared" si="3"/>
        <v>54902.93187</v>
      </c>
      <c r="G286" s="222">
        <f t="shared" si="4"/>
        <v>546297.2856</v>
      </c>
      <c r="H286" s="224">
        <f t="shared" si="7"/>
        <v>21252341.04</v>
      </c>
      <c r="I286" s="222">
        <f t="shared" si="5"/>
        <v>41</v>
      </c>
    </row>
    <row r="287" ht="12.0" customHeight="1">
      <c r="C287" s="222">
        <f t="shared" ref="C287:D287" si="283">C286+1</f>
        <v>279</v>
      </c>
      <c r="D287" s="231">
        <f t="shared" si="283"/>
        <v>320</v>
      </c>
      <c r="E287" s="222">
        <f t="shared" si="2"/>
        <v>492635.1245</v>
      </c>
      <c r="F287" s="222">
        <f t="shared" si="3"/>
        <v>53662.16112</v>
      </c>
      <c r="G287" s="222">
        <f t="shared" si="4"/>
        <v>546297.2856</v>
      </c>
      <c r="H287" s="224">
        <f t="shared" si="7"/>
        <v>20759705.91</v>
      </c>
      <c r="I287" s="222">
        <f t="shared" si="5"/>
        <v>40</v>
      </c>
    </row>
    <row r="288" ht="12.0" customHeight="1">
      <c r="C288" s="222">
        <f t="shared" ref="C288:D288" si="284">C287+1</f>
        <v>280</v>
      </c>
      <c r="D288" s="231">
        <f t="shared" si="284"/>
        <v>321</v>
      </c>
      <c r="E288" s="222">
        <f t="shared" si="2"/>
        <v>493879.0282</v>
      </c>
      <c r="F288" s="222">
        <f t="shared" si="3"/>
        <v>52418.25743</v>
      </c>
      <c r="G288" s="222">
        <f t="shared" si="4"/>
        <v>546297.2856</v>
      </c>
      <c r="H288" s="224">
        <f t="shared" si="7"/>
        <v>20265826.89</v>
      </c>
      <c r="I288" s="222">
        <f t="shared" si="5"/>
        <v>39</v>
      </c>
    </row>
    <row r="289" ht="12.0" customHeight="1">
      <c r="C289" s="222">
        <f t="shared" ref="C289:D289" si="285">C288+1</f>
        <v>281</v>
      </c>
      <c r="D289" s="231">
        <f t="shared" si="285"/>
        <v>322</v>
      </c>
      <c r="E289" s="222">
        <f t="shared" si="2"/>
        <v>495126.0727</v>
      </c>
      <c r="F289" s="222">
        <f t="shared" si="3"/>
        <v>51171.21289</v>
      </c>
      <c r="G289" s="222">
        <f t="shared" si="4"/>
        <v>546297.2856</v>
      </c>
      <c r="H289" s="224">
        <f t="shared" si="7"/>
        <v>19770700.81</v>
      </c>
      <c r="I289" s="222">
        <f t="shared" si="5"/>
        <v>38</v>
      </c>
    </row>
    <row r="290" ht="12.0" customHeight="1">
      <c r="C290" s="222">
        <f t="shared" ref="C290:D290" si="286">C289+1</f>
        <v>282</v>
      </c>
      <c r="D290" s="231">
        <f t="shared" si="286"/>
        <v>323</v>
      </c>
      <c r="E290" s="222">
        <f t="shared" si="2"/>
        <v>496376.2661</v>
      </c>
      <c r="F290" s="222">
        <f t="shared" si="3"/>
        <v>49921.01955</v>
      </c>
      <c r="G290" s="222">
        <f t="shared" si="4"/>
        <v>546297.2856</v>
      </c>
      <c r="H290" s="224">
        <f t="shared" si="7"/>
        <v>19274324.55</v>
      </c>
      <c r="I290" s="222">
        <f t="shared" si="5"/>
        <v>37</v>
      </c>
    </row>
    <row r="291" ht="12.0" customHeight="1">
      <c r="C291" s="222">
        <f t="shared" ref="C291:D291" si="287">C290+1</f>
        <v>283</v>
      </c>
      <c r="D291" s="231">
        <f t="shared" si="287"/>
        <v>324</v>
      </c>
      <c r="E291" s="222">
        <f t="shared" si="2"/>
        <v>497629.6161</v>
      </c>
      <c r="F291" s="222">
        <f t="shared" si="3"/>
        <v>48667.66948</v>
      </c>
      <c r="G291" s="222">
        <f t="shared" si="4"/>
        <v>546297.2856</v>
      </c>
      <c r="H291" s="224">
        <f t="shared" si="7"/>
        <v>18776694.93</v>
      </c>
      <c r="I291" s="222">
        <f t="shared" si="5"/>
        <v>36</v>
      </c>
    </row>
    <row r="292" ht="12.0" customHeight="1">
      <c r="C292" s="222">
        <f t="shared" ref="C292:D292" si="288">C291+1</f>
        <v>284</v>
      </c>
      <c r="D292" s="231">
        <f t="shared" si="288"/>
        <v>325</v>
      </c>
      <c r="E292" s="222">
        <f t="shared" si="2"/>
        <v>498886.1309</v>
      </c>
      <c r="F292" s="222">
        <f t="shared" si="3"/>
        <v>47411.1547</v>
      </c>
      <c r="G292" s="222">
        <f t="shared" si="4"/>
        <v>546297.2856</v>
      </c>
      <c r="H292" s="224">
        <f t="shared" si="7"/>
        <v>18277808.8</v>
      </c>
      <c r="I292" s="222">
        <f t="shared" si="5"/>
        <v>35</v>
      </c>
    </row>
    <row r="293" ht="12.0" customHeight="1">
      <c r="C293" s="222">
        <f t="shared" ref="C293:D293" si="289">C292+1</f>
        <v>285</v>
      </c>
      <c r="D293" s="231">
        <f t="shared" si="289"/>
        <v>326</v>
      </c>
      <c r="E293" s="222">
        <f t="shared" si="2"/>
        <v>500145.8184</v>
      </c>
      <c r="F293" s="222">
        <f t="shared" si="3"/>
        <v>46151.46722</v>
      </c>
      <c r="G293" s="222">
        <f t="shared" si="4"/>
        <v>546297.2856</v>
      </c>
      <c r="H293" s="224">
        <f t="shared" si="7"/>
        <v>17777662.98</v>
      </c>
      <c r="I293" s="222">
        <f t="shared" si="5"/>
        <v>34</v>
      </c>
    </row>
    <row r="294" ht="12.0" customHeight="1">
      <c r="C294" s="222">
        <f t="shared" ref="C294:D294" si="290">C293+1</f>
        <v>286</v>
      </c>
      <c r="D294" s="231">
        <f t="shared" si="290"/>
        <v>327</v>
      </c>
      <c r="E294" s="222">
        <f t="shared" si="2"/>
        <v>501408.6866</v>
      </c>
      <c r="F294" s="222">
        <f t="shared" si="3"/>
        <v>44888.59903</v>
      </c>
      <c r="G294" s="222">
        <f t="shared" si="4"/>
        <v>546297.2856</v>
      </c>
      <c r="H294" s="224">
        <f t="shared" si="7"/>
        <v>17276254.3</v>
      </c>
      <c r="I294" s="222">
        <f t="shared" si="5"/>
        <v>33</v>
      </c>
    </row>
    <row r="295" ht="12.0" customHeight="1">
      <c r="C295" s="222">
        <f t="shared" ref="C295:D295" si="291">C294+1</f>
        <v>287</v>
      </c>
      <c r="D295" s="231">
        <f t="shared" si="291"/>
        <v>328</v>
      </c>
      <c r="E295" s="222">
        <f t="shared" si="2"/>
        <v>502674.7435</v>
      </c>
      <c r="F295" s="222">
        <f t="shared" si="3"/>
        <v>43622.54209</v>
      </c>
      <c r="G295" s="222">
        <f t="shared" si="4"/>
        <v>546297.2856</v>
      </c>
      <c r="H295" s="224">
        <f t="shared" si="7"/>
        <v>16773579.55</v>
      </c>
      <c r="I295" s="222">
        <f t="shared" si="5"/>
        <v>32</v>
      </c>
    </row>
    <row r="296" ht="12.0" customHeight="1">
      <c r="C296" s="222">
        <f t="shared" ref="C296:D296" si="292">C295+1</f>
        <v>288</v>
      </c>
      <c r="D296" s="231">
        <f t="shared" si="292"/>
        <v>329</v>
      </c>
      <c r="E296" s="222">
        <f t="shared" si="2"/>
        <v>503943.9973</v>
      </c>
      <c r="F296" s="222">
        <f t="shared" si="3"/>
        <v>42353.28837</v>
      </c>
      <c r="G296" s="222">
        <f t="shared" si="4"/>
        <v>546297.2856</v>
      </c>
      <c r="H296" s="224">
        <f t="shared" si="7"/>
        <v>16269635.55</v>
      </c>
      <c r="I296" s="222">
        <f t="shared" si="5"/>
        <v>31</v>
      </c>
    </row>
    <row r="297" ht="12.0" customHeight="1">
      <c r="C297" s="222">
        <f t="shared" ref="C297:D297" si="293">C296+1</f>
        <v>289</v>
      </c>
      <c r="D297" s="231">
        <f t="shared" si="293"/>
        <v>330</v>
      </c>
      <c r="E297" s="222">
        <f t="shared" si="2"/>
        <v>505216.4558</v>
      </c>
      <c r="F297" s="222">
        <f t="shared" si="3"/>
        <v>41080.82977</v>
      </c>
      <c r="G297" s="222">
        <f t="shared" si="4"/>
        <v>546297.2856</v>
      </c>
      <c r="H297" s="224">
        <f t="shared" si="7"/>
        <v>15764419.1</v>
      </c>
      <c r="I297" s="222">
        <f t="shared" si="5"/>
        <v>30</v>
      </c>
    </row>
    <row r="298" ht="12.0" customHeight="1">
      <c r="C298" s="222">
        <f t="shared" ref="C298:D298" si="294">C297+1</f>
        <v>290</v>
      </c>
      <c r="D298" s="231">
        <f t="shared" si="294"/>
        <v>331</v>
      </c>
      <c r="E298" s="222">
        <f t="shared" si="2"/>
        <v>506492.1274</v>
      </c>
      <c r="F298" s="222">
        <f t="shared" si="3"/>
        <v>39805.15822</v>
      </c>
      <c r="G298" s="222">
        <f t="shared" si="4"/>
        <v>546297.2856</v>
      </c>
      <c r="H298" s="224">
        <f t="shared" si="7"/>
        <v>15257926.97</v>
      </c>
      <c r="I298" s="222">
        <f t="shared" si="5"/>
        <v>29</v>
      </c>
    </row>
    <row r="299" ht="12.0" customHeight="1">
      <c r="C299" s="222">
        <f t="shared" ref="C299:D299" si="295">C298+1</f>
        <v>291</v>
      </c>
      <c r="D299" s="231">
        <f t="shared" si="295"/>
        <v>332</v>
      </c>
      <c r="E299" s="222">
        <f t="shared" si="2"/>
        <v>507771.02</v>
      </c>
      <c r="F299" s="222">
        <f t="shared" si="3"/>
        <v>38526.2656</v>
      </c>
      <c r="G299" s="222">
        <f t="shared" si="4"/>
        <v>546297.2856</v>
      </c>
      <c r="H299" s="224">
        <f t="shared" si="7"/>
        <v>14750155.95</v>
      </c>
      <c r="I299" s="222">
        <f t="shared" si="5"/>
        <v>28</v>
      </c>
    </row>
    <row r="300" ht="12.0" customHeight="1">
      <c r="C300" s="222">
        <f t="shared" ref="C300:D300" si="296">C299+1</f>
        <v>292</v>
      </c>
      <c r="D300" s="231">
        <f t="shared" si="296"/>
        <v>333</v>
      </c>
      <c r="E300" s="222">
        <f t="shared" si="2"/>
        <v>509053.1418</v>
      </c>
      <c r="F300" s="222">
        <f t="shared" si="3"/>
        <v>37244.14378</v>
      </c>
      <c r="G300" s="222">
        <f t="shared" si="4"/>
        <v>546297.2856</v>
      </c>
      <c r="H300" s="224">
        <f t="shared" si="7"/>
        <v>14241102.81</v>
      </c>
      <c r="I300" s="222">
        <f t="shared" si="5"/>
        <v>27</v>
      </c>
    </row>
    <row r="301" ht="12.0" customHeight="1">
      <c r="C301" s="222">
        <f t="shared" ref="C301:D301" si="297">C300+1</f>
        <v>293</v>
      </c>
      <c r="D301" s="231">
        <f t="shared" si="297"/>
        <v>334</v>
      </c>
      <c r="E301" s="222">
        <f t="shared" si="2"/>
        <v>510338.501</v>
      </c>
      <c r="F301" s="222">
        <f t="shared" si="3"/>
        <v>35958.78459</v>
      </c>
      <c r="G301" s="222">
        <f t="shared" si="4"/>
        <v>546297.2856</v>
      </c>
      <c r="H301" s="224">
        <f t="shared" si="7"/>
        <v>13730764.31</v>
      </c>
      <c r="I301" s="222">
        <f t="shared" si="5"/>
        <v>26</v>
      </c>
    </row>
    <row r="302" ht="12.0" customHeight="1">
      <c r="C302" s="222">
        <f t="shared" ref="C302:D302" si="298">C301+1</f>
        <v>294</v>
      </c>
      <c r="D302" s="231">
        <f t="shared" si="298"/>
        <v>335</v>
      </c>
      <c r="E302" s="222">
        <f t="shared" si="2"/>
        <v>511627.1057</v>
      </c>
      <c r="F302" s="222">
        <f t="shared" si="3"/>
        <v>34670.17988</v>
      </c>
      <c r="G302" s="222">
        <f t="shared" si="4"/>
        <v>546297.2856</v>
      </c>
      <c r="H302" s="224">
        <f t="shared" si="7"/>
        <v>13219137.2</v>
      </c>
      <c r="I302" s="222">
        <f t="shared" si="5"/>
        <v>25</v>
      </c>
    </row>
    <row r="303" ht="12.0" customHeight="1">
      <c r="C303" s="222">
        <f t="shared" ref="C303:D303" si="299">C302+1</f>
        <v>295</v>
      </c>
      <c r="D303" s="231">
        <f t="shared" si="299"/>
        <v>336</v>
      </c>
      <c r="E303" s="222">
        <f t="shared" si="2"/>
        <v>512918.9642</v>
      </c>
      <c r="F303" s="222">
        <f t="shared" si="3"/>
        <v>33378.32144</v>
      </c>
      <c r="G303" s="222">
        <f t="shared" si="4"/>
        <v>546297.2856</v>
      </c>
      <c r="H303" s="224">
        <f t="shared" si="7"/>
        <v>12706218.24</v>
      </c>
      <c r="I303" s="222">
        <f t="shared" si="5"/>
        <v>24</v>
      </c>
    </row>
    <row r="304" ht="12.0" customHeight="1">
      <c r="C304" s="222">
        <f t="shared" ref="C304:D304" si="300">C303+1</f>
        <v>296</v>
      </c>
      <c r="D304" s="231">
        <f t="shared" si="300"/>
        <v>337</v>
      </c>
      <c r="E304" s="222">
        <f t="shared" si="2"/>
        <v>514214.0846</v>
      </c>
      <c r="F304" s="222">
        <f t="shared" si="3"/>
        <v>32083.20105</v>
      </c>
      <c r="G304" s="222">
        <f t="shared" si="4"/>
        <v>546297.2856</v>
      </c>
      <c r="H304" s="224">
        <f t="shared" si="7"/>
        <v>12192004.15</v>
      </c>
      <c r="I304" s="222">
        <f t="shared" si="5"/>
        <v>23</v>
      </c>
    </row>
    <row r="305" ht="12.0" customHeight="1">
      <c r="C305" s="222">
        <f t="shared" ref="C305:D305" si="301">C304+1</f>
        <v>297</v>
      </c>
      <c r="D305" s="231">
        <f t="shared" si="301"/>
        <v>338</v>
      </c>
      <c r="E305" s="222">
        <f t="shared" si="2"/>
        <v>515512.4751</v>
      </c>
      <c r="F305" s="222">
        <f t="shared" si="3"/>
        <v>30784.81049</v>
      </c>
      <c r="G305" s="222">
        <f t="shared" si="4"/>
        <v>546297.2856</v>
      </c>
      <c r="H305" s="224">
        <f t="shared" si="7"/>
        <v>11676491.68</v>
      </c>
      <c r="I305" s="222">
        <f t="shared" si="5"/>
        <v>22</v>
      </c>
    </row>
    <row r="306" ht="12.0" customHeight="1">
      <c r="C306" s="222">
        <f t="shared" ref="C306:D306" si="302">C305+1</f>
        <v>298</v>
      </c>
      <c r="D306" s="231">
        <f t="shared" si="302"/>
        <v>339</v>
      </c>
      <c r="E306" s="222">
        <f t="shared" si="2"/>
        <v>516814.1441</v>
      </c>
      <c r="F306" s="222">
        <f t="shared" si="3"/>
        <v>29483.14149</v>
      </c>
      <c r="G306" s="222">
        <f t="shared" si="4"/>
        <v>546297.2856</v>
      </c>
      <c r="H306" s="224">
        <f t="shared" si="7"/>
        <v>11159677.53</v>
      </c>
      <c r="I306" s="222">
        <f t="shared" si="5"/>
        <v>21</v>
      </c>
    </row>
    <row r="307" ht="12.0" customHeight="1">
      <c r="C307" s="222">
        <f t="shared" ref="C307:D307" si="303">C306+1</f>
        <v>299</v>
      </c>
      <c r="D307" s="231">
        <f t="shared" si="303"/>
        <v>340</v>
      </c>
      <c r="E307" s="222">
        <f t="shared" si="2"/>
        <v>518119.0998</v>
      </c>
      <c r="F307" s="222">
        <f t="shared" si="3"/>
        <v>28178.18577</v>
      </c>
      <c r="G307" s="222">
        <f t="shared" si="4"/>
        <v>546297.2856</v>
      </c>
      <c r="H307" s="224">
        <f t="shared" si="7"/>
        <v>10641558.43</v>
      </c>
      <c r="I307" s="222">
        <f t="shared" si="5"/>
        <v>20</v>
      </c>
    </row>
    <row r="308" ht="12.0" customHeight="1">
      <c r="C308" s="222">
        <f t="shared" ref="C308:D308" si="304">C307+1</f>
        <v>300</v>
      </c>
      <c r="D308" s="231">
        <f t="shared" si="304"/>
        <v>341</v>
      </c>
      <c r="E308" s="222">
        <f t="shared" si="2"/>
        <v>519427.3506</v>
      </c>
      <c r="F308" s="222">
        <f t="shared" si="3"/>
        <v>26869.93505</v>
      </c>
      <c r="G308" s="222">
        <f t="shared" si="4"/>
        <v>546297.2856</v>
      </c>
      <c r="H308" s="224">
        <f t="shared" si="7"/>
        <v>10122131.08</v>
      </c>
      <c r="I308" s="222">
        <f t="shared" si="5"/>
        <v>19</v>
      </c>
    </row>
    <row r="309" ht="12.0" customHeight="1">
      <c r="C309" s="222">
        <f t="shared" ref="C309:D309" si="305">C308+1</f>
        <v>301</v>
      </c>
      <c r="D309" s="231">
        <f t="shared" si="305"/>
        <v>342</v>
      </c>
      <c r="E309" s="222">
        <f t="shared" si="2"/>
        <v>520738.9046</v>
      </c>
      <c r="F309" s="222">
        <f t="shared" si="3"/>
        <v>25558.38099</v>
      </c>
      <c r="G309" s="222">
        <f t="shared" si="4"/>
        <v>546297.2856</v>
      </c>
      <c r="H309" s="224">
        <f t="shared" si="7"/>
        <v>9601392.179</v>
      </c>
      <c r="I309" s="222">
        <f t="shared" si="5"/>
        <v>18</v>
      </c>
    </row>
    <row r="310" ht="12.0" customHeight="1">
      <c r="C310" s="222">
        <f t="shared" ref="C310:D310" si="306">C309+1</f>
        <v>302</v>
      </c>
      <c r="D310" s="231">
        <f t="shared" si="306"/>
        <v>343</v>
      </c>
      <c r="E310" s="222">
        <f t="shared" si="2"/>
        <v>522053.7704</v>
      </c>
      <c r="F310" s="222">
        <f t="shared" si="3"/>
        <v>24243.51525</v>
      </c>
      <c r="G310" s="222">
        <f t="shared" si="4"/>
        <v>546297.2856</v>
      </c>
      <c r="H310" s="224">
        <f t="shared" si="7"/>
        <v>9079338.409</v>
      </c>
      <c r="I310" s="222">
        <f t="shared" si="5"/>
        <v>17</v>
      </c>
    </row>
    <row r="311" ht="12.0" customHeight="1">
      <c r="C311" s="222">
        <f t="shared" ref="C311:D311" si="307">C310+1</f>
        <v>303</v>
      </c>
      <c r="D311" s="231">
        <f t="shared" si="307"/>
        <v>344</v>
      </c>
      <c r="E311" s="222">
        <f t="shared" si="2"/>
        <v>523371.9561</v>
      </c>
      <c r="F311" s="222">
        <f t="shared" si="3"/>
        <v>22925.32948</v>
      </c>
      <c r="G311" s="222">
        <f t="shared" si="4"/>
        <v>546297.2856</v>
      </c>
      <c r="H311" s="224">
        <f t="shared" si="7"/>
        <v>8555966.453</v>
      </c>
      <c r="I311" s="222">
        <f t="shared" si="5"/>
        <v>16</v>
      </c>
    </row>
    <row r="312" ht="12.0" customHeight="1">
      <c r="C312" s="222">
        <f t="shared" ref="C312:D312" si="308">C311+1</f>
        <v>304</v>
      </c>
      <c r="D312" s="231">
        <f t="shared" si="308"/>
        <v>345</v>
      </c>
      <c r="E312" s="222">
        <f t="shared" si="2"/>
        <v>524693.4703</v>
      </c>
      <c r="F312" s="222">
        <f t="shared" si="3"/>
        <v>21603.81529</v>
      </c>
      <c r="G312" s="222">
        <f t="shared" si="4"/>
        <v>546297.2856</v>
      </c>
      <c r="H312" s="224">
        <f t="shared" si="7"/>
        <v>8031272.982</v>
      </c>
      <c r="I312" s="222">
        <f t="shared" si="5"/>
        <v>15</v>
      </c>
    </row>
    <row r="313" ht="12.0" customHeight="1">
      <c r="C313" s="222">
        <f t="shared" ref="C313:D313" si="309">C312+1</f>
        <v>305</v>
      </c>
      <c r="D313" s="231">
        <f t="shared" si="309"/>
        <v>346</v>
      </c>
      <c r="E313" s="222">
        <f t="shared" si="2"/>
        <v>526018.3213</v>
      </c>
      <c r="F313" s="222">
        <f t="shared" si="3"/>
        <v>20278.96428</v>
      </c>
      <c r="G313" s="222">
        <f t="shared" si="4"/>
        <v>546297.2856</v>
      </c>
      <c r="H313" s="224">
        <f t="shared" si="7"/>
        <v>7505254.661</v>
      </c>
      <c r="I313" s="222">
        <f t="shared" si="5"/>
        <v>14</v>
      </c>
    </row>
    <row r="314" ht="12.0" customHeight="1">
      <c r="C314" s="222">
        <f t="shared" ref="C314:D314" si="310">C313+1</f>
        <v>306</v>
      </c>
      <c r="D314" s="231">
        <f t="shared" si="310"/>
        <v>347</v>
      </c>
      <c r="E314" s="222">
        <f t="shared" si="2"/>
        <v>527346.5176</v>
      </c>
      <c r="F314" s="222">
        <f t="shared" si="3"/>
        <v>18950.76802</v>
      </c>
      <c r="G314" s="222">
        <f t="shared" si="4"/>
        <v>546297.2856</v>
      </c>
      <c r="H314" s="224">
        <f t="shared" si="7"/>
        <v>6977908.144</v>
      </c>
      <c r="I314" s="222">
        <f t="shared" si="5"/>
        <v>13</v>
      </c>
    </row>
    <row r="315" ht="12.0" customHeight="1">
      <c r="C315" s="222">
        <f t="shared" ref="C315:D315" si="311">C314+1</f>
        <v>307</v>
      </c>
      <c r="D315" s="231">
        <f t="shared" si="311"/>
        <v>348</v>
      </c>
      <c r="E315" s="222">
        <f t="shared" si="2"/>
        <v>528678.0676</v>
      </c>
      <c r="F315" s="222">
        <f t="shared" si="3"/>
        <v>17619.21806</v>
      </c>
      <c r="G315" s="222">
        <f t="shared" si="4"/>
        <v>546297.2856</v>
      </c>
      <c r="H315" s="224">
        <f t="shared" si="7"/>
        <v>6449230.076</v>
      </c>
      <c r="I315" s="222">
        <f t="shared" si="5"/>
        <v>12</v>
      </c>
    </row>
    <row r="316" ht="12.0" customHeight="1">
      <c r="C316" s="222">
        <f t="shared" ref="C316:D316" si="312">C315+1</f>
        <v>308</v>
      </c>
      <c r="D316" s="231">
        <f t="shared" si="312"/>
        <v>349</v>
      </c>
      <c r="E316" s="222">
        <f t="shared" si="2"/>
        <v>530012.9797</v>
      </c>
      <c r="F316" s="222">
        <f t="shared" si="3"/>
        <v>16284.30594</v>
      </c>
      <c r="G316" s="222">
        <f t="shared" si="4"/>
        <v>546297.2856</v>
      </c>
      <c r="H316" s="224">
        <f t="shared" si="7"/>
        <v>5919217.096</v>
      </c>
      <c r="I316" s="222">
        <f t="shared" si="5"/>
        <v>11</v>
      </c>
    </row>
    <row r="317" ht="12.0" customHeight="1">
      <c r="C317" s="222">
        <f t="shared" ref="C317:D317" si="313">C316+1</f>
        <v>309</v>
      </c>
      <c r="D317" s="231">
        <f t="shared" si="313"/>
        <v>350</v>
      </c>
      <c r="E317" s="222">
        <f t="shared" si="2"/>
        <v>531351.2625</v>
      </c>
      <c r="F317" s="222">
        <f t="shared" si="3"/>
        <v>14946.02317</v>
      </c>
      <c r="G317" s="222">
        <f t="shared" si="4"/>
        <v>546297.2856</v>
      </c>
      <c r="H317" s="224">
        <f t="shared" si="7"/>
        <v>5387865.834</v>
      </c>
      <c r="I317" s="222">
        <f t="shared" si="5"/>
        <v>10</v>
      </c>
    </row>
    <row r="318" ht="12.0" customHeight="1">
      <c r="C318" s="222">
        <f t="shared" ref="C318:D318" si="314">C317+1</f>
        <v>310</v>
      </c>
      <c r="D318" s="231">
        <f t="shared" si="314"/>
        <v>351</v>
      </c>
      <c r="E318" s="222">
        <f t="shared" si="2"/>
        <v>532692.9244</v>
      </c>
      <c r="F318" s="222">
        <f t="shared" si="3"/>
        <v>13604.36123</v>
      </c>
      <c r="G318" s="222">
        <f t="shared" si="4"/>
        <v>546297.2856</v>
      </c>
      <c r="H318" s="224">
        <f t="shared" si="7"/>
        <v>4855172.909</v>
      </c>
      <c r="I318" s="222">
        <f t="shared" si="5"/>
        <v>9</v>
      </c>
    </row>
    <row r="319" ht="12.0" customHeight="1">
      <c r="C319" s="222">
        <f t="shared" ref="C319:D319" si="315">C318+1</f>
        <v>311</v>
      </c>
      <c r="D319" s="231">
        <f t="shared" si="315"/>
        <v>352</v>
      </c>
      <c r="E319" s="222">
        <f t="shared" si="2"/>
        <v>534037.974</v>
      </c>
      <c r="F319" s="222">
        <f t="shared" si="3"/>
        <v>12259.3116</v>
      </c>
      <c r="G319" s="222">
        <f t="shared" si="4"/>
        <v>546297.2856</v>
      </c>
      <c r="H319" s="224">
        <f t="shared" si="7"/>
        <v>4321134.935</v>
      </c>
      <c r="I319" s="222">
        <f t="shared" si="5"/>
        <v>8</v>
      </c>
    </row>
    <row r="320" ht="12.0" customHeight="1">
      <c r="C320" s="222">
        <f t="shared" ref="C320:D320" si="316">C319+1</f>
        <v>312</v>
      </c>
      <c r="D320" s="231">
        <f t="shared" si="316"/>
        <v>353</v>
      </c>
      <c r="E320" s="222">
        <f t="shared" si="2"/>
        <v>535386.4199</v>
      </c>
      <c r="F320" s="222">
        <f t="shared" si="3"/>
        <v>10910.86571</v>
      </c>
      <c r="G320" s="222">
        <f t="shared" si="4"/>
        <v>546297.2856</v>
      </c>
      <c r="H320" s="224">
        <f t="shared" si="7"/>
        <v>3785748.515</v>
      </c>
      <c r="I320" s="222">
        <f t="shared" si="5"/>
        <v>7</v>
      </c>
    </row>
    <row r="321" ht="12.0" customHeight="1">
      <c r="C321" s="222">
        <f t="shared" ref="C321:D321" si="317">C320+1</f>
        <v>313</v>
      </c>
      <c r="D321" s="231">
        <f t="shared" si="317"/>
        <v>354</v>
      </c>
      <c r="E321" s="222">
        <f t="shared" si="2"/>
        <v>536738.2706</v>
      </c>
      <c r="F321" s="222">
        <f t="shared" si="3"/>
        <v>9559.015002</v>
      </c>
      <c r="G321" s="222">
        <f t="shared" si="4"/>
        <v>546297.2856</v>
      </c>
      <c r="H321" s="224">
        <f t="shared" si="7"/>
        <v>3249010.245</v>
      </c>
      <c r="I321" s="222">
        <f t="shared" si="5"/>
        <v>6</v>
      </c>
    </row>
    <row r="322" ht="12.0" customHeight="1">
      <c r="C322" s="222">
        <f t="shared" ref="C322:D322" si="318">C321+1</f>
        <v>314</v>
      </c>
      <c r="D322" s="231">
        <f t="shared" si="318"/>
        <v>355</v>
      </c>
      <c r="E322" s="222">
        <f t="shared" si="2"/>
        <v>538093.5348</v>
      </c>
      <c r="F322" s="222">
        <f t="shared" si="3"/>
        <v>8203.750868</v>
      </c>
      <c r="G322" s="222">
        <f t="shared" si="4"/>
        <v>546297.2856</v>
      </c>
      <c r="H322" s="224">
        <f t="shared" si="7"/>
        <v>2710916.71</v>
      </c>
      <c r="I322" s="222">
        <f t="shared" si="5"/>
        <v>5</v>
      </c>
    </row>
    <row r="323" ht="12.0" customHeight="1">
      <c r="C323" s="222">
        <f t="shared" ref="C323:D323" si="319">C322+1</f>
        <v>315</v>
      </c>
      <c r="D323" s="231">
        <f t="shared" si="319"/>
        <v>356</v>
      </c>
      <c r="E323" s="222">
        <f t="shared" si="2"/>
        <v>539452.2209</v>
      </c>
      <c r="F323" s="222">
        <f t="shared" si="3"/>
        <v>6845.064693</v>
      </c>
      <c r="G323" s="222">
        <f t="shared" si="4"/>
        <v>546297.2856</v>
      </c>
      <c r="H323" s="224">
        <f t="shared" si="7"/>
        <v>2171464.489</v>
      </c>
      <c r="I323" s="222">
        <f t="shared" si="5"/>
        <v>4</v>
      </c>
    </row>
    <row r="324" ht="12.0" customHeight="1">
      <c r="C324" s="222">
        <f t="shared" ref="C324:D324" si="320">C323+1</f>
        <v>316</v>
      </c>
      <c r="D324" s="231">
        <f t="shared" si="320"/>
        <v>357</v>
      </c>
      <c r="E324" s="222">
        <f t="shared" si="2"/>
        <v>540814.3378</v>
      </c>
      <c r="F324" s="222">
        <f t="shared" si="3"/>
        <v>5482.947835</v>
      </c>
      <c r="G324" s="222">
        <f t="shared" si="4"/>
        <v>546297.2856</v>
      </c>
      <c r="H324" s="224">
        <f t="shared" si="7"/>
        <v>1630650.151</v>
      </c>
      <c r="I324" s="222">
        <f t="shared" si="5"/>
        <v>3</v>
      </c>
    </row>
    <row r="325" ht="12.0" customHeight="1">
      <c r="C325" s="222">
        <f t="shared" ref="C325:D325" si="321">C324+1</f>
        <v>317</v>
      </c>
      <c r="D325" s="231">
        <f t="shared" si="321"/>
        <v>358</v>
      </c>
      <c r="E325" s="222">
        <f t="shared" si="2"/>
        <v>542179.894</v>
      </c>
      <c r="F325" s="222">
        <f t="shared" si="3"/>
        <v>4117.391632</v>
      </c>
      <c r="G325" s="222">
        <f t="shared" si="4"/>
        <v>546297.2856</v>
      </c>
      <c r="H325" s="224">
        <f t="shared" si="7"/>
        <v>1088470.257</v>
      </c>
      <c r="I325" s="222">
        <f t="shared" si="5"/>
        <v>2</v>
      </c>
    </row>
    <row r="326" ht="12.0" customHeight="1">
      <c r="C326" s="222">
        <f t="shared" ref="C326:D326" si="322">C325+1</f>
        <v>318</v>
      </c>
      <c r="D326" s="231">
        <f t="shared" si="322"/>
        <v>359</v>
      </c>
      <c r="E326" s="222">
        <f t="shared" si="2"/>
        <v>543548.8982</v>
      </c>
      <c r="F326" s="222">
        <f t="shared" si="3"/>
        <v>2748.3874</v>
      </c>
      <c r="G326" s="222">
        <f t="shared" si="4"/>
        <v>546297.2856</v>
      </c>
      <c r="H326" s="224">
        <f t="shared" si="7"/>
        <v>544921.3592</v>
      </c>
      <c r="I326" s="222">
        <f t="shared" si="5"/>
        <v>1</v>
      </c>
    </row>
    <row r="327" ht="12.0" customHeight="1">
      <c r="C327" s="222">
        <f t="shared" ref="C327:D327" si="323">C326+1</f>
        <v>319</v>
      </c>
      <c r="D327" s="231">
        <f t="shared" si="323"/>
        <v>360</v>
      </c>
      <c r="E327" s="222">
        <f t="shared" si="2"/>
        <v>544921.3592</v>
      </c>
      <c r="F327" s="222">
        <f t="shared" si="3"/>
        <v>1375.926432</v>
      </c>
      <c r="G327" s="222">
        <f t="shared" si="4"/>
        <v>546297.2856</v>
      </c>
      <c r="H327" s="224">
        <f t="shared" si="7"/>
        <v>0.000005286652595</v>
      </c>
      <c r="I327" s="222">
        <f t="shared" si="5"/>
        <v>0</v>
      </c>
    </row>
    <row r="328" ht="12.0" customHeight="1">
      <c r="C328" s="222">
        <f t="shared" ref="C328:D328" si="324">C327+1</f>
        <v>320</v>
      </c>
      <c r="D328" s="231">
        <f t="shared" si="324"/>
        <v>361</v>
      </c>
      <c r="E328" s="222">
        <f t="shared" si="2"/>
        <v>0</v>
      </c>
      <c r="F328" s="222">
        <f t="shared" si="3"/>
        <v>0</v>
      </c>
      <c r="G328" s="222">
        <f t="shared" si="4"/>
        <v>0</v>
      </c>
      <c r="H328" s="224">
        <f t="shared" si="7"/>
        <v>0.000005286652595</v>
      </c>
      <c r="I328" s="222">
        <f t="shared" si="5"/>
        <v>-1</v>
      </c>
    </row>
    <row r="329" ht="12.0" customHeight="1">
      <c r="C329" s="222">
        <f t="shared" ref="C329:D329" si="325">C328+1</f>
        <v>321</v>
      </c>
      <c r="D329" s="231">
        <f t="shared" si="325"/>
        <v>362</v>
      </c>
      <c r="E329" s="222">
        <f t="shared" si="2"/>
        <v>0</v>
      </c>
      <c r="F329" s="222">
        <f t="shared" si="3"/>
        <v>0</v>
      </c>
      <c r="G329" s="222">
        <f t="shared" si="4"/>
        <v>0</v>
      </c>
      <c r="H329" s="224">
        <f t="shared" si="7"/>
        <v>0.000005286652595</v>
      </c>
      <c r="I329" s="222">
        <f t="shared" si="5"/>
        <v>-2</v>
      </c>
    </row>
    <row r="330" ht="12.0" customHeight="1">
      <c r="C330" s="222">
        <f t="shared" ref="C330:D330" si="326">C329+1</f>
        <v>322</v>
      </c>
      <c r="D330" s="231">
        <f t="shared" si="326"/>
        <v>363</v>
      </c>
      <c r="E330" s="222">
        <f t="shared" si="2"/>
        <v>0</v>
      </c>
      <c r="F330" s="222">
        <f t="shared" si="3"/>
        <v>0</v>
      </c>
      <c r="G330" s="222">
        <f t="shared" si="4"/>
        <v>0</v>
      </c>
      <c r="H330" s="224">
        <f t="shared" si="7"/>
        <v>0.000005286652595</v>
      </c>
      <c r="I330" s="222">
        <f t="shared" si="5"/>
        <v>-3</v>
      </c>
    </row>
    <row r="331" ht="12.0" customHeight="1">
      <c r="E331" s="4"/>
      <c r="F331" s="4"/>
      <c r="G331" s="4"/>
      <c r="H331" s="5"/>
      <c r="I331" s="146"/>
    </row>
    <row r="332" ht="12.0" customHeight="1">
      <c r="E332" s="4"/>
      <c r="F332" s="4"/>
      <c r="G332" s="4"/>
      <c r="H332" s="5"/>
      <c r="I332" s="146"/>
    </row>
    <row r="333" ht="12.0" customHeight="1">
      <c r="E333" s="4"/>
      <c r="F333" s="4"/>
      <c r="G333" s="4"/>
      <c r="H333" s="5"/>
      <c r="I333" s="146"/>
    </row>
    <row r="334" ht="12.0" customHeight="1">
      <c r="E334" s="4"/>
      <c r="F334" s="4"/>
      <c r="G334" s="4"/>
      <c r="H334" s="5"/>
      <c r="I334" s="146"/>
    </row>
    <row r="335" ht="12.0" customHeight="1">
      <c r="E335" s="4"/>
      <c r="F335" s="4"/>
      <c r="G335" s="4"/>
      <c r="H335" s="5"/>
      <c r="I335" s="146"/>
    </row>
    <row r="336" ht="12.0" customHeight="1">
      <c r="E336" s="4"/>
      <c r="F336" s="4"/>
      <c r="G336" s="4"/>
      <c r="H336" s="5"/>
      <c r="I336" s="146"/>
    </row>
    <row r="337" ht="12.0" customHeight="1">
      <c r="E337" s="4"/>
      <c r="F337" s="4"/>
      <c r="G337" s="4"/>
      <c r="H337" s="5"/>
      <c r="I337" s="146"/>
    </row>
    <row r="338" ht="12.0" customHeight="1">
      <c r="E338" s="4"/>
      <c r="F338" s="4"/>
      <c r="G338" s="4"/>
      <c r="H338" s="5"/>
      <c r="I338" s="146"/>
    </row>
    <row r="339" ht="12.0" customHeight="1">
      <c r="E339" s="4"/>
      <c r="F339" s="4"/>
      <c r="G339" s="4"/>
      <c r="H339" s="5"/>
      <c r="I339" s="146"/>
    </row>
    <row r="340" ht="12.0" customHeight="1">
      <c r="E340" s="4"/>
      <c r="F340" s="4"/>
      <c r="G340" s="4"/>
      <c r="H340" s="5"/>
      <c r="I340" s="146"/>
    </row>
    <row r="341" ht="12.0" customHeight="1">
      <c r="E341" s="4"/>
      <c r="F341" s="4"/>
      <c r="G341" s="4"/>
      <c r="H341" s="5"/>
      <c r="I341" s="146"/>
    </row>
    <row r="342" ht="12.0" customHeight="1">
      <c r="E342" s="4"/>
      <c r="F342" s="4"/>
      <c r="G342" s="4"/>
      <c r="H342" s="5"/>
      <c r="I342" s="146"/>
    </row>
    <row r="343" ht="12.0" customHeight="1">
      <c r="E343" s="4"/>
      <c r="F343" s="4"/>
      <c r="G343" s="4"/>
      <c r="H343" s="5"/>
      <c r="I343" s="146"/>
    </row>
    <row r="344" ht="12.0" customHeight="1">
      <c r="E344" s="4"/>
      <c r="F344" s="4"/>
      <c r="G344" s="4"/>
      <c r="H344" s="5"/>
      <c r="I344" s="146"/>
    </row>
    <row r="345" ht="12.0" customHeight="1">
      <c r="E345" s="4"/>
      <c r="F345" s="4"/>
      <c r="G345" s="4"/>
      <c r="H345" s="5"/>
      <c r="I345" s="146"/>
    </row>
    <row r="346" ht="12.0" customHeight="1">
      <c r="E346" s="4"/>
      <c r="F346" s="4"/>
      <c r="G346" s="4"/>
      <c r="H346" s="5"/>
      <c r="I346" s="146"/>
    </row>
    <row r="347" ht="12.0" customHeight="1">
      <c r="E347" s="4"/>
      <c r="F347" s="4"/>
      <c r="G347" s="4"/>
      <c r="H347" s="5"/>
      <c r="I347" s="146"/>
    </row>
    <row r="348" ht="12.0" customHeight="1">
      <c r="E348" s="4"/>
      <c r="F348" s="4"/>
      <c r="G348" s="4"/>
      <c r="H348" s="5"/>
      <c r="I348" s="146"/>
    </row>
    <row r="349" ht="12.0" customHeight="1">
      <c r="E349" s="4"/>
      <c r="F349" s="4"/>
      <c r="G349" s="4"/>
      <c r="H349" s="5"/>
      <c r="I349" s="146"/>
    </row>
    <row r="350" ht="12.0" customHeight="1">
      <c r="E350" s="4"/>
      <c r="F350" s="4"/>
      <c r="G350" s="4"/>
      <c r="H350" s="5"/>
      <c r="I350" s="146"/>
    </row>
    <row r="351" ht="12.0" customHeight="1">
      <c r="E351" s="4"/>
      <c r="F351" s="4"/>
      <c r="G351" s="4"/>
      <c r="H351" s="5"/>
      <c r="I351" s="146"/>
    </row>
    <row r="352" ht="12.0" customHeight="1">
      <c r="E352" s="4"/>
      <c r="F352" s="4"/>
      <c r="G352" s="4"/>
      <c r="H352" s="5"/>
      <c r="I352" s="146"/>
    </row>
    <row r="353" ht="12.0" customHeight="1">
      <c r="E353" s="4"/>
      <c r="F353" s="4"/>
      <c r="G353" s="4"/>
      <c r="H353" s="5"/>
      <c r="I353" s="146"/>
    </row>
    <row r="354" ht="12.0" customHeight="1">
      <c r="E354" s="4"/>
      <c r="F354" s="4"/>
      <c r="G354" s="4"/>
      <c r="H354" s="5"/>
      <c r="I354" s="146"/>
    </row>
    <row r="355" ht="12.0" customHeight="1">
      <c r="E355" s="4"/>
      <c r="F355" s="4"/>
      <c r="G355" s="4"/>
      <c r="H355" s="5"/>
      <c r="I355" s="146"/>
    </row>
    <row r="356" ht="12.0" customHeight="1">
      <c r="E356" s="4"/>
      <c r="F356" s="4"/>
      <c r="G356" s="4"/>
      <c r="H356" s="5"/>
      <c r="I356" s="146"/>
    </row>
    <row r="357" ht="12.0" customHeight="1">
      <c r="E357" s="4"/>
      <c r="F357" s="4"/>
      <c r="G357" s="4"/>
      <c r="H357" s="5"/>
      <c r="I357" s="146"/>
    </row>
    <row r="358" ht="12.0" customHeight="1">
      <c r="E358" s="4"/>
      <c r="F358" s="4"/>
      <c r="G358" s="4"/>
      <c r="H358" s="5"/>
      <c r="I358" s="146"/>
    </row>
    <row r="359" ht="12.0" customHeight="1">
      <c r="E359" s="4"/>
      <c r="F359" s="4"/>
      <c r="G359" s="4"/>
      <c r="H359" s="5"/>
      <c r="I359" s="146"/>
    </row>
    <row r="360" ht="12.0" customHeight="1">
      <c r="E360" s="4"/>
      <c r="F360" s="4"/>
      <c r="G360" s="4"/>
      <c r="H360" s="5"/>
      <c r="I360" s="146"/>
    </row>
    <row r="361" ht="12.0" customHeight="1">
      <c r="E361" s="4"/>
      <c r="F361" s="4"/>
      <c r="G361" s="4"/>
      <c r="H361" s="5"/>
      <c r="I361" s="146"/>
    </row>
    <row r="362" ht="12.0" customHeight="1">
      <c r="E362" s="4"/>
      <c r="F362" s="4"/>
      <c r="G362" s="4"/>
      <c r="H362" s="5"/>
      <c r="I362" s="146"/>
    </row>
    <row r="363" ht="12.0" customHeight="1">
      <c r="E363" s="4"/>
      <c r="F363" s="4"/>
      <c r="G363" s="4"/>
      <c r="H363" s="5"/>
      <c r="I363" s="146"/>
    </row>
    <row r="364" ht="12.0" customHeight="1">
      <c r="E364" s="4"/>
      <c r="F364" s="4"/>
      <c r="G364" s="4"/>
      <c r="H364" s="5"/>
      <c r="I364" s="146"/>
    </row>
    <row r="365" ht="12.0" customHeight="1">
      <c r="E365" s="4"/>
      <c r="F365" s="4"/>
      <c r="G365" s="4"/>
      <c r="H365" s="5"/>
      <c r="I365" s="146"/>
    </row>
    <row r="366" ht="12.0" customHeight="1">
      <c r="E366" s="4"/>
      <c r="F366" s="4"/>
      <c r="G366" s="4"/>
      <c r="H366" s="5"/>
      <c r="I366" s="146"/>
    </row>
    <row r="367" ht="12.0" customHeight="1">
      <c r="E367" s="4"/>
      <c r="F367" s="4"/>
      <c r="G367" s="4"/>
      <c r="H367" s="5"/>
      <c r="I367" s="146"/>
    </row>
    <row r="368" ht="12.0" customHeight="1">
      <c r="E368" s="4"/>
      <c r="F368" s="4"/>
      <c r="G368" s="4"/>
      <c r="H368" s="5"/>
      <c r="I368" s="146"/>
    </row>
    <row r="369" ht="12.0" customHeight="1">
      <c r="E369" s="4"/>
      <c r="F369" s="4"/>
      <c r="G369" s="4"/>
      <c r="H369" s="5"/>
      <c r="I369" s="146"/>
    </row>
    <row r="370" ht="12.0" customHeight="1">
      <c r="E370" s="4"/>
      <c r="F370" s="4"/>
      <c r="G370" s="4"/>
      <c r="H370" s="5"/>
      <c r="I370" s="146"/>
    </row>
    <row r="371" ht="12.0" customHeight="1">
      <c r="E371" s="4"/>
      <c r="F371" s="4"/>
      <c r="G371" s="4"/>
      <c r="H371" s="5"/>
      <c r="I371" s="146"/>
    </row>
    <row r="372" ht="12.0" customHeight="1">
      <c r="E372" s="4"/>
      <c r="F372" s="4"/>
      <c r="G372" s="4"/>
      <c r="H372" s="5"/>
      <c r="I372" s="146"/>
    </row>
    <row r="373" ht="12.0" customHeight="1">
      <c r="E373" s="4"/>
      <c r="F373" s="4"/>
      <c r="G373" s="4"/>
      <c r="H373" s="5"/>
      <c r="I373" s="146"/>
    </row>
    <row r="374" ht="12.0" customHeight="1">
      <c r="E374" s="4"/>
      <c r="F374" s="4"/>
      <c r="G374" s="4"/>
      <c r="H374" s="5"/>
      <c r="I374" s="146"/>
    </row>
    <row r="375" ht="12.0" customHeight="1">
      <c r="E375" s="4"/>
      <c r="F375" s="4"/>
      <c r="G375" s="4"/>
      <c r="H375" s="5"/>
      <c r="I375" s="146"/>
    </row>
    <row r="376" ht="12.0" customHeight="1">
      <c r="E376" s="4"/>
      <c r="F376" s="4"/>
      <c r="G376" s="4"/>
      <c r="H376" s="5"/>
      <c r="I376" s="146"/>
    </row>
    <row r="377" ht="12.0" customHeight="1">
      <c r="E377" s="4"/>
      <c r="F377" s="4"/>
      <c r="G377" s="4"/>
      <c r="H377" s="5"/>
      <c r="I377" s="146"/>
    </row>
    <row r="378" ht="12.0" customHeight="1">
      <c r="E378" s="4"/>
      <c r="F378" s="4"/>
      <c r="G378" s="4"/>
      <c r="H378" s="5"/>
      <c r="I378" s="146"/>
    </row>
    <row r="379" ht="12.0" customHeight="1">
      <c r="E379" s="4"/>
      <c r="F379" s="4"/>
      <c r="G379" s="4"/>
      <c r="H379" s="5"/>
      <c r="I379" s="146"/>
    </row>
    <row r="380" ht="12.0" customHeight="1">
      <c r="E380" s="4"/>
      <c r="F380" s="4"/>
      <c r="G380" s="4"/>
      <c r="H380" s="5"/>
      <c r="I380" s="146"/>
    </row>
    <row r="381" ht="12.0" customHeight="1">
      <c r="E381" s="4"/>
      <c r="F381" s="4"/>
      <c r="G381" s="4"/>
      <c r="H381" s="5"/>
      <c r="I381" s="146"/>
    </row>
    <row r="382" ht="12.0" customHeight="1">
      <c r="E382" s="4"/>
      <c r="F382" s="4"/>
      <c r="G382" s="4"/>
      <c r="H382" s="5"/>
      <c r="I382" s="146"/>
    </row>
    <row r="383" ht="12.0" customHeight="1">
      <c r="E383" s="4"/>
      <c r="F383" s="4"/>
      <c r="G383" s="4"/>
      <c r="H383" s="5"/>
      <c r="I383" s="146"/>
    </row>
    <row r="384" ht="12.0" customHeight="1">
      <c r="E384" s="4"/>
      <c r="F384" s="4"/>
      <c r="G384" s="4"/>
      <c r="H384" s="5"/>
      <c r="I384" s="146"/>
    </row>
    <row r="385" ht="12.0" customHeight="1">
      <c r="E385" s="4"/>
      <c r="F385" s="4"/>
      <c r="G385" s="4"/>
      <c r="H385" s="5"/>
      <c r="I385" s="146"/>
    </row>
    <row r="386" ht="12.0" customHeight="1">
      <c r="E386" s="4"/>
      <c r="F386" s="4"/>
      <c r="G386" s="4"/>
      <c r="H386" s="5"/>
      <c r="I386" s="146"/>
    </row>
    <row r="387" ht="12.0" customHeight="1">
      <c r="E387" s="4"/>
      <c r="F387" s="4"/>
      <c r="G387" s="4"/>
      <c r="H387" s="5"/>
      <c r="I387" s="146"/>
    </row>
    <row r="388" ht="12.0" customHeight="1">
      <c r="E388" s="4"/>
      <c r="F388" s="4"/>
      <c r="G388" s="4"/>
      <c r="H388" s="5"/>
      <c r="I388" s="146"/>
    </row>
    <row r="389" ht="12.0" customHeight="1">
      <c r="E389" s="4"/>
      <c r="F389" s="4"/>
      <c r="G389" s="4"/>
      <c r="H389" s="5"/>
      <c r="I389" s="146"/>
    </row>
    <row r="390" ht="12.0" customHeight="1">
      <c r="E390" s="4"/>
      <c r="F390" s="4"/>
      <c r="G390" s="4"/>
      <c r="H390" s="5"/>
      <c r="I390" s="146"/>
    </row>
    <row r="391" ht="12.0" customHeight="1">
      <c r="E391" s="4"/>
      <c r="F391" s="4"/>
      <c r="G391" s="4"/>
      <c r="H391" s="5"/>
      <c r="I391" s="146"/>
    </row>
    <row r="392" ht="12.0" customHeight="1">
      <c r="E392" s="4"/>
      <c r="F392" s="4"/>
      <c r="G392" s="4"/>
      <c r="H392" s="5"/>
      <c r="I392" s="146"/>
    </row>
    <row r="393" ht="12.0" customHeight="1">
      <c r="E393" s="4"/>
      <c r="F393" s="4"/>
      <c r="G393" s="4"/>
      <c r="H393" s="5"/>
      <c r="I393" s="146"/>
    </row>
    <row r="394" ht="12.0" customHeight="1">
      <c r="E394" s="4"/>
      <c r="F394" s="4"/>
      <c r="G394" s="4"/>
      <c r="H394" s="5"/>
      <c r="I394" s="146"/>
    </row>
    <row r="395" ht="12.0" customHeight="1">
      <c r="E395" s="4"/>
      <c r="F395" s="4"/>
      <c r="G395" s="4"/>
      <c r="H395" s="5"/>
      <c r="I395" s="146"/>
    </row>
    <row r="396" ht="12.0" customHeight="1">
      <c r="E396" s="4"/>
      <c r="F396" s="4"/>
      <c r="G396" s="4"/>
      <c r="H396" s="5"/>
      <c r="I396" s="146"/>
    </row>
    <row r="397" ht="12.0" customHeight="1">
      <c r="E397" s="4"/>
      <c r="F397" s="4"/>
      <c r="G397" s="4"/>
      <c r="H397" s="5"/>
      <c r="I397" s="146"/>
    </row>
    <row r="398" ht="12.0" customHeight="1">
      <c r="E398" s="4"/>
      <c r="F398" s="4"/>
      <c r="G398" s="4"/>
      <c r="H398" s="5"/>
      <c r="I398" s="146"/>
    </row>
    <row r="399" ht="12.0" customHeight="1">
      <c r="E399" s="4"/>
      <c r="F399" s="4"/>
      <c r="G399" s="4"/>
      <c r="H399" s="5"/>
      <c r="I399" s="146"/>
    </row>
    <row r="400" ht="12.0" customHeight="1">
      <c r="E400" s="4"/>
      <c r="F400" s="4"/>
      <c r="G400" s="4"/>
      <c r="H400" s="5"/>
      <c r="I400" s="146"/>
    </row>
    <row r="401" ht="12.0" customHeight="1">
      <c r="E401" s="4"/>
      <c r="F401" s="4"/>
      <c r="G401" s="4"/>
      <c r="H401" s="5"/>
      <c r="I401" s="146"/>
    </row>
    <row r="402" ht="12.0" customHeight="1">
      <c r="E402" s="4"/>
      <c r="F402" s="4"/>
      <c r="G402" s="4"/>
      <c r="H402" s="5"/>
      <c r="I402" s="146"/>
    </row>
    <row r="403" ht="12.0" customHeight="1">
      <c r="E403" s="4"/>
      <c r="F403" s="4"/>
      <c r="G403" s="4"/>
      <c r="H403" s="5"/>
      <c r="I403" s="146"/>
    </row>
    <row r="404" ht="12.0" customHeight="1">
      <c r="E404" s="4"/>
      <c r="F404" s="4"/>
      <c r="G404" s="4"/>
      <c r="H404" s="5"/>
      <c r="I404" s="146"/>
    </row>
    <row r="405" ht="12.0" customHeight="1">
      <c r="E405" s="4"/>
      <c r="F405" s="4"/>
      <c r="G405" s="4"/>
      <c r="H405" s="5"/>
      <c r="I405" s="146"/>
    </row>
    <row r="406" ht="12.0" customHeight="1">
      <c r="E406" s="4"/>
      <c r="F406" s="4"/>
      <c r="G406" s="4"/>
      <c r="H406" s="5"/>
      <c r="I406" s="146"/>
    </row>
    <row r="407" ht="12.0" customHeight="1">
      <c r="E407" s="4"/>
      <c r="F407" s="4"/>
      <c r="G407" s="4"/>
      <c r="H407" s="5"/>
      <c r="I407" s="146"/>
    </row>
    <row r="408" ht="12.0" customHeight="1">
      <c r="E408" s="4"/>
      <c r="F408" s="4"/>
      <c r="G408" s="4"/>
      <c r="H408" s="5"/>
      <c r="I408" s="146"/>
    </row>
    <row r="409" ht="12.0" customHeight="1">
      <c r="E409" s="4"/>
      <c r="F409" s="4"/>
      <c r="G409" s="4"/>
      <c r="H409" s="5"/>
      <c r="I409" s="146"/>
    </row>
    <row r="410" ht="12.0" customHeight="1">
      <c r="E410" s="4"/>
      <c r="F410" s="4"/>
      <c r="G410" s="4"/>
      <c r="H410" s="5"/>
      <c r="I410" s="146"/>
    </row>
    <row r="411" ht="12.0" customHeight="1">
      <c r="E411" s="4"/>
      <c r="F411" s="4"/>
      <c r="G411" s="4"/>
      <c r="H411" s="5"/>
      <c r="I411" s="146"/>
    </row>
    <row r="412" ht="12.0" customHeight="1">
      <c r="E412" s="4"/>
      <c r="F412" s="4"/>
      <c r="G412" s="4"/>
      <c r="H412" s="5"/>
      <c r="I412" s="146"/>
    </row>
    <row r="413" ht="12.0" customHeight="1">
      <c r="E413" s="4"/>
      <c r="F413" s="4"/>
      <c r="G413" s="4"/>
      <c r="H413" s="5"/>
      <c r="I413" s="146"/>
    </row>
    <row r="414" ht="12.0" customHeight="1">
      <c r="E414" s="4"/>
      <c r="F414" s="4"/>
      <c r="G414" s="4"/>
      <c r="H414" s="5"/>
      <c r="I414" s="146"/>
    </row>
    <row r="415" ht="12.0" customHeight="1">
      <c r="E415" s="4"/>
      <c r="F415" s="4"/>
      <c r="G415" s="4"/>
      <c r="H415" s="5"/>
      <c r="I415" s="146"/>
    </row>
    <row r="416" ht="12.0" customHeight="1">
      <c r="E416" s="4"/>
      <c r="F416" s="4"/>
      <c r="G416" s="4"/>
      <c r="H416" s="5"/>
      <c r="I416" s="146"/>
    </row>
    <row r="417" ht="12.0" customHeight="1">
      <c r="E417" s="4"/>
      <c r="F417" s="4"/>
      <c r="G417" s="4"/>
      <c r="H417" s="5"/>
      <c r="I417" s="146"/>
    </row>
    <row r="418" ht="12.0" customHeight="1">
      <c r="E418" s="4"/>
      <c r="F418" s="4"/>
      <c r="G418" s="4"/>
      <c r="H418" s="5"/>
      <c r="I418" s="146"/>
    </row>
    <row r="419" ht="12.0" customHeight="1">
      <c r="E419" s="4"/>
      <c r="F419" s="4"/>
      <c r="G419" s="4"/>
      <c r="H419" s="5"/>
      <c r="I419" s="146"/>
    </row>
    <row r="420" ht="12.0" customHeight="1">
      <c r="E420" s="4"/>
      <c r="F420" s="4"/>
      <c r="G420" s="4"/>
      <c r="H420" s="5"/>
      <c r="I420" s="146"/>
    </row>
    <row r="421" ht="12.0" customHeight="1">
      <c r="E421" s="4"/>
      <c r="F421" s="4"/>
      <c r="G421" s="4"/>
      <c r="H421" s="5"/>
      <c r="I421" s="146"/>
    </row>
    <row r="422" ht="12.0" customHeight="1">
      <c r="E422" s="4"/>
      <c r="F422" s="4"/>
      <c r="G422" s="4"/>
      <c r="H422" s="5"/>
      <c r="I422" s="146"/>
    </row>
    <row r="423" ht="12.0" customHeight="1">
      <c r="E423" s="4"/>
      <c r="F423" s="4"/>
      <c r="G423" s="4"/>
      <c r="H423" s="5"/>
      <c r="I423" s="146"/>
    </row>
    <row r="424" ht="12.0" customHeight="1">
      <c r="E424" s="4"/>
      <c r="F424" s="4"/>
      <c r="G424" s="4"/>
      <c r="H424" s="5"/>
      <c r="I424" s="146"/>
    </row>
    <row r="425" ht="12.0" customHeight="1">
      <c r="E425" s="4"/>
      <c r="F425" s="4"/>
      <c r="G425" s="4"/>
      <c r="H425" s="5"/>
      <c r="I425" s="146"/>
    </row>
    <row r="426" ht="12.0" customHeight="1">
      <c r="E426" s="4"/>
      <c r="F426" s="4"/>
      <c r="G426" s="4"/>
      <c r="H426" s="5"/>
      <c r="I426" s="146"/>
    </row>
    <row r="427" ht="12.0" customHeight="1">
      <c r="E427" s="4"/>
      <c r="F427" s="4"/>
      <c r="G427" s="4"/>
      <c r="H427" s="5"/>
      <c r="I427" s="146"/>
    </row>
    <row r="428" ht="12.0" customHeight="1">
      <c r="E428" s="4"/>
      <c r="F428" s="4"/>
      <c r="G428" s="4"/>
      <c r="H428" s="5"/>
      <c r="I428" s="146"/>
    </row>
    <row r="429" ht="12.0" customHeight="1">
      <c r="E429" s="4"/>
      <c r="F429" s="4"/>
      <c r="G429" s="4"/>
      <c r="H429" s="5"/>
      <c r="I429" s="146"/>
    </row>
    <row r="430" ht="12.0" customHeight="1">
      <c r="E430" s="4"/>
      <c r="F430" s="4"/>
      <c r="G430" s="4"/>
      <c r="H430" s="5"/>
      <c r="I430" s="146"/>
    </row>
    <row r="431" ht="12.0" customHeight="1">
      <c r="E431" s="4"/>
      <c r="F431" s="4"/>
      <c r="G431" s="4"/>
      <c r="H431" s="5"/>
      <c r="I431" s="146"/>
    </row>
    <row r="432" ht="12.0" customHeight="1">
      <c r="E432" s="4"/>
      <c r="F432" s="4"/>
      <c r="G432" s="4"/>
      <c r="H432" s="5"/>
      <c r="I432" s="146"/>
    </row>
    <row r="433" ht="12.0" customHeight="1">
      <c r="E433" s="4"/>
      <c r="F433" s="4"/>
      <c r="G433" s="4"/>
      <c r="H433" s="5"/>
      <c r="I433" s="146"/>
    </row>
    <row r="434" ht="12.0" customHeight="1">
      <c r="E434" s="4"/>
      <c r="F434" s="4"/>
      <c r="G434" s="4"/>
      <c r="H434" s="5"/>
      <c r="I434" s="146"/>
    </row>
    <row r="435" ht="12.0" customHeight="1">
      <c r="E435" s="4"/>
      <c r="F435" s="4"/>
      <c r="G435" s="4"/>
      <c r="H435" s="5"/>
      <c r="I435" s="146"/>
    </row>
    <row r="436" ht="12.0" customHeight="1">
      <c r="E436" s="4"/>
      <c r="F436" s="4"/>
      <c r="G436" s="4"/>
      <c r="H436" s="5"/>
      <c r="I436" s="146"/>
    </row>
    <row r="437" ht="12.0" customHeight="1">
      <c r="E437" s="4"/>
      <c r="F437" s="4"/>
      <c r="G437" s="4"/>
      <c r="H437" s="5"/>
      <c r="I437" s="146"/>
    </row>
    <row r="438" ht="12.0" customHeight="1">
      <c r="E438" s="4"/>
      <c r="F438" s="4"/>
      <c r="G438" s="4"/>
      <c r="H438" s="5"/>
      <c r="I438" s="146"/>
    </row>
    <row r="439" ht="12.0" customHeight="1">
      <c r="E439" s="4"/>
      <c r="F439" s="4"/>
      <c r="G439" s="4"/>
      <c r="H439" s="5"/>
      <c r="I439" s="146"/>
    </row>
    <row r="440" ht="12.0" customHeight="1">
      <c r="E440" s="4"/>
      <c r="F440" s="4"/>
      <c r="G440" s="4"/>
      <c r="H440" s="5"/>
      <c r="I440" s="146"/>
    </row>
    <row r="441" ht="12.0" customHeight="1">
      <c r="E441" s="4"/>
      <c r="F441" s="4"/>
      <c r="G441" s="4"/>
      <c r="H441" s="5"/>
      <c r="I441" s="146"/>
    </row>
    <row r="442" ht="12.0" customHeight="1">
      <c r="E442" s="4"/>
      <c r="F442" s="4"/>
      <c r="G442" s="4"/>
      <c r="H442" s="5"/>
      <c r="I442" s="146"/>
    </row>
    <row r="443" ht="12.0" customHeight="1">
      <c r="E443" s="4"/>
      <c r="F443" s="4"/>
      <c r="G443" s="4"/>
      <c r="H443" s="5"/>
      <c r="I443" s="146"/>
    </row>
    <row r="444" ht="12.0" customHeight="1">
      <c r="E444" s="4"/>
      <c r="F444" s="4"/>
      <c r="G444" s="4"/>
      <c r="H444" s="5"/>
      <c r="I444" s="146"/>
    </row>
    <row r="445" ht="12.0" customHeight="1">
      <c r="E445" s="4"/>
      <c r="F445" s="4"/>
      <c r="G445" s="4"/>
      <c r="H445" s="5"/>
      <c r="I445" s="146"/>
    </row>
    <row r="446" ht="12.0" customHeight="1">
      <c r="E446" s="4"/>
      <c r="F446" s="4"/>
      <c r="G446" s="4"/>
      <c r="H446" s="5"/>
      <c r="I446" s="146"/>
    </row>
    <row r="447" ht="12.0" customHeight="1">
      <c r="E447" s="4"/>
      <c r="F447" s="4"/>
      <c r="G447" s="4"/>
      <c r="H447" s="5"/>
      <c r="I447" s="146"/>
    </row>
    <row r="448" ht="12.0" customHeight="1">
      <c r="E448" s="4"/>
      <c r="F448" s="4"/>
      <c r="G448" s="4"/>
      <c r="H448" s="5"/>
      <c r="I448" s="146"/>
    </row>
    <row r="449" ht="12.0" customHeight="1">
      <c r="E449" s="4"/>
      <c r="F449" s="4"/>
      <c r="G449" s="4"/>
      <c r="H449" s="5"/>
      <c r="I449" s="146"/>
    </row>
    <row r="450" ht="12.0" customHeight="1">
      <c r="E450" s="4"/>
      <c r="F450" s="4"/>
      <c r="G450" s="4"/>
      <c r="H450" s="5"/>
      <c r="I450" s="146"/>
    </row>
    <row r="451" ht="12.0" customHeight="1">
      <c r="E451" s="4"/>
      <c r="F451" s="4"/>
      <c r="G451" s="4"/>
      <c r="H451" s="5"/>
      <c r="I451" s="146"/>
    </row>
    <row r="452" ht="12.0" customHeight="1">
      <c r="E452" s="4"/>
      <c r="F452" s="4"/>
      <c r="G452" s="4"/>
      <c r="H452" s="5"/>
      <c r="I452" s="146"/>
    </row>
    <row r="453" ht="12.0" customHeight="1">
      <c r="E453" s="4"/>
      <c r="F453" s="4"/>
      <c r="G453" s="4"/>
      <c r="H453" s="5"/>
      <c r="I453" s="146"/>
    </row>
    <row r="454" ht="12.0" customHeight="1">
      <c r="E454" s="4"/>
      <c r="F454" s="4"/>
      <c r="G454" s="4"/>
      <c r="H454" s="5"/>
      <c r="I454" s="146"/>
    </row>
    <row r="455" ht="12.0" customHeight="1">
      <c r="E455" s="4"/>
      <c r="F455" s="4"/>
      <c r="G455" s="4"/>
      <c r="H455" s="5"/>
      <c r="I455" s="146"/>
    </row>
    <row r="456" ht="12.0" customHeight="1">
      <c r="E456" s="4"/>
      <c r="F456" s="4"/>
      <c r="G456" s="4"/>
      <c r="H456" s="5"/>
      <c r="I456" s="146"/>
    </row>
    <row r="457" ht="12.0" customHeight="1">
      <c r="E457" s="4"/>
      <c r="F457" s="4"/>
      <c r="G457" s="4"/>
      <c r="H457" s="5"/>
      <c r="I457" s="146"/>
    </row>
    <row r="458" ht="12.0" customHeight="1">
      <c r="E458" s="4"/>
      <c r="F458" s="4"/>
      <c r="G458" s="4"/>
      <c r="H458" s="5"/>
      <c r="I458" s="146"/>
    </row>
    <row r="459" ht="12.0" customHeight="1">
      <c r="E459" s="4"/>
      <c r="F459" s="4"/>
      <c r="G459" s="4"/>
      <c r="H459" s="5"/>
      <c r="I459" s="146"/>
    </row>
    <row r="460" ht="12.0" customHeight="1">
      <c r="E460" s="4"/>
      <c r="F460" s="4"/>
      <c r="G460" s="4"/>
      <c r="H460" s="5"/>
      <c r="I460" s="146"/>
    </row>
    <row r="461" ht="12.0" customHeight="1">
      <c r="E461" s="4"/>
      <c r="F461" s="4"/>
      <c r="G461" s="4"/>
      <c r="H461" s="5"/>
      <c r="I461" s="146"/>
    </row>
    <row r="462" ht="12.0" customHeight="1">
      <c r="E462" s="4"/>
      <c r="F462" s="4"/>
      <c r="G462" s="4"/>
      <c r="H462" s="5"/>
      <c r="I462" s="146"/>
    </row>
    <row r="463" ht="12.0" customHeight="1">
      <c r="E463" s="4"/>
      <c r="F463" s="4"/>
      <c r="G463" s="4"/>
      <c r="H463" s="5"/>
      <c r="I463" s="146"/>
    </row>
    <row r="464" ht="12.0" customHeight="1">
      <c r="E464" s="4"/>
      <c r="F464" s="4"/>
      <c r="G464" s="4"/>
      <c r="H464" s="5"/>
      <c r="I464" s="146"/>
    </row>
    <row r="465" ht="12.0" customHeight="1">
      <c r="E465" s="4"/>
      <c r="F465" s="4"/>
      <c r="G465" s="4"/>
      <c r="H465" s="5"/>
      <c r="I465" s="146"/>
    </row>
    <row r="466" ht="12.0" customHeight="1">
      <c r="E466" s="4"/>
      <c r="F466" s="4"/>
      <c r="G466" s="4"/>
      <c r="H466" s="5"/>
      <c r="I466" s="146"/>
    </row>
    <row r="467" ht="12.0" customHeight="1">
      <c r="E467" s="4"/>
      <c r="F467" s="4"/>
      <c r="G467" s="4"/>
      <c r="H467" s="5"/>
      <c r="I467" s="146"/>
    </row>
    <row r="468" ht="12.0" customHeight="1">
      <c r="E468" s="4"/>
      <c r="F468" s="4"/>
      <c r="G468" s="4"/>
      <c r="H468" s="5"/>
      <c r="I468" s="146"/>
    </row>
    <row r="469" ht="12.0" customHeight="1">
      <c r="E469" s="4"/>
      <c r="F469" s="4"/>
      <c r="G469" s="4"/>
      <c r="H469" s="5"/>
      <c r="I469" s="146"/>
    </row>
    <row r="470" ht="12.0" customHeight="1">
      <c r="E470" s="4"/>
      <c r="F470" s="4"/>
      <c r="G470" s="4"/>
      <c r="H470" s="5"/>
      <c r="I470" s="146"/>
    </row>
    <row r="471" ht="12.0" customHeight="1">
      <c r="E471" s="4"/>
      <c r="F471" s="4"/>
      <c r="G471" s="4"/>
      <c r="H471" s="5"/>
      <c r="I471" s="146"/>
    </row>
    <row r="472" ht="12.0" customHeight="1">
      <c r="E472" s="4"/>
      <c r="F472" s="4"/>
      <c r="G472" s="4"/>
      <c r="H472" s="5"/>
      <c r="I472" s="146"/>
    </row>
    <row r="473" ht="12.0" customHeight="1">
      <c r="E473" s="4"/>
      <c r="F473" s="4"/>
      <c r="G473" s="4"/>
      <c r="H473" s="5"/>
      <c r="I473" s="146"/>
    </row>
    <row r="474" ht="12.0" customHeight="1">
      <c r="E474" s="4"/>
      <c r="F474" s="4"/>
      <c r="G474" s="4"/>
      <c r="H474" s="5"/>
      <c r="I474" s="146"/>
    </row>
    <row r="475" ht="12.0" customHeight="1">
      <c r="E475" s="4"/>
      <c r="F475" s="4"/>
      <c r="G475" s="4"/>
      <c r="H475" s="5"/>
      <c r="I475" s="146"/>
    </row>
    <row r="476" ht="12.0" customHeight="1">
      <c r="E476" s="4"/>
      <c r="F476" s="4"/>
      <c r="G476" s="4"/>
      <c r="H476" s="5"/>
      <c r="I476" s="146"/>
    </row>
    <row r="477" ht="12.0" customHeight="1">
      <c r="E477" s="4"/>
      <c r="F477" s="4"/>
      <c r="G477" s="4"/>
      <c r="H477" s="5"/>
      <c r="I477" s="146"/>
    </row>
    <row r="478" ht="12.0" customHeight="1">
      <c r="E478" s="4"/>
      <c r="F478" s="4"/>
      <c r="G478" s="4"/>
      <c r="H478" s="5"/>
      <c r="I478" s="146"/>
    </row>
    <row r="479" ht="12.0" customHeight="1">
      <c r="E479" s="4"/>
      <c r="F479" s="4"/>
      <c r="G479" s="4"/>
      <c r="H479" s="5"/>
      <c r="I479" s="146"/>
    </row>
    <row r="480" ht="12.0" customHeight="1">
      <c r="E480" s="4"/>
      <c r="F480" s="4"/>
      <c r="G480" s="4"/>
      <c r="H480" s="5"/>
      <c r="I480" s="146"/>
    </row>
    <row r="481" ht="12.0" customHeight="1">
      <c r="E481" s="4"/>
      <c r="F481" s="4"/>
      <c r="G481" s="4"/>
      <c r="H481" s="5"/>
      <c r="I481" s="146"/>
    </row>
    <row r="482" ht="12.0" customHeight="1">
      <c r="E482" s="4"/>
      <c r="F482" s="4"/>
      <c r="G482" s="4"/>
      <c r="H482" s="5"/>
      <c r="I482" s="146"/>
    </row>
    <row r="483" ht="12.0" customHeight="1">
      <c r="E483" s="4"/>
      <c r="F483" s="4"/>
      <c r="G483" s="4"/>
      <c r="H483" s="5"/>
      <c r="I483" s="146"/>
    </row>
    <row r="484" ht="12.0" customHeight="1">
      <c r="E484" s="4"/>
      <c r="F484" s="4"/>
      <c r="G484" s="4"/>
      <c r="H484" s="5"/>
      <c r="I484" s="146"/>
    </row>
    <row r="485" ht="12.0" customHeight="1">
      <c r="E485" s="4"/>
      <c r="F485" s="4"/>
      <c r="G485" s="4"/>
      <c r="H485" s="5"/>
      <c r="I485" s="146"/>
    </row>
    <row r="486" ht="12.0" customHeight="1">
      <c r="E486" s="4"/>
      <c r="F486" s="4"/>
      <c r="G486" s="4"/>
      <c r="H486" s="5"/>
      <c r="I486" s="146"/>
    </row>
    <row r="487" ht="12.0" customHeight="1">
      <c r="E487" s="4"/>
      <c r="F487" s="4"/>
      <c r="G487" s="4"/>
      <c r="H487" s="5"/>
      <c r="I487" s="146"/>
    </row>
    <row r="488" ht="12.0" customHeight="1">
      <c r="E488" s="4"/>
      <c r="F488" s="4"/>
      <c r="G488" s="4"/>
      <c r="H488" s="5"/>
      <c r="I488" s="146"/>
    </row>
    <row r="489" ht="12.0" customHeight="1">
      <c r="E489" s="4"/>
      <c r="F489" s="4"/>
      <c r="G489" s="4"/>
      <c r="H489" s="5"/>
      <c r="I489" s="146"/>
    </row>
    <row r="490" ht="12.0" customHeight="1">
      <c r="E490" s="4"/>
      <c r="F490" s="4"/>
      <c r="G490" s="4"/>
      <c r="H490" s="5"/>
      <c r="I490" s="146"/>
    </row>
    <row r="491" ht="12.0" customHeight="1">
      <c r="E491" s="4"/>
      <c r="F491" s="4"/>
      <c r="G491" s="4"/>
      <c r="H491" s="5"/>
      <c r="I491" s="146"/>
    </row>
    <row r="492" ht="12.0" customHeight="1">
      <c r="E492" s="4"/>
      <c r="F492" s="4"/>
      <c r="G492" s="4"/>
      <c r="H492" s="5"/>
      <c r="I492" s="146"/>
    </row>
    <row r="493" ht="12.0" customHeight="1">
      <c r="E493" s="4"/>
      <c r="F493" s="4"/>
      <c r="G493" s="4"/>
      <c r="H493" s="5"/>
      <c r="I493" s="146"/>
    </row>
    <row r="494" ht="12.0" customHeight="1">
      <c r="E494" s="4"/>
      <c r="F494" s="4"/>
      <c r="G494" s="4"/>
      <c r="H494" s="5"/>
      <c r="I494" s="146"/>
    </row>
    <row r="495" ht="12.0" customHeight="1">
      <c r="E495" s="4"/>
      <c r="F495" s="4"/>
      <c r="G495" s="4"/>
      <c r="H495" s="5"/>
      <c r="I495" s="146"/>
    </row>
    <row r="496" ht="12.0" customHeight="1">
      <c r="E496" s="4"/>
      <c r="F496" s="4"/>
      <c r="G496" s="4"/>
      <c r="H496" s="5"/>
      <c r="I496" s="146"/>
    </row>
    <row r="497" ht="12.0" customHeight="1">
      <c r="E497" s="4"/>
      <c r="F497" s="4"/>
      <c r="G497" s="4"/>
      <c r="H497" s="5"/>
      <c r="I497" s="146"/>
    </row>
    <row r="498" ht="12.0" customHeight="1">
      <c r="E498" s="4"/>
      <c r="F498" s="4"/>
      <c r="G498" s="4"/>
      <c r="H498" s="5"/>
      <c r="I498" s="146"/>
    </row>
    <row r="499" ht="12.0" customHeight="1">
      <c r="E499" s="4"/>
      <c r="F499" s="4"/>
      <c r="G499" s="4"/>
      <c r="H499" s="5"/>
      <c r="I499" s="146"/>
    </row>
    <row r="500" ht="12.0" customHeight="1">
      <c r="E500" s="4"/>
      <c r="F500" s="4"/>
      <c r="G500" s="4"/>
      <c r="H500" s="5"/>
      <c r="I500" s="146"/>
    </row>
    <row r="501" ht="12.0" customHeight="1">
      <c r="E501" s="4"/>
      <c r="F501" s="4"/>
      <c r="G501" s="4"/>
      <c r="H501" s="5"/>
      <c r="I501" s="146"/>
    </row>
    <row r="502" ht="12.0" customHeight="1">
      <c r="E502" s="4"/>
      <c r="F502" s="4"/>
      <c r="G502" s="4"/>
      <c r="H502" s="5"/>
      <c r="I502" s="146"/>
    </row>
    <row r="503" ht="12.0" customHeight="1">
      <c r="E503" s="4"/>
      <c r="F503" s="4"/>
      <c r="G503" s="4"/>
      <c r="H503" s="5"/>
      <c r="I503" s="146"/>
    </row>
    <row r="504" ht="12.0" customHeight="1">
      <c r="E504" s="4"/>
      <c r="F504" s="4"/>
      <c r="G504" s="4"/>
      <c r="H504" s="5"/>
      <c r="I504" s="146"/>
    </row>
    <row r="505" ht="12.0" customHeight="1">
      <c r="E505" s="4"/>
      <c r="F505" s="4"/>
      <c r="G505" s="4"/>
      <c r="H505" s="5"/>
      <c r="I505" s="146"/>
    </row>
    <row r="506" ht="12.0" customHeight="1">
      <c r="E506" s="4"/>
      <c r="F506" s="4"/>
      <c r="G506" s="4"/>
      <c r="H506" s="5"/>
      <c r="I506" s="146"/>
    </row>
    <row r="507" ht="12.0" customHeight="1">
      <c r="E507" s="4"/>
      <c r="F507" s="4"/>
      <c r="G507" s="4"/>
      <c r="H507" s="5"/>
      <c r="I507" s="146"/>
    </row>
    <row r="508" ht="12.0" customHeight="1">
      <c r="E508" s="4"/>
      <c r="F508" s="4"/>
      <c r="G508" s="4"/>
      <c r="H508" s="5"/>
      <c r="I508" s="146"/>
    </row>
    <row r="509" ht="12.0" customHeight="1">
      <c r="E509" s="4"/>
      <c r="F509" s="4"/>
      <c r="G509" s="4"/>
      <c r="H509" s="5"/>
      <c r="I509" s="146"/>
    </row>
    <row r="510" ht="12.0" customHeight="1">
      <c r="E510" s="4"/>
      <c r="F510" s="4"/>
      <c r="G510" s="4"/>
      <c r="H510" s="5"/>
      <c r="I510" s="146"/>
    </row>
    <row r="511" ht="12.0" customHeight="1">
      <c r="E511" s="4"/>
      <c r="F511" s="4"/>
      <c r="G511" s="4"/>
      <c r="H511" s="5"/>
      <c r="I511" s="146"/>
    </row>
    <row r="512" ht="12.0" customHeight="1">
      <c r="E512" s="4"/>
      <c r="F512" s="4"/>
      <c r="G512" s="4"/>
      <c r="H512" s="5"/>
      <c r="I512" s="146"/>
    </row>
    <row r="513" ht="12.0" customHeight="1">
      <c r="E513" s="4"/>
      <c r="F513" s="4"/>
      <c r="G513" s="4"/>
      <c r="H513" s="5"/>
      <c r="I513" s="146"/>
    </row>
    <row r="514" ht="12.0" customHeight="1">
      <c r="E514" s="4"/>
      <c r="F514" s="4"/>
      <c r="G514" s="4"/>
      <c r="H514" s="5"/>
      <c r="I514" s="146"/>
    </row>
    <row r="515" ht="12.0" customHeight="1">
      <c r="E515" s="4"/>
      <c r="F515" s="4"/>
      <c r="G515" s="4"/>
      <c r="H515" s="5"/>
      <c r="I515" s="146"/>
    </row>
    <row r="516" ht="12.0" customHeight="1">
      <c r="E516" s="4"/>
      <c r="F516" s="4"/>
      <c r="G516" s="4"/>
      <c r="H516" s="5"/>
      <c r="I516" s="146"/>
    </row>
    <row r="517" ht="12.0" customHeight="1">
      <c r="E517" s="4"/>
      <c r="F517" s="4"/>
      <c r="G517" s="4"/>
      <c r="H517" s="5"/>
      <c r="I517" s="146"/>
    </row>
    <row r="518" ht="12.0" customHeight="1">
      <c r="E518" s="4"/>
      <c r="F518" s="4"/>
      <c r="G518" s="4"/>
      <c r="H518" s="5"/>
      <c r="I518" s="146"/>
    </row>
    <row r="519" ht="12.0" customHeight="1">
      <c r="E519" s="4"/>
      <c r="F519" s="4"/>
      <c r="G519" s="4"/>
      <c r="H519" s="5"/>
      <c r="I519" s="146"/>
    </row>
    <row r="520" ht="12.0" customHeight="1">
      <c r="E520" s="4"/>
      <c r="F520" s="4"/>
      <c r="G520" s="4"/>
      <c r="H520" s="5"/>
      <c r="I520" s="146"/>
    </row>
    <row r="521" ht="12.0" customHeight="1">
      <c r="E521" s="4"/>
      <c r="F521" s="4"/>
      <c r="G521" s="4"/>
      <c r="H521" s="5"/>
      <c r="I521" s="146"/>
    </row>
    <row r="522" ht="12.0" customHeight="1">
      <c r="E522" s="4"/>
      <c r="F522" s="4"/>
      <c r="G522" s="4"/>
      <c r="H522" s="5"/>
      <c r="I522" s="146"/>
    </row>
    <row r="523" ht="12.0" customHeight="1">
      <c r="E523" s="4"/>
      <c r="F523" s="4"/>
      <c r="G523" s="4"/>
      <c r="H523" s="5"/>
      <c r="I523" s="146"/>
    </row>
    <row r="524" ht="12.0" customHeight="1">
      <c r="E524" s="4"/>
      <c r="F524" s="4"/>
      <c r="G524" s="4"/>
      <c r="H524" s="5"/>
      <c r="I524" s="146"/>
    </row>
    <row r="525" ht="12.0" customHeight="1">
      <c r="E525" s="4"/>
      <c r="F525" s="4"/>
      <c r="G525" s="4"/>
      <c r="H525" s="5"/>
      <c r="I525" s="146"/>
    </row>
    <row r="526" ht="12.0" customHeight="1">
      <c r="E526" s="4"/>
      <c r="F526" s="4"/>
      <c r="G526" s="4"/>
      <c r="H526" s="5"/>
      <c r="I526" s="146"/>
    </row>
    <row r="527" ht="12.0" customHeight="1">
      <c r="E527" s="4"/>
      <c r="F527" s="4"/>
      <c r="G527" s="4"/>
      <c r="H527" s="5"/>
      <c r="I527" s="146"/>
    </row>
    <row r="528" ht="12.0" customHeight="1">
      <c r="E528" s="4"/>
      <c r="F528" s="4"/>
      <c r="G528" s="4"/>
      <c r="H528" s="5"/>
      <c r="I528" s="146"/>
    </row>
    <row r="529" ht="12.0" customHeight="1">
      <c r="E529" s="4"/>
      <c r="F529" s="4"/>
      <c r="G529" s="4"/>
      <c r="H529" s="5"/>
      <c r="I529" s="146"/>
    </row>
    <row r="530" ht="12.0" customHeight="1">
      <c r="E530" s="4"/>
      <c r="F530" s="4"/>
      <c r="G530" s="4"/>
      <c r="H530" s="5"/>
      <c r="I530" s="146"/>
    </row>
    <row r="531" ht="12.0" customHeight="1">
      <c r="E531" s="4"/>
      <c r="F531" s="4"/>
      <c r="G531" s="4"/>
      <c r="H531" s="5"/>
      <c r="I531" s="146"/>
    </row>
    <row r="532" ht="12.0" customHeight="1">
      <c r="E532" s="4"/>
      <c r="F532" s="4"/>
      <c r="G532" s="4"/>
      <c r="H532" s="5"/>
      <c r="I532" s="146"/>
    </row>
    <row r="533" ht="12.0" customHeight="1">
      <c r="E533" s="4"/>
      <c r="F533" s="4"/>
      <c r="G533" s="4"/>
      <c r="H533" s="5"/>
      <c r="I533" s="146"/>
    </row>
    <row r="534" ht="12.0" customHeight="1">
      <c r="E534" s="4"/>
      <c r="F534" s="4"/>
      <c r="G534" s="4"/>
      <c r="H534" s="5"/>
      <c r="I534" s="146"/>
    </row>
    <row r="535" ht="12.0" customHeight="1">
      <c r="E535" s="4"/>
      <c r="F535" s="4"/>
      <c r="G535" s="4"/>
      <c r="H535" s="5"/>
      <c r="I535" s="146"/>
    </row>
    <row r="536" ht="12.0" customHeight="1">
      <c r="E536" s="4"/>
      <c r="F536" s="4"/>
      <c r="G536" s="4"/>
      <c r="H536" s="5"/>
      <c r="I536" s="146"/>
    </row>
    <row r="537" ht="12.0" customHeight="1">
      <c r="E537" s="4"/>
      <c r="F537" s="4"/>
      <c r="G537" s="4"/>
      <c r="H537" s="5"/>
      <c r="I537" s="146"/>
    </row>
    <row r="538" ht="12.0" customHeight="1">
      <c r="E538" s="4"/>
      <c r="F538" s="4"/>
      <c r="G538" s="4"/>
      <c r="H538" s="5"/>
      <c r="I538" s="146"/>
    </row>
    <row r="539" ht="12.0" customHeight="1">
      <c r="E539" s="4"/>
      <c r="F539" s="4"/>
      <c r="G539" s="4"/>
      <c r="H539" s="5"/>
      <c r="I539" s="146"/>
    </row>
    <row r="540" ht="12.0" customHeight="1">
      <c r="E540" s="4"/>
      <c r="F540" s="4"/>
      <c r="G540" s="4"/>
      <c r="H540" s="5"/>
      <c r="I540" s="146"/>
    </row>
    <row r="541" ht="12.0" customHeight="1">
      <c r="E541" s="4"/>
      <c r="F541" s="4"/>
      <c r="G541" s="4"/>
      <c r="H541" s="5"/>
      <c r="I541" s="146"/>
    </row>
    <row r="542" ht="12.0" customHeight="1">
      <c r="E542" s="4"/>
      <c r="F542" s="4"/>
      <c r="G542" s="4"/>
      <c r="H542" s="5"/>
      <c r="I542" s="146"/>
    </row>
    <row r="543" ht="12.0" customHeight="1">
      <c r="E543" s="4"/>
      <c r="F543" s="4"/>
      <c r="G543" s="4"/>
      <c r="H543" s="5"/>
      <c r="I543" s="146"/>
    </row>
    <row r="544" ht="12.0" customHeight="1">
      <c r="E544" s="4"/>
      <c r="F544" s="4"/>
      <c r="G544" s="4"/>
      <c r="H544" s="5"/>
      <c r="I544" s="146"/>
    </row>
    <row r="545" ht="12.0" customHeight="1">
      <c r="E545" s="4"/>
      <c r="F545" s="4"/>
      <c r="G545" s="4"/>
      <c r="H545" s="5"/>
      <c r="I545" s="146"/>
    </row>
    <row r="546" ht="12.0" customHeight="1">
      <c r="E546" s="4"/>
      <c r="F546" s="4"/>
      <c r="G546" s="4"/>
      <c r="H546" s="5"/>
      <c r="I546" s="146"/>
    </row>
    <row r="547" ht="12.0" customHeight="1">
      <c r="E547" s="4"/>
      <c r="F547" s="4"/>
      <c r="G547" s="4"/>
      <c r="H547" s="5"/>
      <c r="I547" s="146"/>
    </row>
    <row r="548" ht="12.0" customHeight="1">
      <c r="E548" s="4"/>
      <c r="F548" s="4"/>
      <c r="G548" s="4"/>
      <c r="H548" s="5"/>
      <c r="I548" s="146"/>
    </row>
    <row r="549" ht="12.0" customHeight="1">
      <c r="E549" s="4"/>
      <c r="F549" s="4"/>
      <c r="G549" s="4"/>
      <c r="H549" s="5"/>
      <c r="I549" s="146"/>
    </row>
    <row r="550" ht="12.0" customHeight="1">
      <c r="E550" s="4"/>
      <c r="F550" s="4"/>
      <c r="G550" s="4"/>
      <c r="H550" s="5"/>
      <c r="I550" s="146"/>
    </row>
    <row r="551" ht="12.0" customHeight="1">
      <c r="E551" s="4"/>
      <c r="F551" s="4"/>
      <c r="G551" s="4"/>
      <c r="H551" s="5"/>
      <c r="I551" s="146"/>
    </row>
    <row r="552" ht="12.0" customHeight="1">
      <c r="E552" s="4"/>
      <c r="F552" s="4"/>
      <c r="G552" s="4"/>
      <c r="H552" s="5"/>
      <c r="I552" s="146"/>
    </row>
    <row r="553" ht="12.0" customHeight="1">
      <c r="E553" s="4"/>
      <c r="F553" s="4"/>
      <c r="G553" s="4"/>
      <c r="H553" s="5"/>
      <c r="I553" s="146"/>
    </row>
    <row r="554" ht="12.0" customHeight="1">
      <c r="E554" s="4"/>
      <c r="F554" s="4"/>
      <c r="G554" s="4"/>
      <c r="H554" s="5"/>
      <c r="I554" s="146"/>
    </row>
    <row r="555" ht="12.0" customHeight="1">
      <c r="E555" s="4"/>
      <c r="F555" s="4"/>
      <c r="G555" s="4"/>
      <c r="H555" s="5"/>
      <c r="I555" s="146"/>
    </row>
    <row r="556" ht="12.0" customHeight="1">
      <c r="E556" s="4"/>
      <c r="F556" s="4"/>
      <c r="G556" s="4"/>
      <c r="H556" s="5"/>
      <c r="I556" s="146"/>
    </row>
    <row r="557" ht="12.0" customHeight="1">
      <c r="E557" s="4"/>
      <c r="F557" s="4"/>
      <c r="G557" s="4"/>
      <c r="H557" s="5"/>
      <c r="I557" s="146"/>
    </row>
    <row r="558" ht="12.0" customHeight="1">
      <c r="E558" s="4"/>
      <c r="F558" s="4"/>
      <c r="G558" s="4"/>
      <c r="H558" s="5"/>
      <c r="I558" s="146"/>
    </row>
    <row r="559" ht="12.0" customHeight="1">
      <c r="E559" s="4"/>
      <c r="F559" s="4"/>
      <c r="G559" s="4"/>
      <c r="H559" s="5"/>
      <c r="I559" s="146"/>
    </row>
    <row r="560" ht="12.0" customHeight="1">
      <c r="E560" s="4"/>
      <c r="F560" s="4"/>
      <c r="G560" s="4"/>
      <c r="H560" s="5"/>
      <c r="I560" s="146"/>
    </row>
    <row r="561" ht="12.0" customHeight="1">
      <c r="E561" s="4"/>
      <c r="F561" s="4"/>
      <c r="G561" s="4"/>
      <c r="H561" s="5"/>
      <c r="I561" s="146"/>
    </row>
    <row r="562" ht="12.0" customHeight="1">
      <c r="E562" s="4"/>
      <c r="F562" s="4"/>
      <c r="G562" s="4"/>
      <c r="H562" s="5"/>
      <c r="I562" s="146"/>
    </row>
    <row r="563" ht="12.0" customHeight="1">
      <c r="E563" s="4"/>
      <c r="F563" s="4"/>
      <c r="G563" s="4"/>
      <c r="H563" s="5"/>
      <c r="I563" s="146"/>
    </row>
    <row r="564" ht="12.0" customHeight="1">
      <c r="E564" s="4"/>
      <c r="F564" s="4"/>
      <c r="G564" s="4"/>
      <c r="H564" s="5"/>
      <c r="I564" s="146"/>
    </row>
    <row r="565" ht="12.0" customHeight="1">
      <c r="E565" s="4"/>
      <c r="F565" s="4"/>
      <c r="G565" s="4"/>
      <c r="H565" s="5"/>
      <c r="I565" s="146"/>
    </row>
    <row r="566" ht="12.0" customHeight="1">
      <c r="E566" s="4"/>
      <c r="F566" s="4"/>
      <c r="G566" s="4"/>
      <c r="H566" s="5"/>
      <c r="I566" s="146"/>
    </row>
    <row r="567" ht="12.0" customHeight="1">
      <c r="E567" s="4"/>
      <c r="F567" s="4"/>
      <c r="G567" s="4"/>
      <c r="H567" s="5"/>
      <c r="I567" s="146"/>
    </row>
    <row r="568" ht="12.0" customHeight="1">
      <c r="E568" s="4"/>
      <c r="F568" s="4"/>
      <c r="G568" s="4"/>
      <c r="H568" s="5"/>
      <c r="I568" s="146"/>
    </row>
    <row r="569" ht="12.0" customHeight="1">
      <c r="E569" s="4"/>
      <c r="F569" s="4"/>
      <c r="G569" s="4"/>
      <c r="H569" s="5"/>
      <c r="I569" s="146"/>
    </row>
    <row r="570" ht="12.0" customHeight="1">
      <c r="E570" s="4"/>
      <c r="F570" s="4"/>
      <c r="G570" s="4"/>
      <c r="H570" s="5"/>
      <c r="I570" s="146"/>
    </row>
    <row r="571" ht="12.0" customHeight="1">
      <c r="E571" s="4"/>
      <c r="F571" s="4"/>
      <c r="G571" s="4"/>
      <c r="H571" s="5"/>
      <c r="I571" s="146"/>
    </row>
    <row r="572" ht="12.0" customHeight="1">
      <c r="E572" s="4"/>
      <c r="F572" s="4"/>
      <c r="G572" s="4"/>
      <c r="H572" s="5"/>
      <c r="I572" s="146"/>
    </row>
    <row r="573" ht="12.0" customHeight="1">
      <c r="E573" s="4"/>
      <c r="F573" s="4"/>
      <c r="G573" s="4"/>
      <c r="H573" s="5"/>
      <c r="I573" s="146"/>
    </row>
    <row r="574" ht="12.0" customHeight="1">
      <c r="E574" s="4"/>
      <c r="F574" s="4"/>
      <c r="G574" s="4"/>
      <c r="H574" s="5"/>
      <c r="I574" s="146"/>
    </row>
    <row r="575" ht="12.0" customHeight="1">
      <c r="E575" s="4"/>
      <c r="F575" s="4"/>
      <c r="G575" s="4"/>
      <c r="H575" s="5"/>
      <c r="I575" s="146"/>
    </row>
    <row r="576" ht="12.0" customHeight="1">
      <c r="E576" s="4"/>
      <c r="F576" s="4"/>
      <c r="G576" s="4"/>
      <c r="H576" s="5"/>
      <c r="I576" s="146"/>
    </row>
    <row r="577" ht="12.0" customHeight="1">
      <c r="E577" s="4"/>
      <c r="F577" s="4"/>
      <c r="G577" s="4"/>
      <c r="H577" s="5"/>
      <c r="I577" s="146"/>
    </row>
    <row r="578" ht="12.0" customHeight="1">
      <c r="E578" s="4"/>
      <c r="F578" s="4"/>
      <c r="G578" s="4"/>
      <c r="H578" s="5"/>
      <c r="I578" s="146"/>
    </row>
    <row r="579" ht="12.0" customHeight="1">
      <c r="E579" s="4"/>
      <c r="F579" s="4"/>
      <c r="G579" s="4"/>
      <c r="H579" s="5"/>
      <c r="I579" s="146"/>
    </row>
    <row r="580" ht="12.0" customHeight="1">
      <c r="E580" s="4"/>
      <c r="F580" s="4"/>
      <c r="G580" s="4"/>
      <c r="H580" s="5"/>
      <c r="I580" s="146"/>
    </row>
    <row r="581" ht="12.0" customHeight="1">
      <c r="E581" s="4"/>
      <c r="F581" s="4"/>
      <c r="G581" s="4"/>
      <c r="H581" s="5"/>
      <c r="I581" s="146"/>
    </row>
    <row r="582" ht="12.0" customHeight="1">
      <c r="E582" s="4"/>
      <c r="F582" s="4"/>
      <c r="G582" s="4"/>
      <c r="H582" s="5"/>
      <c r="I582" s="146"/>
    </row>
    <row r="583" ht="12.0" customHeight="1">
      <c r="E583" s="4"/>
      <c r="F583" s="4"/>
      <c r="G583" s="4"/>
      <c r="H583" s="5"/>
      <c r="I583" s="146"/>
    </row>
    <row r="584" ht="12.0" customHeight="1">
      <c r="E584" s="4"/>
      <c r="F584" s="4"/>
      <c r="G584" s="4"/>
      <c r="H584" s="5"/>
      <c r="I584" s="146"/>
    </row>
    <row r="585" ht="12.0" customHeight="1">
      <c r="E585" s="4"/>
      <c r="F585" s="4"/>
      <c r="G585" s="4"/>
      <c r="H585" s="5"/>
      <c r="I585" s="146"/>
    </row>
    <row r="586" ht="12.0" customHeight="1">
      <c r="E586" s="4"/>
      <c r="F586" s="4"/>
      <c r="G586" s="4"/>
      <c r="H586" s="5"/>
      <c r="I586" s="146"/>
    </row>
    <row r="587" ht="12.0" customHeight="1">
      <c r="E587" s="4"/>
      <c r="F587" s="4"/>
      <c r="G587" s="4"/>
      <c r="H587" s="5"/>
      <c r="I587" s="146"/>
    </row>
    <row r="588" ht="12.0" customHeight="1">
      <c r="E588" s="4"/>
      <c r="F588" s="4"/>
      <c r="G588" s="4"/>
      <c r="H588" s="5"/>
      <c r="I588" s="146"/>
    </row>
    <row r="589" ht="12.0" customHeight="1">
      <c r="E589" s="4"/>
      <c r="F589" s="4"/>
      <c r="G589" s="4"/>
      <c r="H589" s="5"/>
      <c r="I589" s="146"/>
    </row>
    <row r="590" ht="12.0" customHeight="1">
      <c r="E590" s="4"/>
      <c r="F590" s="4"/>
      <c r="G590" s="4"/>
      <c r="H590" s="5"/>
      <c r="I590" s="146"/>
    </row>
    <row r="591" ht="12.0" customHeight="1">
      <c r="E591" s="4"/>
      <c r="F591" s="4"/>
      <c r="G591" s="4"/>
      <c r="H591" s="5"/>
      <c r="I591" s="146"/>
    </row>
    <row r="592" ht="12.0" customHeight="1">
      <c r="E592" s="4"/>
      <c r="F592" s="4"/>
      <c r="G592" s="4"/>
      <c r="H592" s="5"/>
      <c r="I592" s="146"/>
    </row>
    <row r="593" ht="12.0" customHeight="1">
      <c r="E593" s="4"/>
      <c r="F593" s="4"/>
      <c r="G593" s="4"/>
      <c r="H593" s="5"/>
      <c r="I593" s="146"/>
    </row>
    <row r="594" ht="12.0" customHeight="1">
      <c r="E594" s="4"/>
      <c r="F594" s="4"/>
      <c r="G594" s="4"/>
      <c r="H594" s="5"/>
      <c r="I594" s="146"/>
    </row>
    <row r="595" ht="12.0" customHeight="1">
      <c r="E595" s="4"/>
      <c r="F595" s="4"/>
      <c r="G595" s="4"/>
      <c r="H595" s="5"/>
      <c r="I595" s="146"/>
    </row>
    <row r="596" ht="12.0" customHeight="1">
      <c r="E596" s="4"/>
      <c r="F596" s="4"/>
      <c r="G596" s="4"/>
      <c r="H596" s="5"/>
      <c r="I596" s="146"/>
    </row>
    <row r="597" ht="12.0" customHeight="1">
      <c r="E597" s="4"/>
      <c r="F597" s="4"/>
      <c r="G597" s="4"/>
      <c r="H597" s="5"/>
      <c r="I597" s="146"/>
    </row>
    <row r="598" ht="12.0" customHeight="1">
      <c r="E598" s="4"/>
      <c r="F598" s="4"/>
      <c r="G598" s="4"/>
      <c r="H598" s="5"/>
      <c r="I598" s="146"/>
    </row>
    <row r="599" ht="12.0" customHeight="1">
      <c r="E599" s="4"/>
      <c r="F599" s="4"/>
      <c r="G599" s="4"/>
      <c r="H599" s="5"/>
      <c r="I599" s="146"/>
    </row>
    <row r="600" ht="12.0" customHeight="1">
      <c r="E600" s="4"/>
      <c r="F600" s="4"/>
      <c r="G600" s="4"/>
      <c r="H600" s="5"/>
      <c r="I600" s="146"/>
    </row>
    <row r="601" ht="12.0" customHeight="1">
      <c r="E601" s="4"/>
      <c r="F601" s="4"/>
      <c r="G601" s="4"/>
      <c r="H601" s="5"/>
      <c r="I601" s="146"/>
    </row>
    <row r="602" ht="12.0" customHeight="1">
      <c r="E602" s="4"/>
      <c r="F602" s="4"/>
      <c r="G602" s="4"/>
      <c r="H602" s="5"/>
      <c r="I602" s="146"/>
    </row>
    <row r="603" ht="12.0" customHeight="1">
      <c r="E603" s="4"/>
      <c r="F603" s="4"/>
      <c r="G603" s="4"/>
      <c r="H603" s="5"/>
      <c r="I603" s="146"/>
    </row>
    <row r="604" ht="12.0" customHeight="1">
      <c r="E604" s="4"/>
      <c r="F604" s="4"/>
      <c r="G604" s="4"/>
      <c r="H604" s="5"/>
      <c r="I604" s="146"/>
    </row>
    <row r="605" ht="12.0" customHeight="1">
      <c r="E605" s="4"/>
      <c r="F605" s="4"/>
      <c r="G605" s="4"/>
      <c r="H605" s="5"/>
      <c r="I605" s="146"/>
    </row>
    <row r="606" ht="12.0" customHeight="1">
      <c r="E606" s="4"/>
      <c r="F606" s="4"/>
      <c r="G606" s="4"/>
      <c r="H606" s="5"/>
      <c r="I606" s="146"/>
    </row>
    <row r="607" ht="12.0" customHeight="1">
      <c r="E607" s="4"/>
      <c r="F607" s="4"/>
      <c r="G607" s="4"/>
      <c r="H607" s="5"/>
      <c r="I607" s="146"/>
    </row>
    <row r="608" ht="12.0" customHeight="1">
      <c r="E608" s="4"/>
      <c r="F608" s="4"/>
      <c r="G608" s="4"/>
      <c r="H608" s="5"/>
      <c r="I608" s="146"/>
    </row>
    <row r="609" ht="12.0" customHeight="1">
      <c r="E609" s="4"/>
      <c r="F609" s="4"/>
      <c r="G609" s="4"/>
      <c r="H609" s="5"/>
      <c r="I609" s="146"/>
    </row>
    <row r="610" ht="12.0" customHeight="1">
      <c r="E610" s="4"/>
      <c r="F610" s="4"/>
      <c r="G610" s="4"/>
      <c r="H610" s="5"/>
      <c r="I610" s="146"/>
    </row>
    <row r="611" ht="12.0" customHeight="1">
      <c r="E611" s="4"/>
      <c r="F611" s="4"/>
      <c r="G611" s="4"/>
      <c r="H611" s="5"/>
      <c r="I611" s="146"/>
    </row>
    <row r="612" ht="12.0" customHeight="1">
      <c r="E612" s="4"/>
      <c r="F612" s="4"/>
      <c r="G612" s="4"/>
      <c r="H612" s="5"/>
      <c r="I612" s="146"/>
    </row>
    <row r="613" ht="12.0" customHeight="1">
      <c r="E613" s="4"/>
      <c r="F613" s="4"/>
      <c r="G613" s="4"/>
      <c r="H613" s="5"/>
      <c r="I613" s="146"/>
    </row>
    <row r="614" ht="12.0" customHeight="1">
      <c r="E614" s="4"/>
      <c r="F614" s="4"/>
      <c r="G614" s="4"/>
      <c r="H614" s="5"/>
      <c r="I614" s="146"/>
    </row>
    <row r="615" ht="12.0" customHeight="1">
      <c r="E615" s="4"/>
      <c r="F615" s="4"/>
      <c r="G615" s="4"/>
      <c r="H615" s="5"/>
      <c r="I615" s="146"/>
    </row>
    <row r="616" ht="12.0" customHeight="1">
      <c r="E616" s="4"/>
      <c r="F616" s="4"/>
      <c r="G616" s="4"/>
      <c r="H616" s="5"/>
      <c r="I616" s="146"/>
    </row>
    <row r="617" ht="12.0" customHeight="1">
      <c r="E617" s="4"/>
      <c r="F617" s="4"/>
      <c r="G617" s="4"/>
      <c r="H617" s="5"/>
      <c r="I617" s="146"/>
    </row>
    <row r="618" ht="12.0" customHeight="1">
      <c r="E618" s="4"/>
      <c r="F618" s="4"/>
      <c r="G618" s="4"/>
      <c r="H618" s="5"/>
      <c r="I618" s="146"/>
    </row>
    <row r="619" ht="12.0" customHeight="1">
      <c r="E619" s="4"/>
      <c r="F619" s="4"/>
      <c r="G619" s="4"/>
      <c r="H619" s="5"/>
      <c r="I619" s="146"/>
    </row>
    <row r="620" ht="12.0" customHeight="1">
      <c r="E620" s="4"/>
      <c r="F620" s="4"/>
      <c r="G620" s="4"/>
      <c r="H620" s="5"/>
      <c r="I620" s="146"/>
    </row>
    <row r="621" ht="12.0" customHeight="1">
      <c r="E621" s="4"/>
      <c r="F621" s="4"/>
      <c r="G621" s="4"/>
      <c r="H621" s="5"/>
      <c r="I621" s="146"/>
    </row>
    <row r="622" ht="12.0" customHeight="1">
      <c r="E622" s="4"/>
      <c r="F622" s="4"/>
      <c r="G622" s="4"/>
      <c r="H622" s="5"/>
      <c r="I622" s="146"/>
    </row>
    <row r="623" ht="12.0" customHeight="1">
      <c r="E623" s="4"/>
      <c r="F623" s="4"/>
      <c r="G623" s="4"/>
      <c r="H623" s="5"/>
      <c r="I623" s="146"/>
    </row>
    <row r="624" ht="12.0" customHeight="1">
      <c r="E624" s="4"/>
      <c r="F624" s="4"/>
      <c r="G624" s="4"/>
      <c r="H624" s="5"/>
      <c r="I624" s="146"/>
    </row>
    <row r="625" ht="12.0" customHeight="1">
      <c r="E625" s="4"/>
      <c r="F625" s="4"/>
      <c r="G625" s="4"/>
      <c r="H625" s="5"/>
      <c r="I625" s="146"/>
    </row>
    <row r="626" ht="12.0" customHeight="1">
      <c r="E626" s="4"/>
      <c r="F626" s="4"/>
      <c r="G626" s="4"/>
      <c r="H626" s="5"/>
      <c r="I626" s="146"/>
    </row>
    <row r="627" ht="12.0" customHeight="1">
      <c r="E627" s="4"/>
      <c r="F627" s="4"/>
      <c r="G627" s="4"/>
      <c r="H627" s="5"/>
      <c r="I627" s="146"/>
    </row>
    <row r="628" ht="12.0" customHeight="1">
      <c r="E628" s="4"/>
      <c r="F628" s="4"/>
      <c r="G628" s="4"/>
      <c r="H628" s="5"/>
      <c r="I628" s="146"/>
    </row>
    <row r="629" ht="12.0" customHeight="1">
      <c r="E629" s="4"/>
      <c r="F629" s="4"/>
      <c r="G629" s="4"/>
      <c r="H629" s="5"/>
      <c r="I629" s="146"/>
    </row>
    <row r="630" ht="12.0" customHeight="1">
      <c r="E630" s="4"/>
      <c r="F630" s="4"/>
      <c r="G630" s="4"/>
      <c r="H630" s="5"/>
      <c r="I630" s="146"/>
    </row>
    <row r="631" ht="12.0" customHeight="1">
      <c r="E631" s="4"/>
      <c r="F631" s="4"/>
      <c r="G631" s="4"/>
      <c r="H631" s="5"/>
      <c r="I631" s="146"/>
    </row>
    <row r="632" ht="12.0" customHeight="1">
      <c r="E632" s="4"/>
      <c r="F632" s="4"/>
      <c r="G632" s="4"/>
      <c r="H632" s="5"/>
      <c r="I632" s="146"/>
    </row>
    <row r="633" ht="12.0" customHeight="1">
      <c r="E633" s="4"/>
      <c r="F633" s="4"/>
      <c r="G633" s="4"/>
      <c r="H633" s="5"/>
      <c r="I633" s="146"/>
    </row>
    <row r="634" ht="12.0" customHeight="1">
      <c r="E634" s="4"/>
      <c r="F634" s="4"/>
      <c r="G634" s="4"/>
      <c r="H634" s="5"/>
      <c r="I634" s="146"/>
    </row>
    <row r="635" ht="12.0" customHeight="1">
      <c r="E635" s="4"/>
      <c r="F635" s="4"/>
      <c r="G635" s="4"/>
      <c r="H635" s="5"/>
      <c r="I635" s="146"/>
    </row>
    <row r="636" ht="12.0" customHeight="1">
      <c r="E636" s="4"/>
      <c r="F636" s="4"/>
      <c r="G636" s="4"/>
      <c r="H636" s="5"/>
      <c r="I636" s="146"/>
    </row>
    <row r="637" ht="12.0" customHeight="1">
      <c r="E637" s="4"/>
      <c r="F637" s="4"/>
      <c r="G637" s="4"/>
      <c r="H637" s="5"/>
      <c r="I637" s="146"/>
    </row>
    <row r="638" ht="12.0" customHeight="1">
      <c r="E638" s="4"/>
      <c r="F638" s="4"/>
      <c r="G638" s="4"/>
      <c r="H638" s="5"/>
      <c r="I638" s="146"/>
    </row>
    <row r="639" ht="12.0" customHeight="1">
      <c r="E639" s="4"/>
      <c r="F639" s="4"/>
      <c r="G639" s="4"/>
      <c r="H639" s="5"/>
      <c r="I639" s="146"/>
    </row>
    <row r="640" ht="12.0" customHeight="1">
      <c r="E640" s="4"/>
      <c r="F640" s="4"/>
      <c r="G640" s="4"/>
      <c r="H640" s="5"/>
      <c r="I640" s="146"/>
    </row>
    <row r="641" ht="12.0" customHeight="1">
      <c r="E641" s="4"/>
      <c r="F641" s="4"/>
      <c r="G641" s="4"/>
      <c r="H641" s="5"/>
      <c r="I641" s="146"/>
    </row>
    <row r="642" ht="12.0" customHeight="1">
      <c r="E642" s="4"/>
      <c r="F642" s="4"/>
      <c r="G642" s="4"/>
      <c r="H642" s="5"/>
      <c r="I642" s="146"/>
    </row>
    <row r="643" ht="12.0" customHeight="1">
      <c r="E643" s="4"/>
      <c r="F643" s="4"/>
      <c r="G643" s="4"/>
      <c r="H643" s="5"/>
      <c r="I643" s="146"/>
    </row>
    <row r="644" ht="12.0" customHeight="1">
      <c r="E644" s="4"/>
      <c r="F644" s="4"/>
      <c r="G644" s="4"/>
      <c r="H644" s="5"/>
      <c r="I644" s="146"/>
    </row>
    <row r="645" ht="12.0" customHeight="1">
      <c r="E645" s="4"/>
      <c r="F645" s="4"/>
      <c r="G645" s="4"/>
      <c r="H645" s="5"/>
      <c r="I645" s="146"/>
    </row>
    <row r="646" ht="12.0" customHeight="1">
      <c r="E646" s="4"/>
      <c r="F646" s="4"/>
      <c r="G646" s="4"/>
      <c r="H646" s="5"/>
      <c r="I646" s="146"/>
    </row>
    <row r="647" ht="12.0" customHeight="1">
      <c r="E647" s="4"/>
      <c r="F647" s="4"/>
      <c r="G647" s="4"/>
      <c r="H647" s="5"/>
      <c r="I647" s="146"/>
    </row>
    <row r="648" ht="12.0" customHeight="1">
      <c r="E648" s="4"/>
      <c r="F648" s="4"/>
      <c r="G648" s="4"/>
      <c r="H648" s="5"/>
      <c r="I648" s="146"/>
    </row>
    <row r="649" ht="12.0" customHeight="1">
      <c r="E649" s="4"/>
      <c r="F649" s="4"/>
      <c r="G649" s="4"/>
      <c r="H649" s="5"/>
      <c r="I649" s="146"/>
    </row>
    <row r="650" ht="12.0" customHeight="1">
      <c r="E650" s="4"/>
      <c r="F650" s="4"/>
      <c r="G650" s="4"/>
      <c r="H650" s="5"/>
      <c r="I650" s="146"/>
    </row>
    <row r="651" ht="12.0" customHeight="1">
      <c r="E651" s="4"/>
      <c r="F651" s="4"/>
      <c r="G651" s="4"/>
      <c r="H651" s="5"/>
      <c r="I651" s="146"/>
    </row>
    <row r="652" ht="12.0" customHeight="1">
      <c r="E652" s="4"/>
      <c r="F652" s="4"/>
      <c r="G652" s="4"/>
      <c r="H652" s="5"/>
      <c r="I652" s="146"/>
    </row>
    <row r="653" ht="12.0" customHeight="1">
      <c r="E653" s="4"/>
      <c r="F653" s="4"/>
      <c r="G653" s="4"/>
      <c r="H653" s="5"/>
      <c r="I653" s="146"/>
    </row>
    <row r="654" ht="12.0" customHeight="1">
      <c r="E654" s="4"/>
      <c r="F654" s="4"/>
      <c r="G654" s="4"/>
      <c r="H654" s="5"/>
      <c r="I654" s="146"/>
    </row>
    <row r="655" ht="12.0" customHeight="1">
      <c r="E655" s="4"/>
      <c r="F655" s="4"/>
      <c r="G655" s="4"/>
      <c r="H655" s="5"/>
      <c r="I655" s="146"/>
    </row>
    <row r="656" ht="12.0" customHeight="1">
      <c r="E656" s="4"/>
      <c r="F656" s="4"/>
      <c r="G656" s="4"/>
      <c r="H656" s="5"/>
      <c r="I656" s="146"/>
    </row>
    <row r="657" ht="12.0" customHeight="1">
      <c r="E657" s="4"/>
      <c r="F657" s="4"/>
      <c r="G657" s="4"/>
      <c r="H657" s="5"/>
      <c r="I657" s="146"/>
    </row>
    <row r="658" ht="12.0" customHeight="1">
      <c r="E658" s="4"/>
      <c r="F658" s="4"/>
      <c r="G658" s="4"/>
      <c r="H658" s="5"/>
      <c r="I658" s="146"/>
    </row>
    <row r="659" ht="12.0" customHeight="1">
      <c r="E659" s="4"/>
      <c r="F659" s="4"/>
      <c r="G659" s="4"/>
      <c r="H659" s="5"/>
      <c r="I659" s="146"/>
    </row>
    <row r="660" ht="12.0" customHeight="1">
      <c r="E660" s="4"/>
      <c r="F660" s="4"/>
      <c r="G660" s="4"/>
      <c r="H660" s="5"/>
      <c r="I660" s="146"/>
    </row>
    <row r="661" ht="12.0" customHeight="1">
      <c r="E661" s="4"/>
      <c r="F661" s="4"/>
      <c r="G661" s="4"/>
      <c r="H661" s="5"/>
      <c r="I661" s="146"/>
    </row>
    <row r="662" ht="12.0" customHeight="1">
      <c r="E662" s="4"/>
      <c r="F662" s="4"/>
      <c r="G662" s="4"/>
      <c r="H662" s="5"/>
      <c r="I662" s="146"/>
    </row>
    <row r="663" ht="12.0" customHeight="1">
      <c r="E663" s="4"/>
      <c r="F663" s="4"/>
      <c r="G663" s="4"/>
      <c r="H663" s="5"/>
      <c r="I663" s="146"/>
    </row>
    <row r="664" ht="12.0" customHeight="1">
      <c r="E664" s="4"/>
      <c r="F664" s="4"/>
      <c r="G664" s="4"/>
      <c r="H664" s="5"/>
      <c r="I664" s="146"/>
    </row>
    <row r="665" ht="12.0" customHeight="1">
      <c r="E665" s="4"/>
      <c r="F665" s="4"/>
      <c r="G665" s="4"/>
      <c r="H665" s="5"/>
      <c r="I665" s="146"/>
    </row>
    <row r="666" ht="12.0" customHeight="1">
      <c r="E666" s="4"/>
      <c r="F666" s="4"/>
      <c r="G666" s="4"/>
      <c r="H666" s="5"/>
      <c r="I666" s="146"/>
    </row>
    <row r="667" ht="12.0" customHeight="1">
      <c r="E667" s="4"/>
      <c r="F667" s="4"/>
      <c r="G667" s="4"/>
      <c r="H667" s="5"/>
      <c r="I667" s="146"/>
    </row>
    <row r="668" ht="12.0" customHeight="1">
      <c r="E668" s="4"/>
      <c r="F668" s="4"/>
      <c r="G668" s="4"/>
      <c r="H668" s="5"/>
      <c r="I668" s="146"/>
    </row>
    <row r="669" ht="12.0" customHeight="1">
      <c r="E669" s="4"/>
      <c r="F669" s="4"/>
      <c r="G669" s="4"/>
      <c r="H669" s="5"/>
      <c r="I669" s="146"/>
    </row>
    <row r="670" ht="12.0" customHeight="1">
      <c r="E670" s="4"/>
      <c r="F670" s="4"/>
      <c r="G670" s="4"/>
      <c r="H670" s="5"/>
      <c r="I670" s="146"/>
    </row>
    <row r="671" ht="12.0" customHeight="1">
      <c r="E671" s="4"/>
      <c r="F671" s="4"/>
      <c r="G671" s="4"/>
      <c r="H671" s="5"/>
      <c r="I671" s="146"/>
    </row>
    <row r="672" ht="12.0" customHeight="1">
      <c r="E672" s="4"/>
      <c r="F672" s="4"/>
      <c r="G672" s="4"/>
      <c r="H672" s="5"/>
      <c r="I672" s="146"/>
    </row>
    <row r="673" ht="12.0" customHeight="1">
      <c r="E673" s="4"/>
      <c r="F673" s="4"/>
      <c r="G673" s="4"/>
      <c r="H673" s="5"/>
      <c r="I673" s="146"/>
    </row>
    <row r="674" ht="12.0" customHeight="1">
      <c r="E674" s="4"/>
      <c r="F674" s="4"/>
      <c r="G674" s="4"/>
      <c r="H674" s="5"/>
      <c r="I674" s="146"/>
    </row>
    <row r="675" ht="12.0" customHeight="1">
      <c r="E675" s="4"/>
      <c r="F675" s="4"/>
      <c r="G675" s="4"/>
      <c r="H675" s="5"/>
      <c r="I675" s="146"/>
    </row>
    <row r="676" ht="12.0" customHeight="1">
      <c r="E676" s="4"/>
      <c r="F676" s="4"/>
      <c r="G676" s="4"/>
      <c r="H676" s="5"/>
      <c r="I676" s="146"/>
    </row>
    <row r="677" ht="12.0" customHeight="1">
      <c r="E677" s="4"/>
      <c r="F677" s="4"/>
      <c r="G677" s="4"/>
      <c r="H677" s="5"/>
      <c r="I677" s="146"/>
    </row>
    <row r="678" ht="12.0" customHeight="1">
      <c r="E678" s="4"/>
      <c r="F678" s="4"/>
      <c r="G678" s="4"/>
      <c r="H678" s="5"/>
      <c r="I678" s="146"/>
    </row>
    <row r="679" ht="12.0" customHeight="1">
      <c r="E679" s="4"/>
      <c r="F679" s="4"/>
      <c r="G679" s="4"/>
      <c r="H679" s="5"/>
      <c r="I679" s="146"/>
    </row>
    <row r="680" ht="12.0" customHeight="1">
      <c r="E680" s="4"/>
      <c r="F680" s="4"/>
      <c r="G680" s="4"/>
      <c r="H680" s="5"/>
      <c r="I680" s="146"/>
    </row>
    <row r="681" ht="12.0" customHeight="1">
      <c r="E681" s="4"/>
      <c r="F681" s="4"/>
      <c r="G681" s="4"/>
      <c r="H681" s="5"/>
      <c r="I681" s="146"/>
    </row>
    <row r="682" ht="12.0" customHeight="1">
      <c r="E682" s="4"/>
      <c r="F682" s="4"/>
      <c r="G682" s="4"/>
      <c r="H682" s="5"/>
      <c r="I682" s="146"/>
    </row>
    <row r="683" ht="12.0" customHeight="1">
      <c r="E683" s="4"/>
      <c r="F683" s="4"/>
      <c r="G683" s="4"/>
      <c r="H683" s="5"/>
      <c r="I683" s="146"/>
    </row>
    <row r="684" ht="12.0" customHeight="1">
      <c r="E684" s="4"/>
      <c r="F684" s="4"/>
      <c r="G684" s="4"/>
      <c r="H684" s="5"/>
      <c r="I684" s="146"/>
    </row>
    <row r="685" ht="12.0" customHeight="1">
      <c r="E685" s="4"/>
      <c r="F685" s="4"/>
      <c r="G685" s="4"/>
      <c r="H685" s="5"/>
      <c r="I685" s="146"/>
    </row>
    <row r="686" ht="12.0" customHeight="1">
      <c r="E686" s="4"/>
      <c r="F686" s="4"/>
      <c r="G686" s="4"/>
      <c r="H686" s="5"/>
      <c r="I686" s="146"/>
    </row>
    <row r="687" ht="12.0" customHeight="1">
      <c r="E687" s="4"/>
      <c r="F687" s="4"/>
      <c r="G687" s="4"/>
      <c r="H687" s="5"/>
      <c r="I687" s="146"/>
    </row>
    <row r="688" ht="12.0" customHeight="1">
      <c r="E688" s="4"/>
      <c r="F688" s="4"/>
      <c r="G688" s="4"/>
      <c r="H688" s="5"/>
      <c r="I688" s="146"/>
    </row>
    <row r="689" ht="12.0" customHeight="1">
      <c r="E689" s="4"/>
      <c r="F689" s="4"/>
      <c r="G689" s="4"/>
      <c r="H689" s="5"/>
      <c r="I689" s="146"/>
    </row>
    <row r="690" ht="12.0" customHeight="1">
      <c r="E690" s="4"/>
      <c r="F690" s="4"/>
      <c r="G690" s="4"/>
      <c r="H690" s="5"/>
      <c r="I690" s="146"/>
    </row>
    <row r="691" ht="12.0" customHeight="1">
      <c r="E691" s="4"/>
      <c r="F691" s="4"/>
      <c r="G691" s="4"/>
      <c r="H691" s="5"/>
      <c r="I691" s="146"/>
    </row>
    <row r="692" ht="12.0" customHeight="1">
      <c r="E692" s="4"/>
      <c r="F692" s="4"/>
      <c r="G692" s="4"/>
      <c r="H692" s="5"/>
      <c r="I692" s="146"/>
    </row>
    <row r="693" ht="12.0" customHeight="1">
      <c r="E693" s="4"/>
      <c r="F693" s="4"/>
      <c r="G693" s="4"/>
      <c r="H693" s="5"/>
      <c r="I693" s="146"/>
    </row>
    <row r="694" ht="12.0" customHeight="1">
      <c r="E694" s="4"/>
      <c r="F694" s="4"/>
      <c r="G694" s="4"/>
      <c r="H694" s="5"/>
      <c r="I694" s="146"/>
    </row>
    <row r="695" ht="12.0" customHeight="1">
      <c r="E695" s="4"/>
      <c r="F695" s="4"/>
      <c r="G695" s="4"/>
      <c r="H695" s="5"/>
      <c r="I695" s="146"/>
    </row>
    <row r="696" ht="12.0" customHeight="1">
      <c r="E696" s="4"/>
      <c r="F696" s="4"/>
      <c r="G696" s="4"/>
      <c r="H696" s="5"/>
      <c r="I696" s="146"/>
    </row>
    <row r="697" ht="12.0" customHeight="1">
      <c r="E697" s="4"/>
      <c r="F697" s="4"/>
      <c r="G697" s="4"/>
      <c r="H697" s="5"/>
      <c r="I697" s="146"/>
    </row>
    <row r="698" ht="12.0" customHeight="1">
      <c r="E698" s="4"/>
      <c r="F698" s="4"/>
      <c r="G698" s="4"/>
      <c r="H698" s="5"/>
      <c r="I698" s="146"/>
    </row>
    <row r="699" ht="12.0" customHeight="1">
      <c r="E699" s="4"/>
      <c r="F699" s="4"/>
      <c r="G699" s="4"/>
      <c r="H699" s="5"/>
      <c r="I699" s="146"/>
    </row>
    <row r="700" ht="12.0" customHeight="1">
      <c r="E700" s="4"/>
      <c r="F700" s="4"/>
      <c r="G700" s="4"/>
      <c r="H700" s="5"/>
      <c r="I700" s="146"/>
    </row>
    <row r="701" ht="12.0" customHeight="1">
      <c r="E701" s="4"/>
      <c r="F701" s="4"/>
      <c r="G701" s="4"/>
      <c r="H701" s="5"/>
      <c r="I701" s="146"/>
    </row>
    <row r="702" ht="12.0" customHeight="1">
      <c r="E702" s="4"/>
      <c r="F702" s="4"/>
      <c r="G702" s="4"/>
      <c r="H702" s="5"/>
      <c r="I702" s="146"/>
    </row>
    <row r="703" ht="12.0" customHeight="1">
      <c r="E703" s="4"/>
      <c r="F703" s="4"/>
      <c r="G703" s="4"/>
      <c r="H703" s="5"/>
      <c r="I703" s="146"/>
    </row>
    <row r="704" ht="12.0" customHeight="1">
      <c r="E704" s="4"/>
      <c r="F704" s="4"/>
      <c r="G704" s="4"/>
      <c r="H704" s="5"/>
      <c r="I704" s="146"/>
    </row>
    <row r="705" ht="12.0" customHeight="1">
      <c r="E705" s="4"/>
      <c r="F705" s="4"/>
      <c r="G705" s="4"/>
      <c r="H705" s="5"/>
      <c r="I705" s="146"/>
    </row>
    <row r="706" ht="12.0" customHeight="1">
      <c r="E706" s="4"/>
      <c r="F706" s="4"/>
      <c r="G706" s="4"/>
      <c r="H706" s="5"/>
      <c r="I706" s="146"/>
    </row>
    <row r="707" ht="12.0" customHeight="1">
      <c r="E707" s="4"/>
      <c r="F707" s="4"/>
      <c r="G707" s="4"/>
      <c r="H707" s="5"/>
      <c r="I707" s="146"/>
    </row>
    <row r="708" ht="12.0" customHeight="1">
      <c r="E708" s="4"/>
      <c r="F708" s="4"/>
      <c r="G708" s="4"/>
      <c r="H708" s="5"/>
      <c r="I708" s="146"/>
    </row>
    <row r="709" ht="12.0" customHeight="1">
      <c r="E709" s="4"/>
      <c r="F709" s="4"/>
      <c r="G709" s="4"/>
      <c r="H709" s="5"/>
      <c r="I709" s="146"/>
    </row>
    <row r="710" ht="12.0" customHeight="1">
      <c r="E710" s="4"/>
      <c r="F710" s="4"/>
      <c r="G710" s="4"/>
      <c r="H710" s="5"/>
      <c r="I710" s="146"/>
    </row>
    <row r="711" ht="12.0" customHeight="1">
      <c r="E711" s="4"/>
      <c r="F711" s="4"/>
      <c r="G711" s="4"/>
      <c r="H711" s="5"/>
      <c r="I711" s="146"/>
    </row>
    <row r="712" ht="12.0" customHeight="1">
      <c r="E712" s="4"/>
      <c r="F712" s="4"/>
      <c r="G712" s="4"/>
      <c r="H712" s="5"/>
      <c r="I712" s="146"/>
    </row>
    <row r="713" ht="12.0" customHeight="1">
      <c r="E713" s="4"/>
      <c r="F713" s="4"/>
      <c r="G713" s="4"/>
      <c r="H713" s="5"/>
      <c r="I713" s="146"/>
    </row>
    <row r="714" ht="12.0" customHeight="1">
      <c r="E714" s="4"/>
      <c r="F714" s="4"/>
      <c r="G714" s="4"/>
      <c r="H714" s="5"/>
      <c r="I714" s="146"/>
    </row>
    <row r="715" ht="12.0" customHeight="1">
      <c r="E715" s="4"/>
      <c r="F715" s="4"/>
      <c r="G715" s="4"/>
      <c r="H715" s="5"/>
      <c r="I715" s="146"/>
    </row>
    <row r="716" ht="12.0" customHeight="1">
      <c r="E716" s="4"/>
      <c r="F716" s="4"/>
      <c r="G716" s="4"/>
      <c r="H716" s="5"/>
      <c r="I716" s="146"/>
    </row>
    <row r="717" ht="12.0" customHeight="1">
      <c r="E717" s="4"/>
      <c r="F717" s="4"/>
      <c r="G717" s="4"/>
      <c r="H717" s="5"/>
      <c r="I717" s="146"/>
    </row>
    <row r="718" ht="12.0" customHeight="1">
      <c r="E718" s="4"/>
      <c r="F718" s="4"/>
      <c r="G718" s="4"/>
      <c r="H718" s="5"/>
      <c r="I718" s="146"/>
    </row>
    <row r="719" ht="12.0" customHeight="1">
      <c r="E719" s="4"/>
      <c r="F719" s="4"/>
      <c r="G719" s="4"/>
      <c r="H719" s="5"/>
      <c r="I719" s="146"/>
    </row>
    <row r="720" ht="12.0" customHeight="1">
      <c r="E720" s="4"/>
      <c r="F720" s="4"/>
      <c r="G720" s="4"/>
      <c r="H720" s="5"/>
      <c r="I720" s="146"/>
    </row>
    <row r="721" ht="12.0" customHeight="1">
      <c r="E721" s="4"/>
      <c r="F721" s="4"/>
      <c r="G721" s="4"/>
      <c r="H721" s="5"/>
      <c r="I721" s="146"/>
    </row>
    <row r="722" ht="12.0" customHeight="1">
      <c r="E722" s="4"/>
      <c r="F722" s="4"/>
      <c r="G722" s="4"/>
      <c r="H722" s="5"/>
      <c r="I722" s="146"/>
    </row>
    <row r="723" ht="12.0" customHeight="1">
      <c r="E723" s="4"/>
      <c r="F723" s="4"/>
      <c r="G723" s="4"/>
      <c r="H723" s="5"/>
      <c r="I723" s="146"/>
    </row>
    <row r="724" ht="12.0" customHeight="1">
      <c r="E724" s="4"/>
      <c r="F724" s="4"/>
      <c r="G724" s="4"/>
      <c r="H724" s="5"/>
      <c r="I724" s="146"/>
    </row>
    <row r="725" ht="12.0" customHeight="1">
      <c r="E725" s="4"/>
      <c r="F725" s="4"/>
      <c r="G725" s="4"/>
      <c r="H725" s="5"/>
      <c r="I725" s="146"/>
    </row>
    <row r="726" ht="12.0" customHeight="1">
      <c r="E726" s="4"/>
      <c r="F726" s="4"/>
      <c r="G726" s="4"/>
      <c r="H726" s="5"/>
      <c r="I726" s="146"/>
    </row>
    <row r="727" ht="12.0" customHeight="1">
      <c r="E727" s="4"/>
      <c r="F727" s="4"/>
      <c r="G727" s="4"/>
      <c r="H727" s="5"/>
      <c r="I727" s="146"/>
    </row>
    <row r="728" ht="12.0" customHeight="1">
      <c r="E728" s="4"/>
      <c r="F728" s="4"/>
      <c r="G728" s="4"/>
      <c r="H728" s="5"/>
      <c r="I728" s="146"/>
    </row>
    <row r="729" ht="12.0" customHeight="1">
      <c r="E729" s="4"/>
      <c r="F729" s="4"/>
      <c r="G729" s="4"/>
      <c r="H729" s="5"/>
      <c r="I729" s="146"/>
    </row>
    <row r="730" ht="12.0" customHeight="1">
      <c r="E730" s="4"/>
      <c r="F730" s="4"/>
      <c r="G730" s="4"/>
      <c r="H730" s="5"/>
      <c r="I730" s="146"/>
    </row>
    <row r="731" ht="12.0" customHeight="1">
      <c r="E731" s="4"/>
      <c r="F731" s="4"/>
      <c r="G731" s="4"/>
      <c r="H731" s="5"/>
      <c r="I731" s="146"/>
    </row>
    <row r="732" ht="12.0" customHeight="1">
      <c r="E732" s="4"/>
      <c r="F732" s="4"/>
      <c r="G732" s="4"/>
      <c r="H732" s="5"/>
      <c r="I732" s="146"/>
    </row>
    <row r="733" ht="12.0" customHeight="1">
      <c r="E733" s="4"/>
      <c r="F733" s="4"/>
      <c r="G733" s="4"/>
      <c r="H733" s="5"/>
      <c r="I733" s="146"/>
    </row>
    <row r="734" ht="12.0" customHeight="1">
      <c r="E734" s="4"/>
      <c r="F734" s="4"/>
      <c r="G734" s="4"/>
      <c r="H734" s="5"/>
      <c r="I734" s="146"/>
    </row>
    <row r="735" ht="12.0" customHeight="1">
      <c r="E735" s="4"/>
      <c r="F735" s="4"/>
      <c r="G735" s="4"/>
      <c r="H735" s="5"/>
      <c r="I735" s="146"/>
    </row>
    <row r="736" ht="12.0" customHeight="1">
      <c r="E736" s="4"/>
      <c r="F736" s="4"/>
      <c r="G736" s="4"/>
      <c r="H736" s="5"/>
      <c r="I736" s="146"/>
    </row>
    <row r="737" ht="12.0" customHeight="1">
      <c r="E737" s="4"/>
      <c r="F737" s="4"/>
      <c r="G737" s="4"/>
      <c r="H737" s="5"/>
      <c r="I737" s="146"/>
    </row>
    <row r="738" ht="12.0" customHeight="1">
      <c r="E738" s="4"/>
      <c r="F738" s="4"/>
      <c r="G738" s="4"/>
      <c r="H738" s="5"/>
      <c r="I738" s="146"/>
    </row>
    <row r="739" ht="12.0" customHeight="1">
      <c r="E739" s="4"/>
      <c r="F739" s="4"/>
      <c r="G739" s="4"/>
      <c r="H739" s="5"/>
      <c r="I739" s="146"/>
    </row>
    <row r="740" ht="12.0" customHeight="1">
      <c r="E740" s="4"/>
      <c r="F740" s="4"/>
      <c r="G740" s="4"/>
      <c r="H740" s="5"/>
      <c r="I740" s="146"/>
    </row>
    <row r="741" ht="12.0" customHeight="1">
      <c r="E741" s="4"/>
      <c r="F741" s="4"/>
      <c r="G741" s="4"/>
      <c r="H741" s="5"/>
      <c r="I741" s="146"/>
    </row>
    <row r="742" ht="12.0" customHeight="1">
      <c r="E742" s="4"/>
      <c r="F742" s="4"/>
      <c r="G742" s="4"/>
      <c r="H742" s="5"/>
      <c r="I742" s="146"/>
    </row>
    <row r="743" ht="12.0" customHeight="1">
      <c r="E743" s="4"/>
      <c r="F743" s="4"/>
      <c r="G743" s="4"/>
      <c r="H743" s="5"/>
      <c r="I743" s="146"/>
    </row>
    <row r="744" ht="12.0" customHeight="1">
      <c r="E744" s="4"/>
      <c r="F744" s="4"/>
      <c r="G744" s="4"/>
      <c r="H744" s="5"/>
      <c r="I744" s="146"/>
    </row>
    <row r="745" ht="12.0" customHeight="1">
      <c r="E745" s="4"/>
      <c r="F745" s="4"/>
      <c r="G745" s="4"/>
      <c r="H745" s="5"/>
      <c r="I745" s="146"/>
    </row>
    <row r="746" ht="12.0" customHeight="1">
      <c r="E746" s="4"/>
      <c r="F746" s="4"/>
      <c r="G746" s="4"/>
      <c r="H746" s="5"/>
      <c r="I746" s="146"/>
    </row>
    <row r="747" ht="12.0" customHeight="1">
      <c r="E747" s="4"/>
      <c r="F747" s="4"/>
      <c r="G747" s="4"/>
      <c r="H747" s="5"/>
      <c r="I747" s="146"/>
    </row>
    <row r="748" ht="12.0" customHeight="1">
      <c r="E748" s="4"/>
      <c r="F748" s="4"/>
      <c r="G748" s="4"/>
      <c r="H748" s="5"/>
      <c r="I748" s="146"/>
    </row>
    <row r="749" ht="12.0" customHeight="1">
      <c r="E749" s="4"/>
      <c r="F749" s="4"/>
      <c r="G749" s="4"/>
      <c r="H749" s="5"/>
      <c r="I749" s="146"/>
    </row>
    <row r="750" ht="12.0" customHeight="1">
      <c r="E750" s="4"/>
      <c r="F750" s="4"/>
      <c r="G750" s="4"/>
      <c r="H750" s="5"/>
      <c r="I750" s="146"/>
    </row>
    <row r="751" ht="12.0" customHeight="1">
      <c r="E751" s="4"/>
      <c r="F751" s="4"/>
      <c r="G751" s="4"/>
      <c r="H751" s="5"/>
      <c r="I751" s="146"/>
    </row>
    <row r="752" ht="12.0" customHeight="1">
      <c r="E752" s="4"/>
      <c r="F752" s="4"/>
      <c r="G752" s="4"/>
      <c r="H752" s="5"/>
      <c r="I752" s="146"/>
    </row>
    <row r="753" ht="12.0" customHeight="1">
      <c r="E753" s="4"/>
      <c r="F753" s="4"/>
      <c r="G753" s="4"/>
      <c r="H753" s="5"/>
      <c r="I753" s="146"/>
    </row>
    <row r="754" ht="12.0" customHeight="1">
      <c r="E754" s="4"/>
      <c r="F754" s="4"/>
      <c r="G754" s="4"/>
      <c r="H754" s="5"/>
      <c r="I754" s="146"/>
    </row>
    <row r="755" ht="12.0" customHeight="1">
      <c r="E755" s="4"/>
      <c r="F755" s="4"/>
      <c r="G755" s="4"/>
      <c r="H755" s="5"/>
      <c r="I755" s="146"/>
    </row>
    <row r="756" ht="12.0" customHeight="1">
      <c r="E756" s="4"/>
      <c r="F756" s="4"/>
      <c r="G756" s="4"/>
      <c r="H756" s="5"/>
      <c r="I756" s="146"/>
    </row>
    <row r="757" ht="12.0" customHeight="1">
      <c r="E757" s="4"/>
      <c r="F757" s="4"/>
      <c r="G757" s="4"/>
      <c r="H757" s="5"/>
      <c r="I757" s="146"/>
    </row>
    <row r="758" ht="12.0" customHeight="1">
      <c r="E758" s="4"/>
      <c r="F758" s="4"/>
      <c r="G758" s="4"/>
      <c r="H758" s="5"/>
      <c r="I758" s="146"/>
    </row>
    <row r="759" ht="12.0" customHeight="1">
      <c r="E759" s="4"/>
      <c r="F759" s="4"/>
      <c r="G759" s="4"/>
      <c r="H759" s="5"/>
      <c r="I759" s="146"/>
    </row>
    <row r="760" ht="12.0" customHeight="1">
      <c r="E760" s="4"/>
      <c r="F760" s="4"/>
      <c r="G760" s="4"/>
      <c r="H760" s="5"/>
      <c r="I760" s="146"/>
    </row>
    <row r="761" ht="12.0" customHeight="1">
      <c r="E761" s="4"/>
      <c r="F761" s="4"/>
      <c r="G761" s="4"/>
      <c r="H761" s="5"/>
      <c r="I761" s="146"/>
    </row>
    <row r="762" ht="12.0" customHeight="1">
      <c r="E762" s="4"/>
      <c r="F762" s="4"/>
      <c r="G762" s="4"/>
      <c r="H762" s="5"/>
      <c r="I762" s="146"/>
    </row>
    <row r="763" ht="12.0" customHeight="1">
      <c r="E763" s="4"/>
      <c r="F763" s="4"/>
      <c r="G763" s="4"/>
      <c r="H763" s="5"/>
      <c r="I763" s="146"/>
    </row>
    <row r="764" ht="12.0" customHeight="1">
      <c r="E764" s="4"/>
      <c r="F764" s="4"/>
      <c r="G764" s="4"/>
      <c r="H764" s="5"/>
      <c r="I764" s="146"/>
    </row>
    <row r="765" ht="12.0" customHeight="1">
      <c r="E765" s="4"/>
      <c r="F765" s="4"/>
      <c r="G765" s="4"/>
      <c r="H765" s="5"/>
      <c r="I765" s="146"/>
    </row>
    <row r="766" ht="12.0" customHeight="1">
      <c r="E766" s="4"/>
      <c r="F766" s="4"/>
      <c r="G766" s="4"/>
      <c r="H766" s="5"/>
      <c r="I766" s="146"/>
    </row>
    <row r="767" ht="12.0" customHeight="1">
      <c r="E767" s="4"/>
      <c r="F767" s="4"/>
      <c r="G767" s="4"/>
      <c r="H767" s="5"/>
      <c r="I767" s="146"/>
    </row>
    <row r="768" ht="12.0" customHeight="1">
      <c r="E768" s="4"/>
      <c r="F768" s="4"/>
      <c r="G768" s="4"/>
      <c r="H768" s="5"/>
      <c r="I768" s="146"/>
    </row>
    <row r="769" ht="12.0" customHeight="1">
      <c r="E769" s="4"/>
      <c r="F769" s="4"/>
      <c r="G769" s="4"/>
      <c r="H769" s="5"/>
      <c r="I769" s="146"/>
    </row>
    <row r="770" ht="12.0" customHeight="1">
      <c r="E770" s="4"/>
      <c r="F770" s="4"/>
      <c r="G770" s="4"/>
      <c r="H770" s="5"/>
      <c r="I770" s="146"/>
    </row>
    <row r="771" ht="12.0" customHeight="1">
      <c r="E771" s="4"/>
      <c r="F771" s="4"/>
      <c r="G771" s="4"/>
      <c r="H771" s="5"/>
      <c r="I771" s="146"/>
    </row>
    <row r="772" ht="12.0" customHeight="1">
      <c r="E772" s="4"/>
      <c r="F772" s="4"/>
      <c r="G772" s="4"/>
      <c r="H772" s="5"/>
      <c r="I772" s="146"/>
    </row>
    <row r="773" ht="12.0" customHeight="1">
      <c r="E773" s="4"/>
      <c r="F773" s="4"/>
      <c r="G773" s="4"/>
      <c r="H773" s="5"/>
      <c r="I773" s="146"/>
    </row>
    <row r="774" ht="12.0" customHeight="1">
      <c r="E774" s="4"/>
      <c r="F774" s="4"/>
      <c r="G774" s="4"/>
      <c r="H774" s="5"/>
      <c r="I774" s="146"/>
    </row>
    <row r="775" ht="12.0" customHeight="1">
      <c r="E775" s="4"/>
      <c r="F775" s="4"/>
      <c r="G775" s="4"/>
      <c r="H775" s="5"/>
      <c r="I775" s="146"/>
    </row>
    <row r="776" ht="12.0" customHeight="1">
      <c r="E776" s="4"/>
      <c r="F776" s="4"/>
      <c r="G776" s="4"/>
      <c r="H776" s="5"/>
      <c r="I776" s="146"/>
    </row>
    <row r="777" ht="12.0" customHeight="1">
      <c r="E777" s="4"/>
      <c r="F777" s="4"/>
      <c r="G777" s="4"/>
      <c r="H777" s="5"/>
      <c r="I777" s="146"/>
    </row>
    <row r="778" ht="12.0" customHeight="1">
      <c r="E778" s="4"/>
      <c r="F778" s="4"/>
      <c r="G778" s="4"/>
      <c r="H778" s="5"/>
      <c r="I778" s="146"/>
    </row>
    <row r="779" ht="12.0" customHeight="1">
      <c r="E779" s="4"/>
      <c r="F779" s="4"/>
      <c r="G779" s="4"/>
      <c r="H779" s="5"/>
      <c r="I779" s="146"/>
    </row>
    <row r="780" ht="12.0" customHeight="1">
      <c r="E780" s="4"/>
      <c r="F780" s="4"/>
      <c r="G780" s="4"/>
      <c r="H780" s="5"/>
      <c r="I780" s="146"/>
    </row>
    <row r="781" ht="12.0" customHeight="1">
      <c r="E781" s="4"/>
      <c r="F781" s="4"/>
      <c r="G781" s="4"/>
      <c r="H781" s="5"/>
      <c r="I781" s="146"/>
    </row>
    <row r="782" ht="12.0" customHeight="1">
      <c r="E782" s="4"/>
      <c r="F782" s="4"/>
      <c r="G782" s="4"/>
      <c r="H782" s="5"/>
      <c r="I782" s="146"/>
    </row>
    <row r="783" ht="12.0" customHeight="1">
      <c r="E783" s="4"/>
      <c r="F783" s="4"/>
      <c r="G783" s="4"/>
      <c r="H783" s="5"/>
      <c r="I783" s="146"/>
    </row>
    <row r="784" ht="12.0" customHeight="1">
      <c r="E784" s="4"/>
      <c r="F784" s="4"/>
      <c r="G784" s="4"/>
      <c r="H784" s="5"/>
      <c r="I784" s="146"/>
    </row>
    <row r="785" ht="12.0" customHeight="1">
      <c r="E785" s="4"/>
      <c r="F785" s="4"/>
      <c r="G785" s="4"/>
      <c r="H785" s="5"/>
      <c r="I785" s="146"/>
    </row>
    <row r="786" ht="12.0" customHeight="1">
      <c r="E786" s="4"/>
      <c r="F786" s="4"/>
      <c r="G786" s="4"/>
      <c r="H786" s="5"/>
      <c r="I786" s="146"/>
    </row>
    <row r="787" ht="12.0" customHeight="1">
      <c r="E787" s="4"/>
      <c r="F787" s="4"/>
      <c r="G787" s="4"/>
      <c r="H787" s="5"/>
      <c r="I787" s="146"/>
    </row>
    <row r="788" ht="12.0" customHeight="1">
      <c r="E788" s="4"/>
      <c r="F788" s="4"/>
      <c r="G788" s="4"/>
      <c r="H788" s="5"/>
      <c r="I788" s="146"/>
    </row>
    <row r="789" ht="12.0" customHeight="1">
      <c r="E789" s="4"/>
      <c r="F789" s="4"/>
      <c r="G789" s="4"/>
      <c r="H789" s="5"/>
      <c r="I789" s="146"/>
    </row>
    <row r="790" ht="12.0" customHeight="1">
      <c r="E790" s="4"/>
      <c r="F790" s="4"/>
      <c r="G790" s="4"/>
      <c r="H790" s="5"/>
      <c r="I790" s="146"/>
    </row>
    <row r="791" ht="12.0" customHeight="1">
      <c r="E791" s="4"/>
      <c r="F791" s="4"/>
      <c r="G791" s="4"/>
      <c r="H791" s="5"/>
      <c r="I791" s="146"/>
    </row>
    <row r="792" ht="12.0" customHeight="1">
      <c r="E792" s="4"/>
      <c r="F792" s="4"/>
      <c r="G792" s="4"/>
      <c r="H792" s="5"/>
      <c r="I792" s="146"/>
    </row>
    <row r="793" ht="12.0" customHeight="1">
      <c r="E793" s="4"/>
      <c r="F793" s="4"/>
      <c r="G793" s="4"/>
      <c r="H793" s="5"/>
      <c r="I793" s="146"/>
    </row>
    <row r="794" ht="12.0" customHeight="1">
      <c r="E794" s="4"/>
      <c r="F794" s="4"/>
      <c r="G794" s="4"/>
      <c r="H794" s="5"/>
      <c r="I794" s="146"/>
    </row>
    <row r="795" ht="12.0" customHeight="1">
      <c r="E795" s="4"/>
      <c r="F795" s="4"/>
      <c r="G795" s="4"/>
      <c r="H795" s="5"/>
      <c r="I795" s="146"/>
    </row>
    <row r="796" ht="12.0" customHeight="1">
      <c r="E796" s="4"/>
      <c r="F796" s="4"/>
      <c r="G796" s="4"/>
      <c r="H796" s="5"/>
      <c r="I796" s="146"/>
    </row>
    <row r="797" ht="12.0" customHeight="1">
      <c r="E797" s="4"/>
      <c r="F797" s="4"/>
      <c r="G797" s="4"/>
      <c r="H797" s="5"/>
      <c r="I797" s="146"/>
    </row>
    <row r="798" ht="12.0" customHeight="1">
      <c r="E798" s="4"/>
      <c r="F798" s="4"/>
      <c r="G798" s="4"/>
      <c r="H798" s="5"/>
      <c r="I798" s="146"/>
    </row>
    <row r="799" ht="12.0" customHeight="1">
      <c r="E799" s="4"/>
      <c r="F799" s="4"/>
      <c r="G799" s="4"/>
      <c r="H799" s="5"/>
      <c r="I799" s="146"/>
    </row>
    <row r="800" ht="12.0" customHeight="1">
      <c r="E800" s="4"/>
      <c r="F800" s="4"/>
      <c r="G800" s="4"/>
      <c r="H800" s="5"/>
      <c r="I800" s="146"/>
    </row>
    <row r="801" ht="12.0" customHeight="1">
      <c r="E801" s="4"/>
      <c r="F801" s="4"/>
      <c r="G801" s="4"/>
      <c r="H801" s="5"/>
      <c r="I801" s="146"/>
    </row>
    <row r="802" ht="12.0" customHeight="1">
      <c r="E802" s="4"/>
      <c r="F802" s="4"/>
      <c r="G802" s="4"/>
      <c r="H802" s="5"/>
      <c r="I802" s="146"/>
    </row>
    <row r="803" ht="12.0" customHeight="1">
      <c r="E803" s="4"/>
      <c r="F803" s="4"/>
      <c r="G803" s="4"/>
      <c r="H803" s="5"/>
      <c r="I803" s="146"/>
    </row>
    <row r="804" ht="12.0" customHeight="1">
      <c r="E804" s="4"/>
      <c r="F804" s="4"/>
      <c r="G804" s="4"/>
      <c r="H804" s="5"/>
      <c r="I804" s="146"/>
    </row>
    <row r="805" ht="12.0" customHeight="1">
      <c r="E805" s="4"/>
      <c r="F805" s="4"/>
      <c r="G805" s="4"/>
      <c r="H805" s="5"/>
      <c r="I805" s="146"/>
    </row>
    <row r="806" ht="12.0" customHeight="1">
      <c r="E806" s="4"/>
      <c r="F806" s="4"/>
      <c r="G806" s="4"/>
      <c r="H806" s="5"/>
      <c r="I806" s="146"/>
    </row>
    <row r="807" ht="12.0" customHeight="1">
      <c r="E807" s="4"/>
      <c r="F807" s="4"/>
      <c r="G807" s="4"/>
      <c r="H807" s="5"/>
      <c r="I807" s="146"/>
    </row>
    <row r="808" ht="12.0" customHeight="1">
      <c r="E808" s="4"/>
      <c r="F808" s="4"/>
      <c r="G808" s="4"/>
      <c r="H808" s="5"/>
      <c r="I808" s="146"/>
    </row>
    <row r="809" ht="12.0" customHeight="1">
      <c r="E809" s="4"/>
      <c r="F809" s="4"/>
      <c r="G809" s="4"/>
      <c r="H809" s="5"/>
      <c r="I809" s="146"/>
    </row>
    <row r="810" ht="12.0" customHeight="1">
      <c r="E810" s="4"/>
      <c r="F810" s="4"/>
      <c r="G810" s="4"/>
      <c r="H810" s="5"/>
      <c r="I810" s="146"/>
    </row>
    <row r="811" ht="12.0" customHeight="1">
      <c r="E811" s="4"/>
      <c r="F811" s="4"/>
      <c r="G811" s="4"/>
      <c r="H811" s="5"/>
      <c r="I811" s="146"/>
    </row>
    <row r="812" ht="12.0" customHeight="1">
      <c r="E812" s="4"/>
      <c r="F812" s="4"/>
      <c r="G812" s="4"/>
      <c r="H812" s="5"/>
      <c r="I812" s="146"/>
    </row>
    <row r="813" ht="12.0" customHeight="1">
      <c r="E813" s="4"/>
      <c r="F813" s="4"/>
      <c r="G813" s="4"/>
      <c r="H813" s="5"/>
      <c r="I813" s="146"/>
    </row>
    <row r="814" ht="12.0" customHeight="1">
      <c r="E814" s="4"/>
      <c r="F814" s="4"/>
      <c r="G814" s="4"/>
      <c r="H814" s="5"/>
      <c r="I814" s="146"/>
    </row>
    <row r="815" ht="12.0" customHeight="1">
      <c r="E815" s="4"/>
      <c r="F815" s="4"/>
      <c r="G815" s="4"/>
      <c r="H815" s="5"/>
      <c r="I815" s="146"/>
    </row>
    <row r="816" ht="12.0" customHeight="1">
      <c r="E816" s="4"/>
      <c r="F816" s="4"/>
      <c r="G816" s="4"/>
      <c r="H816" s="5"/>
      <c r="I816" s="146"/>
    </row>
    <row r="817" ht="12.0" customHeight="1">
      <c r="E817" s="4"/>
      <c r="F817" s="4"/>
      <c r="G817" s="4"/>
      <c r="H817" s="5"/>
      <c r="I817" s="146"/>
    </row>
    <row r="818" ht="12.0" customHeight="1">
      <c r="E818" s="4"/>
      <c r="F818" s="4"/>
      <c r="G818" s="4"/>
      <c r="H818" s="5"/>
      <c r="I818" s="146"/>
    </row>
    <row r="819" ht="12.0" customHeight="1">
      <c r="E819" s="4"/>
      <c r="F819" s="4"/>
      <c r="G819" s="4"/>
      <c r="H819" s="5"/>
      <c r="I819" s="146"/>
    </row>
    <row r="820" ht="12.0" customHeight="1">
      <c r="E820" s="4"/>
      <c r="F820" s="4"/>
      <c r="G820" s="4"/>
      <c r="H820" s="5"/>
      <c r="I820" s="146"/>
    </row>
    <row r="821" ht="12.0" customHeight="1">
      <c r="E821" s="4"/>
      <c r="F821" s="4"/>
      <c r="G821" s="4"/>
      <c r="H821" s="5"/>
      <c r="I821" s="146"/>
    </row>
    <row r="822" ht="12.0" customHeight="1">
      <c r="E822" s="4"/>
      <c r="F822" s="4"/>
      <c r="G822" s="4"/>
      <c r="H822" s="5"/>
      <c r="I822" s="146"/>
    </row>
    <row r="823" ht="12.0" customHeight="1">
      <c r="E823" s="4"/>
      <c r="F823" s="4"/>
      <c r="G823" s="4"/>
      <c r="H823" s="5"/>
      <c r="I823" s="146"/>
    </row>
    <row r="824" ht="12.0" customHeight="1">
      <c r="E824" s="4"/>
      <c r="F824" s="4"/>
      <c r="G824" s="4"/>
      <c r="H824" s="5"/>
      <c r="I824" s="146"/>
    </row>
    <row r="825" ht="12.0" customHeight="1">
      <c r="E825" s="4"/>
      <c r="F825" s="4"/>
      <c r="G825" s="4"/>
      <c r="H825" s="5"/>
      <c r="I825" s="146"/>
    </row>
    <row r="826" ht="12.0" customHeight="1">
      <c r="E826" s="4"/>
      <c r="F826" s="4"/>
      <c r="G826" s="4"/>
      <c r="H826" s="5"/>
      <c r="I826" s="146"/>
    </row>
    <row r="827" ht="12.0" customHeight="1">
      <c r="E827" s="4"/>
      <c r="F827" s="4"/>
      <c r="G827" s="4"/>
      <c r="H827" s="5"/>
      <c r="I827" s="146"/>
    </row>
    <row r="828" ht="12.0" customHeight="1">
      <c r="E828" s="4"/>
      <c r="F828" s="4"/>
      <c r="G828" s="4"/>
      <c r="H828" s="5"/>
      <c r="I828" s="146"/>
    </row>
    <row r="829" ht="12.0" customHeight="1">
      <c r="E829" s="4"/>
      <c r="F829" s="4"/>
      <c r="G829" s="4"/>
      <c r="H829" s="5"/>
      <c r="I829" s="146"/>
    </row>
    <row r="830" ht="12.0" customHeight="1">
      <c r="E830" s="4"/>
      <c r="F830" s="4"/>
      <c r="G830" s="4"/>
      <c r="H830" s="5"/>
      <c r="I830" s="146"/>
    </row>
    <row r="831" ht="12.0" customHeight="1">
      <c r="E831" s="4"/>
      <c r="F831" s="4"/>
      <c r="G831" s="4"/>
      <c r="H831" s="5"/>
      <c r="I831" s="146"/>
    </row>
    <row r="832" ht="12.0" customHeight="1">
      <c r="E832" s="4"/>
      <c r="F832" s="4"/>
      <c r="G832" s="4"/>
      <c r="H832" s="5"/>
      <c r="I832" s="146"/>
    </row>
    <row r="833" ht="12.0" customHeight="1">
      <c r="E833" s="4"/>
      <c r="F833" s="4"/>
      <c r="G833" s="4"/>
      <c r="H833" s="5"/>
      <c r="I833" s="146"/>
    </row>
    <row r="834" ht="12.0" customHeight="1">
      <c r="E834" s="4"/>
      <c r="F834" s="4"/>
      <c r="G834" s="4"/>
      <c r="H834" s="5"/>
      <c r="I834" s="146"/>
    </row>
    <row r="835" ht="12.0" customHeight="1">
      <c r="E835" s="4"/>
      <c r="F835" s="4"/>
      <c r="G835" s="4"/>
      <c r="H835" s="5"/>
      <c r="I835" s="146"/>
    </row>
    <row r="836" ht="12.0" customHeight="1">
      <c r="E836" s="4"/>
      <c r="F836" s="4"/>
      <c r="G836" s="4"/>
      <c r="H836" s="5"/>
      <c r="I836" s="146"/>
    </row>
    <row r="837" ht="12.0" customHeight="1">
      <c r="E837" s="4"/>
      <c r="F837" s="4"/>
      <c r="G837" s="4"/>
      <c r="H837" s="5"/>
      <c r="I837" s="146"/>
    </row>
    <row r="838" ht="12.0" customHeight="1">
      <c r="E838" s="4"/>
      <c r="F838" s="4"/>
      <c r="G838" s="4"/>
      <c r="H838" s="5"/>
      <c r="I838" s="146"/>
    </row>
    <row r="839" ht="12.0" customHeight="1">
      <c r="E839" s="4"/>
      <c r="F839" s="4"/>
      <c r="G839" s="4"/>
      <c r="H839" s="5"/>
      <c r="I839" s="146"/>
    </row>
    <row r="840" ht="12.0" customHeight="1">
      <c r="E840" s="4"/>
      <c r="F840" s="4"/>
      <c r="G840" s="4"/>
      <c r="H840" s="5"/>
      <c r="I840" s="146"/>
    </row>
    <row r="841" ht="12.0" customHeight="1">
      <c r="E841" s="4"/>
      <c r="F841" s="4"/>
      <c r="G841" s="4"/>
      <c r="H841" s="5"/>
      <c r="I841" s="146"/>
    </row>
    <row r="842" ht="12.0" customHeight="1">
      <c r="E842" s="4"/>
      <c r="F842" s="4"/>
      <c r="G842" s="4"/>
      <c r="H842" s="5"/>
      <c r="I842" s="146"/>
    </row>
    <row r="843" ht="12.0" customHeight="1">
      <c r="E843" s="4"/>
      <c r="F843" s="4"/>
      <c r="G843" s="4"/>
      <c r="H843" s="5"/>
      <c r="I843" s="146"/>
    </row>
    <row r="844" ht="12.0" customHeight="1">
      <c r="E844" s="4"/>
      <c r="F844" s="4"/>
      <c r="G844" s="4"/>
      <c r="H844" s="5"/>
      <c r="I844" s="146"/>
    </row>
    <row r="845" ht="12.0" customHeight="1">
      <c r="E845" s="4"/>
      <c r="F845" s="4"/>
      <c r="G845" s="4"/>
      <c r="H845" s="5"/>
      <c r="I845" s="146"/>
    </row>
    <row r="846" ht="12.0" customHeight="1">
      <c r="E846" s="4"/>
      <c r="F846" s="4"/>
      <c r="G846" s="4"/>
      <c r="H846" s="5"/>
      <c r="I846" s="146"/>
    </row>
    <row r="847" ht="12.0" customHeight="1">
      <c r="E847" s="4"/>
      <c r="F847" s="4"/>
      <c r="G847" s="4"/>
      <c r="H847" s="5"/>
      <c r="I847" s="146"/>
    </row>
    <row r="848" ht="12.0" customHeight="1">
      <c r="E848" s="4"/>
      <c r="F848" s="4"/>
      <c r="G848" s="4"/>
      <c r="H848" s="5"/>
      <c r="I848" s="146"/>
    </row>
    <row r="849" ht="12.0" customHeight="1">
      <c r="E849" s="4"/>
      <c r="F849" s="4"/>
      <c r="G849" s="4"/>
      <c r="H849" s="5"/>
      <c r="I849" s="146"/>
    </row>
    <row r="850" ht="12.0" customHeight="1">
      <c r="E850" s="4"/>
      <c r="F850" s="4"/>
      <c r="G850" s="4"/>
      <c r="H850" s="5"/>
      <c r="I850" s="146"/>
    </row>
    <row r="851" ht="12.0" customHeight="1">
      <c r="E851" s="4"/>
      <c r="F851" s="4"/>
      <c r="G851" s="4"/>
      <c r="H851" s="5"/>
      <c r="I851" s="146"/>
    </row>
    <row r="852" ht="12.0" customHeight="1">
      <c r="E852" s="4"/>
      <c r="F852" s="4"/>
      <c r="G852" s="4"/>
      <c r="H852" s="5"/>
      <c r="I852" s="146"/>
    </row>
    <row r="853" ht="12.0" customHeight="1">
      <c r="E853" s="4"/>
      <c r="F853" s="4"/>
      <c r="G853" s="4"/>
      <c r="H853" s="5"/>
      <c r="I853" s="146"/>
    </row>
    <row r="854" ht="12.0" customHeight="1">
      <c r="E854" s="4"/>
      <c r="F854" s="4"/>
      <c r="G854" s="4"/>
      <c r="H854" s="5"/>
      <c r="I854" s="146"/>
    </row>
    <row r="855" ht="12.0" customHeight="1">
      <c r="E855" s="4"/>
      <c r="F855" s="4"/>
      <c r="G855" s="4"/>
      <c r="H855" s="5"/>
      <c r="I855" s="146"/>
    </row>
    <row r="856" ht="12.0" customHeight="1">
      <c r="E856" s="4"/>
      <c r="F856" s="4"/>
      <c r="G856" s="4"/>
      <c r="H856" s="5"/>
      <c r="I856" s="146"/>
    </row>
    <row r="857" ht="12.0" customHeight="1">
      <c r="E857" s="4"/>
      <c r="F857" s="4"/>
      <c r="G857" s="4"/>
      <c r="H857" s="5"/>
      <c r="I857" s="146"/>
    </row>
    <row r="858" ht="12.0" customHeight="1">
      <c r="E858" s="4"/>
      <c r="F858" s="4"/>
      <c r="G858" s="4"/>
      <c r="H858" s="5"/>
      <c r="I858" s="146"/>
    </row>
    <row r="859" ht="12.0" customHeight="1">
      <c r="E859" s="4"/>
      <c r="F859" s="4"/>
      <c r="G859" s="4"/>
      <c r="H859" s="5"/>
      <c r="I859" s="146"/>
    </row>
    <row r="860" ht="12.0" customHeight="1">
      <c r="E860" s="4"/>
      <c r="F860" s="4"/>
      <c r="G860" s="4"/>
      <c r="H860" s="5"/>
      <c r="I860" s="146"/>
    </row>
    <row r="861" ht="12.0" customHeight="1">
      <c r="E861" s="4"/>
      <c r="F861" s="4"/>
      <c r="G861" s="4"/>
      <c r="H861" s="5"/>
      <c r="I861" s="146"/>
    </row>
    <row r="862" ht="12.0" customHeight="1">
      <c r="E862" s="4"/>
      <c r="F862" s="4"/>
      <c r="G862" s="4"/>
      <c r="H862" s="5"/>
      <c r="I862" s="146"/>
    </row>
    <row r="863" ht="12.0" customHeight="1">
      <c r="E863" s="4"/>
      <c r="F863" s="4"/>
      <c r="G863" s="4"/>
      <c r="H863" s="5"/>
      <c r="I863" s="146"/>
    </row>
    <row r="864" ht="12.0" customHeight="1">
      <c r="E864" s="4"/>
      <c r="F864" s="4"/>
      <c r="G864" s="4"/>
      <c r="H864" s="5"/>
      <c r="I864" s="146"/>
    </row>
    <row r="865" ht="12.0" customHeight="1">
      <c r="E865" s="4"/>
      <c r="F865" s="4"/>
      <c r="G865" s="4"/>
      <c r="H865" s="5"/>
      <c r="I865" s="146"/>
    </row>
    <row r="866" ht="12.0" customHeight="1">
      <c r="E866" s="4"/>
      <c r="F866" s="4"/>
      <c r="G866" s="4"/>
      <c r="H866" s="5"/>
      <c r="I866" s="146"/>
    </row>
    <row r="867" ht="12.0" customHeight="1">
      <c r="E867" s="4"/>
      <c r="F867" s="4"/>
      <c r="G867" s="4"/>
      <c r="H867" s="5"/>
      <c r="I867" s="146"/>
    </row>
    <row r="868" ht="12.0" customHeight="1">
      <c r="E868" s="4"/>
      <c r="F868" s="4"/>
      <c r="G868" s="4"/>
      <c r="H868" s="5"/>
      <c r="I868" s="146"/>
    </row>
    <row r="869" ht="12.0" customHeight="1">
      <c r="E869" s="4"/>
      <c r="F869" s="4"/>
      <c r="G869" s="4"/>
      <c r="H869" s="5"/>
      <c r="I869" s="146"/>
    </row>
    <row r="870" ht="12.0" customHeight="1">
      <c r="E870" s="4"/>
      <c r="F870" s="4"/>
      <c r="G870" s="4"/>
      <c r="H870" s="5"/>
      <c r="I870" s="146"/>
    </row>
    <row r="871" ht="12.0" customHeight="1">
      <c r="E871" s="4"/>
      <c r="F871" s="4"/>
      <c r="G871" s="4"/>
      <c r="H871" s="5"/>
      <c r="I871" s="146"/>
    </row>
    <row r="872" ht="12.0" customHeight="1">
      <c r="E872" s="4"/>
      <c r="F872" s="4"/>
      <c r="G872" s="4"/>
      <c r="H872" s="5"/>
      <c r="I872" s="146"/>
    </row>
    <row r="873" ht="12.0" customHeight="1">
      <c r="E873" s="4"/>
      <c r="F873" s="4"/>
      <c r="G873" s="4"/>
      <c r="H873" s="5"/>
      <c r="I873" s="146"/>
    </row>
    <row r="874" ht="12.0" customHeight="1">
      <c r="E874" s="4"/>
      <c r="F874" s="4"/>
      <c r="G874" s="4"/>
      <c r="H874" s="5"/>
      <c r="I874" s="146"/>
    </row>
    <row r="875" ht="12.0" customHeight="1">
      <c r="E875" s="4"/>
      <c r="F875" s="4"/>
      <c r="G875" s="4"/>
      <c r="H875" s="5"/>
      <c r="I875" s="146"/>
    </row>
    <row r="876" ht="12.0" customHeight="1">
      <c r="E876" s="4"/>
      <c r="F876" s="4"/>
      <c r="G876" s="4"/>
      <c r="H876" s="5"/>
      <c r="I876" s="146"/>
    </row>
    <row r="877" ht="12.0" customHeight="1">
      <c r="E877" s="4"/>
      <c r="F877" s="4"/>
      <c r="G877" s="4"/>
      <c r="H877" s="5"/>
      <c r="I877" s="146"/>
    </row>
    <row r="878" ht="12.0" customHeight="1">
      <c r="E878" s="4"/>
      <c r="F878" s="4"/>
      <c r="G878" s="4"/>
      <c r="H878" s="5"/>
      <c r="I878" s="146"/>
    </row>
    <row r="879" ht="12.0" customHeight="1">
      <c r="E879" s="4"/>
      <c r="F879" s="4"/>
      <c r="G879" s="4"/>
      <c r="H879" s="5"/>
      <c r="I879" s="146"/>
    </row>
    <row r="880" ht="12.0" customHeight="1">
      <c r="E880" s="4"/>
      <c r="F880" s="4"/>
      <c r="G880" s="4"/>
      <c r="H880" s="5"/>
      <c r="I880" s="146"/>
    </row>
    <row r="881" ht="12.0" customHeight="1">
      <c r="E881" s="4"/>
      <c r="F881" s="4"/>
      <c r="G881" s="4"/>
      <c r="H881" s="5"/>
      <c r="I881" s="146"/>
    </row>
    <row r="882" ht="12.0" customHeight="1">
      <c r="E882" s="4"/>
      <c r="F882" s="4"/>
      <c r="G882" s="4"/>
      <c r="H882" s="5"/>
      <c r="I882" s="146"/>
    </row>
    <row r="883" ht="12.0" customHeight="1">
      <c r="E883" s="4"/>
      <c r="F883" s="4"/>
      <c r="G883" s="4"/>
      <c r="H883" s="5"/>
      <c r="I883" s="146"/>
    </row>
    <row r="884" ht="12.0" customHeight="1">
      <c r="E884" s="4"/>
      <c r="F884" s="4"/>
      <c r="G884" s="4"/>
      <c r="H884" s="5"/>
      <c r="I884" s="146"/>
    </row>
    <row r="885" ht="12.0" customHeight="1">
      <c r="E885" s="4"/>
      <c r="F885" s="4"/>
      <c r="G885" s="4"/>
      <c r="H885" s="5"/>
      <c r="I885" s="146"/>
    </row>
    <row r="886" ht="12.0" customHeight="1">
      <c r="E886" s="4"/>
      <c r="F886" s="4"/>
      <c r="G886" s="4"/>
      <c r="H886" s="5"/>
      <c r="I886" s="146"/>
    </row>
    <row r="887" ht="12.0" customHeight="1">
      <c r="E887" s="4"/>
      <c r="F887" s="4"/>
      <c r="G887" s="4"/>
      <c r="H887" s="5"/>
      <c r="I887" s="146"/>
    </row>
    <row r="888" ht="12.0" customHeight="1">
      <c r="E888" s="4"/>
      <c r="F888" s="4"/>
      <c r="G888" s="4"/>
      <c r="H888" s="5"/>
      <c r="I888" s="146"/>
    </row>
    <row r="889" ht="12.0" customHeight="1">
      <c r="E889" s="4"/>
      <c r="F889" s="4"/>
      <c r="G889" s="4"/>
      <c r="H889" s="5"/>
      <c r="I889" s="146"/>
    </row>
    <row r="890" ht="12.0" customHeight="1">
      <c r="E890" s="4"/>
      <c r="F890" s="4"/>
      <c r="G890" s="4"/>
      <c r="H890" s="5"/>
      <c r="I890" s="146"/>
    </row>
    <row r="891" ht="12.0" customHeight="1">
      <c r="E891" s="4"/>
      <c r="F891" s="4"/>
      <c r="G891" s="4"/>
      <c r="H891" s="5"/>
      <c r="I891" s="146"/>
    </row>
    <row r="892" ht="12.0" customHeight="1">
      <c r="E892" s="4"/>
      <c r="F892" s="4"/>
      <c r="G892" s="4"/>
      <c r="H892" s="5"/>
      <c r="I892" s="146"/>
    </row>
    <row r="893" ht="12.0" customHeight="1">
      <c r="E893" s="4"/>
      <c r="F893" s="4"/>
      <c r="G893" s="4"/>
      <c r="H893" s="5"/>
      <c r="I893" s="146"/>
    </row>
    <row r="894" ht="12.0" customHeight="1">
      <c r="E894" s="4"/>
      <c r="F894" s="4"/>
      <c r="G894" s="4"/>
      <c r="H894" s="5"/>
      <c r="I894" s="146"/>
    </row>
    <row r="895" ht="12.0" customHeight="1">
      <c r="E895" s="4"/>
      <c r="F895" s="4"/>
      <c r="G895" s="4"/>
      <c r="H895" s="5"/>
      <c r="I895" s="146"/>
    </row>
    <row r="896" ht="12.0" customHeight="1">
      <c r="E896" s="4"/>
      <c r="F896" s="4"/>
      <c r="G896" s="4"/>
      <c r="H896" s="5"/>
      <c r="I896" s="146"/>
    </row>
    <row r="897" ht="12.0" customHeight="1">
      <c r="E897" s="4"/>
      <c r="F897" s="4"/>
      <c r="G897" s="4"/>
      <c r="H897" s="5"/>
      <c r="I897" s="146"/>
    </row>
    <row r="898" ht="12.0" customHeight="1">
      <c r="E898" s="4"/>
      <c r="F898" s="4"/>
      <c r="G898" s="4"/>
      <c r="H898" s="5"/>
      <c r="I898" s="146"/>
    </row>
    <row r="899" ht="12.0" customHeight="1">
      <c r="E899" s="4"/>
      <c r="F899" s="4"/>
      <c r="G899" s="4"/>
      <c r="H899" s="5"/>
      <c r="I899" s="146"/>
    </row>
    <row r="900" ht="12.0" customHeight="1">
      <c r="E900" s="4"/>
      <c r="F900" s="4"/>
      <c r="G900" s="4"/>
      <c r="H900" s="5"/>
      <c r="I900" s="146"/>
    </row>
    <row r="901" ht="12.0" customHeight="1">
      <c r="E901" s="4"/>
      <c r="F901" s="4"/>
      <c r="G901" s="4"/>
      <c r="H901" s="5"/>
      <c r="I901" s="146"/>
    </row>
    <row r="902" ht="12.0" customHeight="1">
      <c r="E902" s="4"/>
      <c r="F902" s="4"/>
      <c r="G902" s="4"/>
      <c r="H902" s="5"/>
      <c r="I902" s="146"/>
    </row>
    <row r="903" ht="12.0" customHeight="1">
      <c r="E903" s="4"/>
      <c r="F903" s="4"/>
      <c r="G903" s="4"/>
      <c r="H903" s="5"/>
      <c r="I903" s="146"/>
    </row>
    <row r="904" ht="12.0" customHeight="1">
      <c r="E904" s="4"/>
      <c r="F904" s="4"/>
      <c r="G904" s="4"/>
      <c r="H904" s="5"/>
      <c r="I904" s="146"/>
    </row>
    <row r="905" ht="12.0" customHeight="1">
      <c r="E905" s="4"/>
      <c r="F905" s="4"/>
      <c r="G905" s="4"/>
      <c r="H905" s="5"/>
      <c r="I905" s="146"/>
    </row>
    <row r="906" ht="12.0" customHeight="1">
      <c r="E906" s="4"/>
      <c r="F906" s="4"/>
      <c r="G906" s="4"/>
      <c r="H906" s="5"/>
      <c r="I906" s="146"/>
    </row>
    <row r="907" ht="12.0" customHeight="1">
      <c r="E907" s="4"/>
      <c r="F907" s="4"/>
      <c r="G907" s="4"/>
      <c r="H907" s="5"/>
      <c r="I907" s="146"/>
    </row>
    <row r="908" ht="12.0" customHeight="1">
      <c r="E908" s="4"/>
      <c r="F908" s="4"/>
      <c r="G908" s="4"/>
      <c r="H908" s="5"/>
      <c r="I908" s="146"/>
    </row>
    <row r="909" ht="12.0" customHeight="1">
      <c r="E909" s="4"/>
      <c r="F909" s="4"/>
      <c r="G909" s="4"/>
      <c r="H909" s="5"/>
      <c r="I909" s="146"/>
    </row>
    <row r="910" ht="12.0" customHeight="1">
      <c r="E910" s="4"/>
      <c r="F910" s="4"/>
      <c r="G910" s="4"/>
      <c r="H910" s="5"/>
      <c r="I910" s="146"/>
    </row>
    <row r="911" ht="12.0" customHeight="1">
      <c r="E911" s="4"/>
      <c r="F911" s="4"/>
      <c r="G911" s="4"/>
      <c r="H911" s="5"/>
      <c r="I911" s="146"/>
    </row>
    <row r="912" ht="12.0" customHeight="1">
      <c r="E912" s="4"/>
      <c r="F912" s="4"/>
      <c r="G912" s="4"/>
      <c r="H912" s="5"/>
      <c r="I912" s="146"/>
    </row>
    <row r="913" ht="12.0" customHeight="1">
      <c r="E913" s="4"/>
      <c r="F913" s="4"/>
      <c r="G913" s="4"/>
      <c r="H913" s="5"/>
      <c r="I913" s="146"/>
    </row>
    <row r="914" ht="12.0" customHeight="1">
      <c r="E914" s="4"/>
      <c r="F914" s="4"/>
      <c r="G914" s="4"/>
      <c r="H914" s="5"/>
      <c r="I914" s="146"/>
    </row>
    <row r="915" ht="12.0" customHeight="1">
      <c r="E915" s="4"/>
      <c r="F915" s="4"/>
      <c r="G915" s="4"/>
      <c r="H915" s="5"/>
      <c r="I915" s="146"/>
    </row>
    <row r="916" ht="12.0" customHeight="1">
      <c r="E916" s="4"/>
      <c r="F916" s="4"/>
      <c r="G916" s="4"/>
      <c r="H916" s="5"/>
      <c r="I916" s="146"/>
    </row>
    <row r="917" ht="12.0" customHeight="1">
      <c r="E917" s="4"/>
      <c r="F917" s="4"/>
      <c r="G917" s="4"/>
      <c r="H917" s="5"/>
      <c r="I917" s="146"/>
    </row>
    <row r="918" ht="12.0" customHeight="1">
      <c r="E918" s="4"/>
      <c r="F918" s="4"/>
      <c r="G918" s="4"/>
      <c r="H918" s="5"/>
      <c r="I918" s="146"/>
    </row>
    <row r="919" ht="12.0" customHeight="1">
      <c r="E919" s="4"/>
      <c r="F919" s="4"/>
      <c r="G919" s="4"/>
      <c r="H919" s="5"/>
      <c r="I919" s="146"/>
    </row>
    <row r="920" ht="12.0" customHeight="1">
      <c r="E920" s="4"/>
      <c r="F920" s="4"/>
      <c r="G920" s="4"/>
      <c r="H920" s="5"/>
      <c r="I920" s="146"/>
    </row>
    <row r="921" ht="12.0" customHeight="1">
      <c r="E921" s="4"/>
      <c r="F921" s="4"/>
      <c r="G921" s="4"/>
      <c r="H921" s="5"/>
      <c r="I921" s="146"/>
    </row>
    <row r="922" ht="12.0" customHeight="1">
      <c r="E922" s="4"/>
      <c r="F922" s="4"/>
      <c r="G922" s="4"/>
      <c r="H922" s="5"/>
      <c r="I922" s="146"/>
    </row>
    <row r="923" ht="12.0" customHeight="1">
      <c r="E923" s="4"/>
      <c r="F923" s="4"/>
      <c r="G923" s="4"/>
      <c r="H923" s="5"/>
      <c r="I923" s="146"/>
    </row>
    <row r="924" ht="12.0" customHeight="1">
      <c r="E924" s="4"/>
      <c r="F924" s="4"/>
      <c r="G924" s="4"/>
      <c r="H924" s="5"/>
      <c r="I924" s="146"/>
    </row>
    <row r="925" ht="12.0" customHeight="1">
      <c r="E925" s="4"/>
      <c r="F925" s="4"/>
      <c r="G925" s="4"/>
      <c r="H925" s="5"/>
      <c r="I925" s="146"/>
    </row>
    <row r="926" ht="12.0" customHeight="1">
      <c r="E926" s="4"/>
      <c r="F926" s="4"/>
      <c r="G926" s="4"/>
      <c r="H926" s="5"/>
      <c r="I926" s="146"/>
    </row>
    <row r="927" ht="12.0" customHeight="1">
      <c r="E927" s="4"/>
      <c r="F927" s="4"/>
      <c r="G927" s="4"/>
      <c r="H927" s="5"/>
      <c r="I927" s="146"/>
    </row>
    <row r="928" ht="12.0" customHeight="1">
      <c r="E928" s="4"/>
      <c r="F928" s="4"/>
      <c r="G928" s="4"/>
      <c r="H928" s="5"/>
      <c r="I928" s="146"/>
    </row>
    <row r="929" ht="12.0" customHeight="1">
      <c r="E929" s="4"/>
      <c r="F929" s="4"/>
      <c r="G929" s="4"/>
      <c r="H929" s="5"/>
      <c r="I929" s="146"/>
    </row>
    <row r="930" ht="12.0" customHeight="1">
      <c r="E930" s="4"/>
      <c r="F930" s="4"/>
      <c r="G930" s="4"/>
      <c r="H930" s="5"/>
      <c r="I930" s="146"/>
    </row>
    <row r="931" ht="12.0" customHeight="1">
      <c r="E931" s="4"/>
      <c r="F931" s="4"/>
      <c r="G931" s="4"/>
      <c r="H931" s="5"/>
      <c r="I931" s="146"/>
    </row>
    <row r="932" ht="12.0" customHeight="1">
      <c r="E932" s="4"/>
      <c r="F932" s="4"/>
      <c r="G932" s="4"/>
      <c r="H932" s="5"/>
      <c r="I932" s="146"/>
    </row>
    <row r="933" ht="12.0" customHeight="1">
      <c r="E933" s="4"/>
      <c r="F933" s="4"/>
      <c r="G933" s="4"/>
      <c r="H933" s="5"/>
      <c r="I933" s="146"/>
    </row>
    <row r="934" ht="12.0" customHeight="1">
      <c r="E934" s="4"/>
      <c r="F934" s="4"/>
      <c r="G934" s="4"/>
      <c r="H934" s="5"/>
      <c r="I934" s="146"/>
    </row>
    <row r="935" ht="12.0" customHeight="1">
      <c r="E935" s="4"/>
      <c r="F935" s="4"/>
      <c r="G935" s="4"/>
      <c r="H935" s="5"/>
      <c r="I935" s="146"/>
    </row>
    <row r="936" ht="12.0" customHeight="1">
      <c r="E936" s="4"/>
      <c r="F936" s="4"/>
      <c r="G936" s="4"/>
      <c r="H936" s="5"/>
      <c r="I936" s="146"/>
    </row>
    <row r="937" ht="12.0" customHeight="1">
      <c r="E937" s="4"/>
      <c r="F937" s="4"/>
      <c r="G937" s="4"/>
      <c r="H937" s="5"/>
      <c r="I937" s="146"/>
    </row>
    <row r="938" ht="12.0" customHeight="1">
      <c r="E938" s="4"/>
      <c r="F938" s="4"/>
      <c r="G938" s="4"/>
      <c r="H938" s="5"/>
      <c r="I938" s="146"/>
    </row>
    <row r="939" ht="12.0" customHeight="1">
      <c r="E939" s="4"/>
      <c r="F939" s="4"/>
      <c r="G939" s="4"/>
      <c r="H939" s="5"/>
      <c r="I939" s="146"/>
    </row>
    <row r="940" ht="12.0" customHeight="1">
      <c r="E940" s="4"/>
      <c r="F940" s="4"/>
      <c r="G940" s="4"/>
      <c r="H940" s="5"/>
      <c r="I940" s="146"/>
    </row>
    <row r="941" ht="12.0" customHeight="1">
      <c r="E941" s="4"/>
      <c r="F941" s="4"/>
      <c r="G941" s="4"/>
      <c r="H941" s="5"/>
      <c r="I941" s="146"/>
    </row>
    <row r="942" ht="12.0" customHeight="1">
      <c r="E942" s="4"/>
      <c r="F942" s="4"/>
      <c r="G942" s="4"/>
      <c r="H942" s="5"/>
      <c r="I942" s="146"/>
    </row>
    <row r="943" ht="12.0" customHeight="1">
      <c r="E943" s="4"/>
      <c r="F943" s="4"/>
      <c r="G943" s="4"/>
      <c r="H943" s="5"/>
      <c r="I943" s="146"/>
    </row>
    <row r="944" ht="12.0" customHeight="1">
      <c r="E944" s="4"/>
      <c r="F944" s="4"/>
      <c r="G944" s="4"/>
      <c r="H944" s="5"/>
      <c r="I944" s="146"/>
    </row>
    <row r="945" ht="12.0" customHeight="1">
      <c r="E945" s="4"/>
      <c r="F945" s="4"/>
      <c r="G945" s="4"/>
      <c r="H945" s="5"/>
      <c r="I945" s="146"/>
    </row>
    <row r="946" ht="12.0" customHeight="1">
      <c r="E946" s="4"/>
      <c r="F946" s="4"/>
      <c r="G946" s="4"/>
      <c r="H946" s="5"/>
      <c r="I946" s="146"/>
    </row>
    <row r="947" ht="12.0" customHeight="1">
      <c r="E947" s="4"/>
      <c r="F947" s="4"/>
      <c r="G947" s="4"/>
      <c r="H947" s="5"/>
      <c r="I947" s="146"/>
    </row>
    <row r="948" ht="12.0" customHeight="1">
      <c r="E948" s="4"/>
      <c r="F948" s="4"/>
      <c r="G948" s="4"/>
      <c r="H948" s="5"/>
      <c r="I948" s="146"/>
    </row>
    <row r="949" ht="12.0" customHeight="1">
      <c r="E949" s="4"/>
      <c r="F949" s="4"/>
      <c r="G949" s="4"/>
      <c r="H949" s="5"/>
      <c r="I949" s="146"/>
    </row>
    <row r="950" ht="12.0" customHeight="1">
      <c r="E950" s="4"/>
      <c r="F950" s="4"/>
      <c r="G950" s="4"/>
      <c r="H950" s="5"/>
      <c r="I950" s="146"/>
    </row>
    <row r="951" ht="12.0" customHeight="1">
      <c r="E951" s="4"/>
      <c r="F951" s="4"/>
      <c r="G951" s="4"/>
      <c r="H951" s="5"/>
      <c r="I951" s="146"/>
    </row>
    <row r="952" ht="12.0" customHeight="1">
      <c r="E952" s="4"/>
      <c r="F952" s="4"/>
      <c r="G952" s="4"/>
      <c r="H952" s="5"/>
      <c r="I952" s="146"/>
    </row>
    <row r="953" ht="12.0" customHeight="1">
      <c r="E953" s="4"/>
      <c r="F953" s="4"/>
      <c r="G953" s="4"/>
      <c r="H953" s="5"/>
      <c r="I953" s="146"/>
    </row>
    <row r="954" ht="12.0" customHeight="1">
      <c r="E954" s="4"/>
      <c r="F954" s="4"/>
      <c r="G954" s="4"/>
      <c r="H954" s="5"/>
      <c r="I954" s="146"/>
    </row>
    <row r="955" ht="12.0" customHeight="1">
      <c r="E955" s="4"/>
      <c r="F955" s="4"/>
      <c r="G955" s="4"/>
      <c r="H955" s="5"/>
      <c r="I955" s="146"/>
    </row>
    <row r="956" ht="12.0" customHeight="1">
      <c r="E956" s="4"/>
      <c r="F956" s="4"/>
      <c r="G956" s="4"/>
      <c r="H956" s="5"/>
      <c r="I956" s="146"/>
    </row>
    <row r="957" ht="12.0" customHeight="1">
      <c r="E957" s="4"/>
      <c r="F957" s="4"/>
      <c r="G957" s="4"/>
      <c r="H957" s="5"/>
      <c r="I957" s="146"/>
    </row>
    <row r="958" ht="12.0" customHeight="1">
      <c r="E958" s="4"/>
      <c r="F958" s="4"/>
      <c r="G958" s="4"/>
      <c r="H958" s="5"/>
      <c r="I958" s="146"/>
    </row>
    <row r="959" ht="12.0" customHeight="1">
      <c r="E959" s="4"/>
      <c r="F959" s="4"/>
      <c r="G959" s="4"/>
      <c r="H959" s="5"/>
      <c r="I959" s="146"/>
    </row>
    <row r="960" ht="12.0" customHeight="1">
      <c r="E960" s="4"/>
      <c r="F960" s="4"/>
      <c r="G960" s="4"/>
      <c r="H960" s="5"/>
      <c r="I960" s="146"/>
    </row>
    <row r="961" ht="12.0" customHeight="1">
      <c r="E961" s="4"/>
      <c r="F961" s="4"/>
      <c r="G961" s="4"/>
      <c r="H961" s="5"/>
      <c r="I961" s="146"/>
    </row>
    <row r="962" ht="12.0" customHeight="1">
      <c r="E962" s="4"/>
      <c r="F962" s="4"/>
      <c r="G962" s="4"/>
      <c r="H962" s="5"/>
      <c r="I962" s="146"/>
    </row>
    <row r="963" ht="12.0" customHeight="1">
      <c r="E963" s="4"/>
      <c r="F963" s="4"/>
      <c r="G963" s="4"/>
      <c r="H963" s="5"/>
      <c r="I963" s="146"/>
    </row>
    <row r="964" ht="12.0" customHeight="1">
      <c r="E964" s="4"/>
      <c r="F964" s="4"/>
      <c r="G964" s="4"/>
      <c r="H964" s="5"/>
      <c r="I964" s="146"/>
    </row>
    <row r="965" ht="12.0" customHeight="1">
      <c r="E965" s="4"/>
      <c r="F965" s="4"/>
      <c r="G965" s="4"/>
      <c r="H965" s="5"/>
      <c r="I965" s="146"/>
    </row>
    <row r="966" ht="12.0" customHeight="1">
      <c r="E966" s="4"/>
      <c r="F966" s="4"/>
      <c r="G966" s="4"/>
      <c r="H966" s="5"/>
      <c r="I966" s="146"/>
    </row>
    <row r="967" ht="12.0" customHeight="1">
      <c r="E967" s="4"/>
      <c r="F967" s="4"/>
      <c r="G967" s="4"/>
      <c r="H967" s="5"/>
      <c r="I967" s="146"/>
    </row>
    <row r="968" ht="12.0" customHeight="1">
      <c r="E968" s="4"/>
      <c r="F968" s="4"/>
      <c r="G968" s="4"/>
      <c r="H968" s="5"/>
      <c r="I968" s="146"/>
    </row>
    <row r="969" ht="12.0" customHeight="1">
      <c r="E969" s="4"/>
      <c r="F969" s="4"/>
      <c r="G969" s="4"/>
      <c r="H969" s="5"/>
      <c r="I969" s="146"/>
    </row>
    <row r="970" ht="12.0" customHeight="1">
      <c r="E970" s="4"/>
      <c r="F970" s="4"/>
      <c r="G970" s="4"/>
      <c r="H970" s="5"/>
      <c r="I970" s="146"/>
    </row>
    <row r="971" ht="12.0" customHeight="1">
      <c r="E971" s="4"/>
      <c r="F971" s="4"/>
      <c r="G971" s="4"/>
      <c r="H971" s="5"/>
      <c r="I971" s="146"/>
    </row>
    <row r="972" ht="12.0" customHeight="1">
      <c r="E972" s="4"/>
      <c r="F972" s="4"/>
      <c r="G972" s="4"/>
      <c r="H972" s="5"/>
      <c r="I972" s="146"/>
    </row>
    <row r="973" ht="12.0" customHeight="1">
      <c r="E973" s="4"/>
      <c r="F973" s="4"/>
      <c r="G973" s="4"/>
      <c r="H973" s="5"/>
      <c r="I973" s="146"/>
    </row>
    <row r="974" ht="12.0" customHeight="1">
      <c r="E974" s="4"/>
      <c r="F974" s="4"/>
      <c r="G974" s="4"/>
      <c r="H974" s="5"/>
      <c r="I974" s="146"/>
    </row>
    <row r="975" ht="12.0" customHeight="1">
      <c r="E975" s="4"/>
      <c r="F975" s="4"/>
      <c r="G975" s="4"/>
      <c r="H975" s="5"/>
      <c r="I975" s="146"/>
    </row>
    <row r="976" ht="12.0" customHeight="1">
      <c r="E976" s="4"/>
      <c r="F976" s="4"/>
      <c r="G976" s="4"/>
      <c r="H976" s="5"/>
      <c r="I976" s="146"/>
    </row>
    <row r="977" ht="12.0" customHeight="1">
      <c r="E977" s="4"/>
      <c r="F977" s="4"/>
      <c r="G977" s="4"/>
      <c r="H977" s="5"/>
      <c r="I977" s="146"/>
    </row>
    <row r="978" ht="12.0" customHeight="1">
      <c r="E978" s="4"/>
      <c r="F978" s="4"/>
      <c r="G978" s="4"/>
      <c r="H978" s="5"/>
      <c r="I978" s="146"/>
    </row>
    <row r="979" ht="12.0" customHeight="1">
      <c r="E979" s="4"/>
      <c r="F979" s="4"/>
      <c r="G979" s="4"/>
      <c r="H979" s="5"/>
      <c r="I979" s="146"/>
    </row>
    <row r="980" ht="12.0" customHeight="1">
      <c r="E980" s="4"/>
      <c r="F980" s="4"/>
      <c r="G980" s="4"/>
      <c r="H980" s="5"/>
      <c r="I980" s="146"/>
    </row>
    <row r="981" ht="12.0" customHeight="1">
      <c r="E981" s="4"/>
      <c r="F981" s="4"/>
      <c r="G981" s="4"/>
      <c r="H981" s="5"/>
      <c r="I981" s="146"/>
    </row>
    <row r="982" ht="12.0" customHeight="1">
      <c r="E982" s="4"/>
      <c r="F982" s="4"/>
      <c r="G982" s="4"/>
      <c r="H982" s="5"/>
      <c r="I982" s="146"/>
    </row>
    <row r="983" ht="12.0" customHeight="1">
      <c r="E983" s="4"/>
      <c r="F983" s="4"/>
      <c r="G983" s="4"/>
      <c r="H983" s="5"/>
      <c r="I983" s="146"/>
    </row>
    <row r="984" ht="12.0" customHeight="1">
      <c r="E984" s="4"/>
      <c r="F984" s="4"/>
      <c r="G984" s="4"/>
      <c r="H984" s="5"/>
      <c r="I984" s="146"/>
    </row>
    <row r="985" ht="12.0" customHeight="1">
      <c r="E985" s="4"/>
      <c r="F985" s="4"/>
      <c r="G985" s="4"/>
      <c r="H985" s="5"/>
      <c r="I985" s="146"/>
    </row>
    <row r="986" ht="12.0" customHeight="1">
      <c r="E986" s="4"/>
      <c r="F986" s="4"/>
      <c r="G986" s="4"/>
      <c r="H986" s="5"/>
      <c r="I986" s="146"/>
    </row>
    <row r="987" ht="12.0" customHeight="1">
      <c r="E987" s="4"/>
      <c r="F987" s="4"/>
      <c r="G987" s="4"/>
      <c r="H987" s="5"/>
      <c r="I987" s="146"/>
    </row>
    <row r="988" ht="12.0" customHeight="1">
      <c r="E988" s="4"/>
      <c r="F988" s="4"/>
      <c r="G988" s="4"/>
      <c r="H988" s="5"/>
      <c r="I988" s="146"/>
    </row>
    <row r="989" ht="12.0" customHeight="1">
      <c r="E989" s="4"/>
      <c r="F989" s="4"/>
      <c r="G989" s="4"/>
      <c r="H989" s="5"/>
      <c r="I989" s="146"/>
    </row>
    <row r="990" ht="12.0" customHeight="1">
      <c r="E990" s="4"/>
      <c r="F990" s="4"/>
      <c r="G990" s="4"/>
      <c r="H990" s="5"/>
      <c r="I990" s="146"/>
    </row>
    <row r="991" ht="12.0" customHeight="1">
      <c r="E991" s="4"/>
      <c r="F991" s="4"/>
      <c r="G991" s="4"/>
      <c r="H991" s="5"/>
      <c r="I991" s="146"/>
    </row>
    <row r="992" ht="12.0" customHeight="1">
      <c r="E992" s="4"/>
      <c r="F992" s="4"/>
      <c r="G992" s="4"/>
      <c r="H992" s="5"/>
      <c r="I992" s="146"/>
    </row>
    <row r="993" ht="12.0" customHeight="1">
      <c r="E993" s="4"/>
      <c r="F993" s="4"/>
      <c r="G993" s="4"/>
      <c r="H993" s="5"/>
      <c r="I993" s="146"/>
    </row>
    <row r="994" ht="12.0" customHeight="1">
      <c r="E994" s="4"/>
      <c r="F994" s="4"/>
      <c r="G994" s="4"/>
      <c r="H994" s="5"/>
      <c r="I994" s="146"/>
    </row>
    <row r="995" ht="12.0" customHeight="1">
      <c r="E995" s="4"/>
      <c r="F995" s="4"/>
      <c r="G995" s="4"/>
      <c r="H995" s="5"/>
      <c r="I995" s="146"/>
    </row>
    <row r="996" ht="12.0" customHeight="1">
      <c r="E996" s="4"/>
      <c r="F996" s="4"/>
      <c r="G996" s="4"/>
      <c r="H996" s="5"/>
      <c r="I996" s="146"/>
    </row>
    <row r="997" ht="12.0" customHeight="1">
      <c r="E997" s="4"/>
      <c r="F997" s="4"/>
      <c r="G997" s="4"/>
      <c r="H997" s="5"/>
      <c r="I997" s="146"/>
    </row>
    <row r="998" ht="12.0" customHeight="1">
      <c r="E998" s="4"/>
      <c r="F998" s="4"/>
      <c r="G998" s="4"/>
      <c r="H998" s="5"/>
      <c r="I998" s="146"/>
    </row>
    <row r="999" ht="12.0" customHeight="1">
      <c r="E999" s="4"/>
      <c r="F999" s="4"/>
      <c r="G999" s="4"/>
      <c r="H999" s="5"/>
      <c r="I999" s="146"/>
    </row>
    <row r="1000" ht="12.0" customHeight="1">
      <c r="E1000" s="4"/>
      <c r="F1000" s="4"/>
      <c r="G1000" s="4"/>
      <c r="H1000" s="5"/>
      <c r="I1000" s="146"/>
    </row>
  </sheetData>
  <mergeCells count="5">
    <mergeCell ref="C2:D2"/>
    <mergeCell ref="C3:D3"/>
    <mergeCell ref="C4:D4"/>
    <mergeCell ref="C5:D5"/>
    <mergeCell ref="C6:D6"/>
  </mergeCells>
  <conditionalFormatting sqref="C9:I330">
    <cfRule type="expression" dxfId="5" priority="1">
      <formula>$D9=DATE(YEAR(NOW()),MONTH(NOW()),1)</formula>
    </cfRule>
  </conditionalFormatting>
  <conditionalFormatting sqref="E4">
    <cfRule type="expression" dxfId="5" priority="2">
      <formula>$N4=DATE(YEAR(NOW()),MONTH(NOW()),1)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4.14"/>
    <col customWidth="1" min="3" max="3" width="13.0"/>
    <col customWidth="1" min="4" max="4" width="11.0"/>
    <col customWidth="1" min="5" max="5" width="13.57"/>
    <col customWidth="1" min="6" max="7" width="15.57"/>
    <col customWidth="1" min="8" max="8" width="16.86"/>
    <col customWidth="1" min="9" max="26" width="9.0"/>
  </cols>
  <sheetData>
    <row r="1" ht="12.0" customHeight="1"/>
    <row r="2" ht="12.0" customHeight="1">
      <c r="A2" s="5" t="s">
        <v>1049</v>
      </c>
    </row>
    <row r="3" ht="12.0" customHeight="1">
      <c r="B3" s="158" t="s">
        <v>1050</v>
      </c>
      <c r="C3" s="158" t="s">
        <v>115</v>
      </c>
      <c r="D3" s="232" t="s">
        <v>68</v>
      </c>
      <c r="E3" s="155" t="s">
        <v>23</v>
      </c>
      <c r="F3" s="233" t="s">
        <v>1051</v>
      </c>
      <c r="G3" s="234" t="s">
        <v>1052</v>
      </c>
    </row>
    <row r="4" ht="12.0" customHeight="1">
      <c r="B4" s="21">
        <v>1.0</v>
      </c>
      <c r="C4" s="5" t="s">
        <v>26</v>
      </c>
      <c r="D4" s="21" t="s">
        <v>76</v>
      </c>
      <c r="E4" s="21" t="s">
        <v>25</v>
      </c>
      <c r="F4" s="21" t="s">
        <v>17</v>
      </c>
      <c r="G4" s="21" t="s">
        <v>120</v>
      </c>
    </row>
    <row r="5" ht="12.0" customHeight="1">
      <c r="B5" s="21">
        <v>2.0</v>
      </c>
      <c r="C5" s="5" t="s">
        <v>24</v>
      </c>
      <c r="D5" s="21" t="s">
        <v>79</v>
      </c>
      <c r="E5" s="21" t="s">
        <v>27</v>
      </c>
      <c r="F5" s="21" t="s">
        <v>172</v>
      </c>
      <c r="G5" s="21" t="s">
        <v>1053</v>
      </c>
    </row>
    <row r="6" ht="12.0" customHeight="1">
      <c r="B6" s="21">
        <v>3.0</v>
      </c>
      <c r="C6" s="5" t="s">
        <v>128</v>
      </c>
      <c r="D6" s="21" t="s">
        <v>82</v>
      </c>
      <c r="E6" s="21" t="s">
        <v>29</v>
      </c>
      <c r="F6" s="21" t="s">
        <v>129</v>
      </c>
    </row>
    <row r="7" ht="12.0" customHeight="1">
      <c r="B7" s="21">
        <v>4.0</v>
      </c>
      <c r="C7" s="5" t="s">
        <v>119</v>
      </c>
      <c r="D7" s="21" t="s">
        <v>73</v>
      </c>
      <c r="E7" s="21" t="s">
        <v>32</v>
      </c>
    </row>
    <row r="8" ht="12.0" customHeight="1">
      <c r="B8" s="21">
        <v>5.0</v>
      </c>
      <c r="C8" s="5"/>
      <c r="D8" s="21" t="s">
        <v>84</v>
      </c>
      <c r="E8" s="21" t="s">
        <v>34</v>
      </c>
      <c r="O8" s="25"/>
    </row>
    <row r="9" ht="12.0" customHeight="1">
      <c r="B9" s="21">
        <v>6.0</v>
      </c>
      <c r="D9" s="21" t="s">
        <v>87</v>
      </c>
      <c r="E9" s="21" t="s">
        <v>36</v>
      </c>
      <c r="O9" s="25"/>
    </row>
    <row r="10" ht="12.0" customHeight="1">
      <c r="B10" s="21">
        <v>7.0</v>
      </c>
      <c r="D10" s="21" t="s">
        <v>72</v>
      </c>
      <c r="E10" s="21" t="s">
        <v>52</v>
      </c>
      <c r="O10" s="25"/>
    </row>
    <row r="11" ht="12.0" customHeight="1">
      <c r="B11" s="21">
        <v>8.0</v>
      </c>
      <c r="D11" s="21" t="s">
        <v>70</v>
      </c>
      <c r="E11" s="21" t="s">
        <v>38</v>
      </c>
      <c r="O11" s="25"/>
    </row>
    <row r="12" ht="12.0" customHeight="1">
      <c r="B12" s="21">
        <v>9.0</v>
      </c>
      <c r="E12" s="21" t="s">
        <v>1054</v>
      </c>
      <c r="O12" s="25"/>
    </row>
    <row r="13" ht="12.0" customHeight="1">
      <c r="B13" s="21">
        <v>10.0</v>
      </c>
      <c r="E13" s="21" t="s">
        <v>57</v>
      </c>
      <c r="O13" s="25"/>
    </row>
    <row r="14" ht="12.0" customHeight="1">
      <c r="B14" s="21">
        <v>11.0</v>
      </c>
      <c r="E14" s="21" t="s">
        <v>49</v>
      </c>
      <c r="O14" s="25"/>
    </row>
    <row r="15" ht="12.0" customHeight="1">
      <c r="B15" s="21">
        <v>12.0</v>
      </c>
      <c r="E15" s="21" t="s">
        <v>41</v>
      </c>
      <c r="O15" s="25"/>
    </row>
    <row r="16" ht="12.0" customHeight="1">
      <c r="B16" s="21">
        <v>13.0</v>
      </c>
      <c r="E16" s="21" t="s">
        <v>46</v>
      </c>
      <c r="O16" s="25"/>
    </row>
    <row r="17" ht="12.0" customHeight="1">
      <c r="B17" s="21">
        <v>14.0</v>
      </c>
      <c r="D17" s="21" t="s">
        <v>86</v>
      </c>
      <c r="E17" s="21" t="s">
        <v>53</v>
      </c>
      <c r="O17" s="25"/>
    </row>
    <row r="18" ht="12.0" customHeight="1">
      <c r="B18" s="21">
        <v>15.0</v>
      </c>
      <c r="E18" s="21" t="s">
        <v>44</v>
      </c>
      <c r="O18" s="25"/>
    </row>
    <row r="19" ht="12.0" customHeight="1">
      <c r="B19" s="21">
        <v>16.0</v>
      </c>
      <c r="E19" s="21" t="s">
        <v>54</v>
      </c>
      <c r="O19" s="25"/>
    </row>
    <row r="20" ht="12.0" customHeight="1">
      <c r="B20" s="21">
        <v>17.0</v>
      </c>
      <c r="E20" s="21" t="s">
        <v>61</v>
      </c>
      <c r="O20" s="25"/>
    </row>
    <row r="21" ht="12.0" customHeight="1">
      <c r="B21" s="21">
        <v>18.0</v>
      </c>
      <c r="E21" s="21" t="s">
        <v>59</v>
      </c>
      <c r="O21" s="25"/>
    </row>
    <row r="22" ht="12.0" customHeight="1">
      <c r="B22" s="21">
        <v>19.0</v>
      </c>
      <c r="O22" s="25"/>
    </row>
    <row r="23" ht="12.0" customHeight="1">
      <c r="B23" s="235">
        <v>20.0</v>
      </c>
      <c r="C23" s="235"/>
      <c r="D23" s="235"/>
      <c r="E23" s="235"/>
      <c r="F23" s="235"/>
      <c r="G23" s="235"/>
    </row>
    <row r="24" ht="12.0" customHeight="1">
      <c r="M24" s="25"/>
    </row>
    <row r="25" ht="12.0" customHeight="1">
      <c r="M25" s="25"/>
    </row>
    <row r="26" ht="12.0" customHeight="1">
      <c r="M26" s="25"/>
    </row>
    <row r="27" ht="12.0" customHeight="1">
      <c r="M27" s="25"/>
    </row>
    <row r="28" ht="12.0" customHeight="1">
      <c r="M28" s="25"/>
    </row>
    <row r="29" ht="12.0" customHeight="1">
      <c r="M29" s="25"/>
    </row>
    <row r="30" ht="12.0" customHeight="1">
      <c r="M30" s="25"/>
    </row>
    <row r="31" ht="12.0" customHeight="1">
      <c r="M31" s="25"/>
    </row>
    <row r="32" ht="12.0" customHeight="1">
      <c r="M32" s="25"/>
    </row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22.0"/>
    <col customWidth="1" min="3" max="5" width="19.43"/>
    <col customWidth="1" min="6" max="6" width="3.0"/>
    <col customWidth="1" min="7" max="7" width="22.0"/>
    <col customWidth="1" min="8" max="10" width="19.43"/>
    <col customWidth="1" min="11" max="26" width="9.0"/>
  </cols>
  <sheetData>
    <row r="1" ht="12.0" customHeight="1">
      <c r="A1" s="21" t="s">
        <v>86</v>
      </c>
      <c r="C1" s="4"/>
      <c r="D1" s="4"/>
      <c r="E1" s="4"/>
      <c r="H1" s="4"/>
      <c r="I1" s="4"/>
      <c r="J1" s="4"/>
    </row>
    <row r="2" ht="12.0" customHeight="1">
      <c r="B2" s="236" t="s">
        <v>1004</v>
      </c>
      <c r="C2" s="178">
        <v>2.888E7</v>
      </c>
      <c r="D2" s="237">
        <f>C2</f>
        <v>28880000</v>
      </c>
      <c r="G2" s="238" t="s">
        <v>1004</v>
      </c>
      <c r="H2" s="178">
        <v>3.6E7</v>
      </c>
      <c r="I2" s="237">
        <f>H2</f>
        <v>36000000</v>
      </c>
    </row>
    <row r="3" ht="12.0" customHeight="1">
      <c r="B3" s="239" t="s">
        <v>1006</v>
      </c>
      <c r="C3" s="192">
        <v>0.0271</v>
      </c>
      <c r="D3" s="171"/>
      <c r="E3" s="4"/>
      <c r="G3" s="240" t="s">
        <v>1006</v>
      </c>
      <c r="H3" s="192">
        <v>0.027</v>
      </c>
      <c r="I3" s="171"/>
      <c r="J3" s="4"/>
    </row>
    <row r="4" ht="12.0" customHeight="1">
      <c r="B4" s="239" t="s">
        <v>1008</v>
      </c>
      <c r="C4" s="195">
        <v>1.0</v>
      </c>
      <c r="D4" s="241">
        <f>C4*12</f>
        <v>12</v>
      </c>
      <c r="G4" s="240" t="s">
        <v>1008</v>
      </c>
      <c r="H4" s="195">
        <v>3.0</v>
      </c>
      <c r="I4" s="241">
        <f>H4*12</f>
        <v>36</v>
      </c>
    </row>
    <row r="5" ht="12.0" customHeight="1">
      <c r="B5" s="242" t="s">
        <v>1010</v>
      </c>
      <c r="C5" s="243">
        <f>E9*D4-C2</f>
        <v>425687.5387</v>
      </c>
      <c r="D5" s="4"/>
      <c r="E5" s="4"/>
      <c r="G5" s="242" t="s">
        <v>1010</v>
      </c>
      <c r="H5" s="243">
        <f>J9*I4-H2</f>
        <v>1518143.575</v>
      </c>
      <c r="I5" s="4">
        <v>7359668.0</v>
      </c>
      <c r="J5" s="4">
        <f>H5-I5</f>
        <v>-5841524.425</v>
      </c>
    </row>
    <row r="6" ht="12.0" customHeight="1">
      <c r="B6" s="244" t="s">
        <v>1012</v>
      </c>
      <c r="C6" s="245">
        <f>E9</f>
        <v>2442140.628</v>
      </c>
      <c r="D6" s="4"/>
      <c r="E6" s="4"/>
      <c r="G6" s="244" t="s">
        <v>1012</v>
      </c>
      <c r="H6" s="245">
        <f>J9</f>
        <v>1042170.655</v>
      </c>
      <c r="I6" s="4"/>
      <c r="J6" s="4"/>
    </row>
    <row r="7" ht="12.0" customHeight="1">
      <c r="C7" s="4"/>
      <c r="D7" s="4"/>
      <c r="E7" s="4"/>
      <c r="H7" s="4"/>
      <c r="I7" s="4"/>
      <c r="J7" s="4"/>
    </row>
    <row r="8" ht="12.0" customHeight="1">
      <c r="B8" s="185" t="s">
        <v>1014</v>
      </c>
      <c r="C8" s="185" t="s">
        <v>1016</v>
      </c>
      <c r="D8" s="246" t="s">
        <v>1017</v>
      </c>
      <c r="E8" s="185" t="s">
        <v>1018</v>
      </c>
      <c r="G8" s="185" t="s">
        <v>1014</v>
      </c>
      <c r="H8" s="185" t="s">
        <v>1016</v>
      </c>
      <c r="I8" s="246" t="s">
        <v>1017</v>
      </c>
      <c r="J8" s="185" t="s">
        <v>1018</v>
      </c>
    </row>
    <row r="9" ht="12.0" customHeight="1">
      <c r="B9" s="222">
        <v>1.0</v>
      </c>
      <c r="C9" s="222">
        <f t="shared" ref="C9:C368" si="1">IFERROR(ABS(PPMT($C$3/12,$B9,$D$4,$C$2)),0)</f>
        <v>2376919.962</v>
      </c>
      <c r="D9" s="222">
        <f t="shared" ref="D9:D368" si="2">IF(C9&gt;0,E9-C9,0)</f>
        <v>65220.66667</v>
      </c>
      <c r="E9" s="222">
        <f t="shared" ref="E9:E368" si="3">IF(C9&gt;0,$C$2*$C$3/12*(1+$C$3/12)^$D$4/((1+$C$3/12)^$D$4-1),0)</f>
        <v>2442140.628</v>
      </c>
      <c r="G9" s="222">
        <v>1.0</v>
      </c>
      <c r="H9" s="222">
        <f t="shared" ref="H9:H26" si="4">IFERROR(ABS(PPMT($H$3/12,$G9,$I$4,$H$2)),0)</f>
        <v>961170.6548</v>
      </c>
      <c r="I9" s="222">
        <f t="shared" ref="I9:I26" si="5">IF(H9&gt;0,J9-H9,0)</f>
        <v>81000</v>
      </c>
      <c r="J9" s="222">
        <f t="shared" ref="J9:J26" si="6">IF(H9&gt;0,$H$2*$H$3/12*(1+$H$3/12)^$I$4/((1+$H$3/12)^$I$4-1),0)</f>
        <v>1042170.655</v>
      </c>
    </row>
    <row r="10" ht="12.0" customHeight="1">
      <c r="B10" s="222">
        <v>2.0</v>
      </c>
      <c r="C10" s="222">
        <f t="shared" si="1"/>
        <v>2382287.839</v>
      </c>
      <c r="D10" s="222">
        <f t="shared" si="2"/>
        <v>59852.78909</v>
      </c>
      <c r="E10" s="222">
        <f t="shared" si="3"/>
        <v>2442140.628</v>
      </c>
      <c r="G10" s="222">
        <v>2.0</v>
      </c>
      <c r="H10" s="222">
        <f t="shared" si="4"/>
        <v>963333.2888</v>
      </c>
      <c r="I10" s="222">
        <f t="shared" si="5"/>
        <v>78837.36603</v>
      </c>
      <c r="J10" s="222">
        <f t="shared" si="6"/>
        <v>1042170.655</v>
      </c>
    </row>
    <row r="11" ht="12.0" customHeight="1">
      <c r="B11" s="222">
        <v>3.0</v>
      </c>
      <c r="C11" s="222">
        <f t="shared" si="1"/>
        <v>2387667.839</v>
      </c>
      <c r="D11" s="222">
        <f t="shared" si="2"/>
        <v>54472.78905</v>
      </c>
      <c r="E11" s="222">
        <f t="shared" si="3"/>
        <v>2442140.628</v>
      </c>
      <c r="G11" s="222">
        <v>3.0</v>
      </c>
      <c r="H11" s="222">
        <f t="shared" si="4"/>
        <v>965500.7887</v>
      </c>
      <c r="I11" s="222">
        <f t="shared" si="5"/>
        <v>76669.86613</v>
      </c>
      <c r="J11" s="222">
        <f t="shared" si="6"/>
        <v>1042170.655</v>
      </c>
    </row>
    <row r="12" ht="12.0" customHeight="1">
      <c r="B12" s="222">
        <v>4.0</v>
      </c>
      <c r="C12" s="222">
        <f t="shared" si="1"/>
        <v>2393059.989</v>
      </c>
      <c r="D12" s="222">
        <f t="shared" si="2"/>
        <v>49080.63918</v>
      </c>
      <c r="E12" s="222">
        <f t="shared" si="3"/>
        <v>2442140.628</v>
      </c>
      <c r="G12" s="222">
        <v>4.0</v>
      </c>
      <c r="H12" s="222">
        <f t="shared" si="4"/>
        <v>967673.1655</v>
      </c>
      <c r="I12" s="222">
        <f t="shared" si="5"/>
        <v>74497.48935</v>
      </c>
      <c r="J12" s="222">
        <f t="shared" si="6"/>
        <v>1042170.655</v>
      </c>
    </row>
    <row r="13" ht="12.0" customHeight="1">
      <c r="B13" s="222">
        <v>5.0</v>
      </c>
      <c r="C13" s="222">
        <f t="shared" si="1"/>
        <v>2398464.316</v>
      </c>
      <c r="D13" s="222">
        <f t="shared" si="2"/>
        <v>43676.31204</v>
      </c>
      <c r="E13" s="222">
        <f t="shared" si="3"/>
        <v>2442140.628</v>
      </c>
      <c r="G13" s="222">
        <v>5.0</v>
      </c>
      <c r="H13" s="222">
        <f t="shared" si="4"/>
        <v>969850.4301</v>
      </c>
      <c r="I13" s="222">
        <f t="shared" si="5"/>
        <v>72320.22473</v>
      </c>
      <c r="J13" s="222">
        <f t="shared" si="6"/>
        <v>1042170.655</v>
      </c>
    </row>
    <row r="14" ht="12.0" customHeight="1">
      <c r="B14" s="222">
        <v>6.0</v>
      </c>
      <c r="C14" s="222">
        <f t="shared" si="1"/>
        <v>2403880.848</v>
      </c>
      <c r="D14" s="222">
        <f t="shared" si="2"/>
        <v>38259.78012</v>
      </c>
      <c r="E14" s="222">
        <f t="shared" si="3"/>
        <v>2442140.628</v>
      </c>
      <c r="G14" s="222">
        <v>6.0</v>
      </c>
      <c r="H14" s="222">
        <f t="shared" si="4"/>
        <v>972032.5936</v>
      </c>
      <c r="I14" s="222">
        <f t="shared" si="5"/>
        <v>70138.06126</v>
      </c>
      <c r="J14" s="222">
        <f t="shared" si="6"/>
        <v>1042170.655</v>
      </c>
    </row>
    <row r="15" ht="12.0" customHeight="1">
      <c r="B15" s="222">
        <v>7.0</v>
      </c>
      <c r="C15" s="222">
        <f t="shared" si="1"/>
        <v>2409309.612</v>
      </c>
      <c r="D15" s="222">
        <f t="shared" si="2"/>
        <v>32831.01588</v>
      </c>
      <c r="E15" s="222">
        <f t="shared" si="3"/>
        <v>2442140.628</v>
      </c>
      <c r="G15" s="222">
        <v>12.0</v>
      </c>
      <c r="H15" s="222">
        <f t="shared" si="4"/>
        <v>985229.0691</v>
      </c>
      <c r="I15" s="222">
        <f t="shared" si="5"/>
        <v>56941.58571</v>
      </c>
      <c r="J15" s="222">
        <f t="shared" si="6"/>
        <v>1042170.655</v>
      </c>
    </row>
    <row r="16" ht="12.0" customHeight="1">
      <c r="B16" s="222">
        <v>8.0</v>
      </c>
      <c r="C16" s="222">
        <f t="shared" si="1"/>
        <v>2414750.637</v>
      </c>
      <c r="D16" s="222">
        <f t="shared" si="2"/>
        <v>27389.99167</v>
      </c>
      <c r="E16" s="222">
        <f t="shared" si="3"/>
        <v>2442140.628</v>
      </c>
      <c r="G16" s="222">
        <f>12*2</f>
        <v>24</v>
      </c>
      <c r="H16" s="222">
        <f t="shared" si="4"/>
        <v>1012161.925</v>
      </c>
      <c r="I16" s="222">
        <f t="shared" si="5"/>
        <v>30008.72971</v>
      </c>
      <c r="J16" s="222">
        <f t="shared" si="6"/>
        <v>1042170.655</v>
      </c>
    </row>
    <row r="17" ht="12.0" customHeight="1">
      <c r="B17" s="222">
        <v>9.0</v>
      </c>
      <c r="C17" s="222">
        <f t="shared" si="1"/>
        <v>2420203.948</v>
      </c>
      <c r="D17" s="222">
        <f t="shared" si="2"/>
        <v>21936.67981</v>
      </c>
      <c r="E17" s="222">
        <f t="shared" si="3"/>
        <v>2442140.628</v>
      </c>
      <c r="G17" s="222">
        <f>12*3</f>
        <v>36</v>
      </c>
      <c r="H17" s="222">
        <f t="shared" si="4"/>
        <v>1039831.035</v>
      </c>
      <c r="I17" s="222">
        <f t="shared" si="5"/>
        <v>2339.619829</v>
      </c>
      <c r="J17" s="222">
        <f t="shared" si="6"/>
        <v>1042170.655</v>
      </c>
    </row>
    <row r="18" ht="12.0" customHeight="1">
      <c r="B18" s="222">
        <v>10.0</v>
      </c>
      <c r="C18" s="222">
        <f t="shared" si="1"/>
        <v>2425669.576</v>
      </c>
      <c r="D18" s="222">
        <f t="shared" si="2"/>
        <v>16471.05256</v>
      </c>
      <c r="E18" s="222">
        <f t="shared" si="3"/>
        <v>2442140.628</v>
      </c>
      <c r="G18" s="222">
        <f>12*4</f>
        <v>48</v>
      </c>
      <c r="H18" s="222">
        <f t="shared" si="4"/>
        <v>0</v>
      </c>
      <c r="I18" s="222">
        <f t="shared" si="5"/>
        <v>0</v>
      </c>
      <c r="J18" s="222">
        <f t="shared" si="6"/>
        <v>0</v>
      </c>
    </row>
    <row r="19" ht="12.0" customHeight="1">
      <c r="B19" s="222">
        <v>11.0</v>
      </c>
      <c r="C19" s="222">
        <f t="shared" si="1"/>
        <v>2431147.546</v>
      </c>
      <c r="D19" s="222">
        <f t="shared" si="2"/>
        <v>10993.0821</v>
      </c>
      <c r="E19" s="222">
        <f t="shared" si="3"/>
        <v>2442140.628</v>
      </c>
      <c r="G19" s="222">
        <f>12*5</f>
        <v>60</v>
      </c>
      <c r="H19" s="222">
        <f t="shared" si="4"/>
        <v>0</v>
      </c>
      <c r="I19" s="222">
        <f t="shared" si="5"/>
        <v>0</v>
      </c>
      <c r="J19" s="222">
        <f t="shared" si="6"/>
        <v>0</v>
      </c>
    </row>
    <row r="20" ht="12.0" customHeight="1">
      <c r="B20" s="222">
        <v>12.0</v>
      </c>
      <c r="C20" s="222">
        <f t="shared" si="1"/>
        <v>2436637.888</v>
      </c>
      <c r="D20" s="222">
        <f t="shared" si="2"/>
        <v>5502.740563</v>
      </c>
      <c r="E20" s="222">
        <f t="shared" si="3"/>
        <v>2442140.628</v>
      </c>
      <c r="G20" s="222">
        <f>12*6</f>
        <v>72</v>
      </c>
      <c r="H20" s="222">
        <f t="shared" si="4"/>
        <v>0</v>
      </c>
      <c r="I20" s="222">
        <f t="shared" si="5"/>
        <v>0</v>
      </c>
      <c r="J20" s="222">
        <f t="shared" si="6"/>
        <v>0</v>
      </c>
    </row>
    <row r="21" ht="12.0" customHeight="1">
      <c r="B21" s="222">
        <v>13.0</v>
      </c>
      <c r="C21" s="222">
        <f t="shared" si="1"/>
        <v>0</v>
      </c>
      <c r="D21" s="222">
        <f t="shared" si="2"/>
        <v>0</v>
      </c>
      <c r="E21" s="222">
        <f t="shared" si="3"/>
        <v>0</v>
      </c>
      <c r="G21" s="222">
        <f>12*7</f>
        <v>84</v>
      </c>
      <c r="H21" s="222">
        <f t="shared" si="4"/>
        <v>0</v>
      </c>
      <c r="I21" s="222">
        <f t="shared" si="5"/>
        <v>0</v>
      </c>
      <c r="J21" s="222">
        <f t="shared" si="6"/>
        <v>0</v>
      </c>
    </row>
    <row r="22" ht="12.0" customHeight="1">
      <c r="B22" s="222">
        <v>14.0</v>
      </c>
      <c r="C22" s="222">
        <f t="shared" si="1"/>
        <v>0</v>
      </c>
      <c r="D22" s="222">
        <f t="shared" si="2"/>
        <v>0</v>
      </c>
      <c r="E22" s="222">
        <f t="shared" si="3"/>
        <v>0</v>
      </c>
      <c r="G22" s="222">
        <f>12*8</f>
        <v>96</v>
      </c>
      <c r="H22" s="222">
        <f t="shared" si="4"/>
        <v>0</v>
      </c>
      <c r="I22" s="222">
        <f t="shared" si="5"/>
        <v>0</v>
      </c>
      <c r="J22" s="222">
        <f t="shared" si="6"/>
        <v>0</v>
      </c>
    </row>
    <row r="23" ht="12.0" customHeight="1">
      <c r="B23" s="222">
        <v>15.0</v>
      </c>
      <c r="C23" s="222">
        <f t="shared" si="1"/>
        <v>0</v>
      </c>
      <c r="D23" s="222">
        <f t="shared" si="2"/>
        <v>0</v>
      </c>
      <c r="E23" s="222">
        <f t="shared" si="3"/>
        <v>0</v>
      </c>
      <c r="G23" s="222">
        <f>12*9</f>
        <v>108</v>
      </c>
      <c r="H23" s="222">
        <f t="shared" si="4"/>
        <v>0</v>
      </c>
      <c r="I23" s="222">
        <f t="shared" si="5"/>
        <v>0</v>
      </c>
      <c r="J23" s="222">
        <f t="shared" si="6"/>
        <v>0</v>
      </c>
    </row>
    <row r="24" ht="12.0" customHeight="1">
      <c r="B24" s="222">
        <v>16.0</v>
      </c>
      <c r="C24" s="222">
        <f t="shared" si="1"/>
        <v>0</v>
      </c>
      <c r="D24" s="222">
        <f t="shared" si="2"/>
        <v>0</v>
      </c>
      <c r="E24" s="222">
        <f t="shared" si="3"/>
        <v>0</v>
      </c>
      <c r="G24" s="222">
        <f>12*10</f>
        <v>120</v>
      </c>
      <c r="H24" s="222">
        <f t="shared" si="4"/>
        <v>0</v>
      </c>
      <c r="I24" s="222">
        <f t="shared" si="5"/>
        <v>0</v>
      </c>
      <c r="J24" s="222">
        <f t="shared" si="6"/>
        <v>0</v>
      </c>
    </row>
    <row r="25" ht="12.0" customHeight="1">
      <c r="B25" s="222">
        <v>17.0</v>
      </c>
      <c r="C25" s="222">
        <f t="shared" si="1"/>
        <v>0</v>
      </c>
      <c r="D25" s="222">
        <f t="shared" si="2"/>
        <v>0</v>
      </c>
      <c r="E25" s="222">
        <f t="shared" si="3"/>
        <v>0</v>
      </c>
      <c r="G25" s="222">
        <f>12*12</f>
        <v>144</v>
      </c>
      <c r="H25" s="222">
        <f t="shared" si="4"/>
        <v>0</v>
      </c>
      <c r="I25" s="222">
        <f t="shared" si="5"/>
        <v>0</v>
      </c>
      <c r="J25" s="222">
        <f t="shared" si="6"/>
        <v>0</v>
      </c>
    </row>
    <row r="26" ht="12.0" customHeight="1">
      <c r="B26" s="222">
        <v>18.0</v>
      </c>
      <c r="C26" s="222">
        <f t="shared" si="1"/>
        <v>0</v>
      </c>
      <c r="D26" s="222">
        <f t="shared" si="2"/>
        <v>0</v>
      </c>
      <c r="E26" s="222">
        <f t="shared" si="3"/>
        <v>0</v>
      </c>
      <c r="G26" s="222">
        <f>12*15</f>
        <v>180</v>
      </c>
      <c r="H26" s="222">
        <f t="shared" si="4"/>
        <v>0</v>
      </c>
      <c r="I26" s="222">
        <f t="shared" si="5"/>
        <v>0</v>
      </c>
      <c r="J26" s="222">
        <f t="shared" si="6"/>
        <v>0</v>
      </c>
    </row>
    <row r="27" ht="12.0" customHeight="1">
      <c r="B27" s="222">
        <v>19.0</v>
      </c>
      <c r="C27" s="222">
        <f t="shared" si="1"/>
        <v>0</v>
      </c>
      <c r="D27" s="222">
        <f t="shared" si="2"/>
        <v>0</v>
      </c>
      <c r="E27" s="222">
        <f t="shared" si="3"/>
        <v>0</v>
      </c>
      <c r="H27" s="4"/>
      <c r="I27" s="4"/>
      <c r="J27" s="4"/>
    </row>
    <row r="28" ht="12.0" customHeight="1">
      <c r="B28" s="222">
        <v>20.0</v>
      </c>
      <c r="C28" s="222">
        <f t="shared" si="1"/>
        <v>0</v>
      </c>
      <c r="D28" s="222">
        <f t="shared" si="2"/>
        <v>0</v>
      </c>
      <c r="E28" s="222">
        <f t="shared" si="3"/>
        <v>0</v>
      </c>
      <c r="H28" s="4"/>
      <c r="I28" s="4"/>
      <c r="J28" s="4"/>
    </row>
    <row r="29" ht="12.0" customHeight="1">
      <c r="B29" s="222">
        <v>21.0</v>
      </c>
      <c r="C29" s="222">
        <f t="shared" si="1"/>
        <v>0</v>
      </c>
      <c r="D29" s="222">
        <f t="shared" si="2"/>
        <v>0</v>
      </c>
      <c r="E29" s="222">
        <f t="shared" si="3"/>
        <v>0</v>
      </c>
      <c r="H29" s="4"/>
      <c r="I29" s="4"/>
      <c r="J29" s="4"/>
    </row>
    <row r="30" ht="12.0" customHeight="1">
      <c r="B30" s="222">
        <v>22.0</v>
      </c>
      <c r="C30" s="222">
        <f t="shared" si="1"/>
        <v>0</v>
      </c>
      <c r="D30" s="222">
        <f t="shared" si="2"/>
        <v>0</v>
      </c>
      <c r="E30" s="222">
        <f t="shared" si="3"/>
        <v>0</v>
      </c>
      <c r="H30" s="4"/>
      <c r="I30" s="4"/>
      <c r="J30" s="4"/>
    </row>
    <row r="31" ht="12.0" customHeight="1">
      <c r="B31" s="222">
        <v>23.0</v>
      </c>
      <c r="C31" s="222">
        <f t="shared" si="1"/>
        <v>0</v>
      </c>
      <c r="D31" s="222">
        <f t="shared" si="2"/>
        <v>0</v>
      </c>
      <c r="E31" s="222">
        <f t="shared" si="3"/>
        <v>0</v>
      </c>
      <c r="H31" s="4"/>
      <c r="I31" s="4"/>
      <c r="J31" s="4"/>
    </row>
    <row r="32" ht="12.0" customHeight="1">
      <c r="B32" s="222">
        <v>24.0</v>
      </c>
      <c r="C32" s="222">
        <f t="shared" si="1"/>
        <v>0</v>
      </c>
      <c r="D32" s="222">
        <f t="shared" si="2"/>
        <v>0</v>
      </c>
      <c r="E32" s="222">
        <f t="shared" si="3"/>
        <v>0</v>
      </c>
      <c r="H32" s="4"/>
      <c r="I32" s="4"/>
      <c r="J32" s="4"/>
    </row>
    <row r="33" ht="12.0" customHeight="1">
      <c r="B33" s="222">
        <v>25.0</v>
      </c>
      <c r="C33" s="222">
        <f t="shared" si="1"/>
        <v>0</v>
      </c>
      <c r="D33" s="222">
        <f t="shared" si="2"/>
        <v>0</v>
      </c>
      <c r="E33" s="222">
        <f t="shared" si="3"/>
        <v>0</v>
      </c>
      <c r="H33" s="4"/>
      <c r="I33" s="4"/>
      <c r="J33" s="4"/>
    </row>
    <row r="34" ht="12.0" customHeight="1">
      <c r="B34" s="222">
        <v>26.0</v>
      </c>
      <c r="C34" s="222">
        <f t="shared" si="1"/>
        <v>0</v>
      </c>
      <c r="D34" s="222">
        <f t="shared" si="2"/>
        <v>0</v>
      </c>
      <c r="E34" s="222">
        <f t="shared" si="3"/>
        <v>0</v>
      </c>
      <c r="H34" s="4"/>
      <c r="I34" s="4"/>
      <c r="J34" s="4"/>
    </row>
    <row r="35" ht="12.0" customHeight="1">
      <c r="B35" s="222">
        <v>27.0</v>
      </c>
      <c r="C35" s="222">
        <f t="shared" si="1"/>
        <v>0</v>
      </c>
      <c r="D35" s="222">
        <f t="shared" si="2"/>
        <v>0</v>
      </c>
      <c r="E35" s="222">
        <f t="shared" si="3"/>
        <v>0</v>
      </c>
      <c r="H35" s="4"/>
      <c r="I35" s="4"/>
      <c r="J35" s="4"/>
    </row>
    <row r="36" ht="12.0" customHeight="1">
      <c r="B36" s="222">
        <v>28.0</v>
      </c>
      <c r="C36" s="222">
        <f t="shared" si="1"/>
        <v>0</v>
      </c>
      <c r="D36" s="222">
        <f t="shared" si="2"/>
        <v>0</v>
      </c>
      <c r="E36" s="222">
        <f t="shared" si="3"/>
        <v>0</v>
      </c>
      <c r="H36" s="4"/>
      <c r="I36" s="4"/>
      <c r="J36" s="4"/>
    </row>
    <row r="37" ht="12.0" customHeight="1">
      <c r="B37" s="222">
        <v>29.0</v>
      </c>
      <c r="C37" s="222">
        <f t="shared" si="1"/>
        <v>0</v>
      </c>
      <c r="D37" s="222">
        <f t="shared" si="2"/>
        <v>0</v>
      </c>
      <c r="E37" s="222">
        <f t="shared" si="3"/>
        <v>0</v>
      </c>
      <c r="H37" s="4"/>
      <c r="I37" s="4"/>
      <c r="J37" s="4"/>
    </row>
    <row r="38" ht="12.0" customHeight="1">
      <c r="B38" s="222">
        <v>30.0</v>
      </c>
      <c r="C38" s="222">
        <f t="shared" si="1"/>
        <v>0</v>
      </c>
      <c r="D38" s="222">
        <f t="shared" si="2"/>
        <v>0</v>
      </c>
      <c r="E38" s="222">
        <f t="shared" si="3"/>
        <v>0</v>
      </c>
      <c r="H38" s="4"/>
      <c r="I38" s="4"/>
      <c r="J38" s="4"/>
    </row>
    <row r="39" ht="12.0" customHeight="1">
      <c r="B39" s="222">
        <v>31.0</v>
      </c>
      <c r="C39" s="222">
        <f t="shared" si="1"/>
        <v>0</v>
      </c>
      <c r="D39" s="222">
        <f t="shared" si="2"/>
        <v>0</v>
      </c>
      <c r="E39" s="222">
        <f t="shared" si="3"/>
        <v>0</v>
      </c>
      <c r="H39" s="4"/>
      <c r="I39" s="4"/>
      <c r="J39" s="4"/>
    </row>
    <row r="40" ht="12.0" customHeight="1">
      <c r="B40" s="222">
        <v>32.0</v>
      </c>
      <c r="C40" s="222">
        <f t="shared" si="1"/>
        <v>0</v>
      </c>
      <c r="D40" s="222">
        <f t="shared" si="2"/>
        <v>0</v>
      </c>
      <c r="E40" s="222">
        <f t="shared" si="3"/>
        <v>0</v>
      </c>
      <c r="H40" s="4"/>
      <c r="I40" s="4"/>
      <c r="J40" s="4"/>
    </row>
    <row r="41" ht="12.0" customHeight="1">
      <c r="B41" s="222">
        <v>33.0</v>
      </c>
      <c r="C41" s="222">
        <f t="shared" si="1"/>
        <v>0</v>
      </c>
      <c r="D41" s="222">
        <f t="shared" si="2"/>
        <v>0</v>
      </c>
      <c r="E41" s="222">
        <f t="shared" si="3"/>
        <v>0</v>
      </c>
      <c r="H41" s="4"/>
      <c r="I41" s="4"/>
      <c r="J41" s="4"/>
    </row>
    <row r="42" ht="12.0" customHeight="1">
      <c r="B42" s="222">
        <v>34.0</v>
      </c>
      <c r="C42" s="222">
        <f t="shared" si="1"/>
        <v>0</v>
      </c>
      <c r="D42" s="222">
        <f t="shared" si="2"/>
        <v>0</v>
      </c>
      <c r="E42" s="222">
        <f t="shared" si="3"/>
        <v>0</v>
      </c>
      <c r="H42" s="4"/>
      <c r="I42" s="4"/>
      <c r="J42" s="4"/>
    </row>
    <row r="43" ht="12.0" customHeight="1">
      <c r="B43" s="222">
        <v>35.0</v>
      </c>
      <c r="C43" s="222">
        <f t="shared" si="1"/>
        <v>0</v>
      </c>
      <c r="D43" s="222">
        <f t="shared" si="2"/>
        <v>0</v>
      </c>
      <c r="E43" s="222">
        <f t="shared" si="3"/>
        <v>0</v>
      </c>
      <c r="H43" s="4"/>
      <c r="I43" s="4"/>
      <c r="J43" s="4"/>
    </row>
    <row r="44" ht="12.0" customHeight="1">
      <c r="B44" s="222">
        <v>36.0</v>
      </c>
      <c r="C44" s="222">
        <f t="shared" si="1"/>
        <v>0</v>
      </c>
      <c r="D44" s="222">
        <f t="shared" si="2"/>
        <v>0</v>
      </c>
      <c r="E44" s="222">
        <f t="shared" si="3"/>
        <v>0</v>
      </c>
      <c r="H44" s="4"/>
      <c r="I44" s="4"/>
      <c r="J44" s="4"/>
    </row>
    <row r="45" ht="12.0" customHeight="1">
      <c r="B45" s="222">
        <v>37.0</v>
      </c>
      <c r="C45" s="222">
        <f t="shared" si="1"/>
        <v>0</v>
      </c>
      <c r="D45" s="222">
        <f t="shared" si="2"/>
        <v>0</v>
      </c>
      <c r="E45" s="222">
        <f t="shared" si="3"/>
        <v>0</v>
      </c>
      <c r="H45" s="4"/>
      <c r="I45" s="4"/>
      <c r="J45" s="4"/>
    </row>
    <row r="46" ht="12.0" customHeight="1">
      <c r="B46" s="222">
        <v>38.0</v>
      </c>
      <c r="C46" s="222">
        <f t="shared" si="1"/>
        <v>0</v>
      </c>
      <c r="D46" s="222">
        <f t="shared" si="2"/>
        <v>0</v>
      </c>
      <c r="E46" s="222">
        <f t="shared" si="3"/>
        <v>0</v>
      </c>
      <c r="H46" s="4"/>
      <c r="I46" s="4"/>
      <c r="J46" s="4"/>
    </row>
    <row r="47" ht="12.0" customHeight="1">
      <c r="B47" s="222">
        <v>39.0</v>
      </c>
      <c r="C47" s="222">
        <f t="shared" si="1"/>
        <v>0</v>
      </c>
      <c r="D47" s="222">
        <f t="shared" si="2"/>
        <v>0</v>
      </c>
      <c r="E47" s="222">
        <f t="shared" si="3"/>
        <v>0</v>
      </c>
      <c r="H47" s="4"/>
      <c r="I47" s="4"/>
      <c r="J47" s="4"/>
    </row>
    <row r="48" ht="12.0" customHeight="1">
      <c r="B48" s="222">
        <v>40.0</v>
      </c>
      <c r="C48" s="222">
        <f t="shared" si="1"/>
        <v>0</v>
      </c>
      <c r="D48" s="222">
        <f t="shared" si="2"/>
        <v>0</v>
      </c>
      <c r="E48" s="222">
        <f t="shared" si="3"/>
        <v>0</v>
      </c>
      <c r="H48" s="4"/>
      <c r="I48" s="4"/>
      <c r="J48" s="4"/>
    </row>
    <row r="49" ht="12.0" customHeight="1">
      <c r="B49" s="222">
        <v>41.0</v>
      </c>
      <c r="C49" s="222">
        <f t="shared" si="1"/>
        <v>0</v>
      </c>
      <c r="D49" s="222">
        <f t="shared" si="2"/>
        <v>0</v>
      </c>
      <c r="E49" s="222">
        <f t="shared" si="3"/>
        <v>0</v>
      </c>
      <c r="H49" s="4"/>
      <c r="I49" s="4"/>
      <c r="J49" s="4"/>
    </row>
    <row r="50" ht="12.0" customHeight="1">
      <c r="B50" s="222">
        <v>42.0</v>
      </c>
      <c r="C50" s="222">
        <f t="shared" si="1"/>
        <v>0</v>
      </c>
      <c r="D50" s="222">
        <f t="shared" si="2"/>
        <v>0</v>
      </c>
      <c r="E50" s="222">
        <f t="shared" si="3"/>
        <v>0</v>
      </c>
      <c r="H50" s="4"/>
      <c r="I50" s="4"/>
      <c r="J50" s="4"/>
    </row>
    <row r="51" ht="12.0" customHeight="1">
      <c r="B51" s="222">
        <v>43.0</v>
      </c>
      <c r="C51" s="222">
        <f t="shared" si="1"/>
        <v>0</v>
      </c>
      <c r="D51" s="222">
        <f t="shared" si="2"/>
        <v>0</v>
      </c>
      <c r="E51" s="222">
        <f t="shared" si="3"/>
        <v>0</v>
      </c>
      <c r="H51" s="4"/>
      <c r="I51" s="4"/>
      <c r="J51" s="4"/>
    </row>
    <row r="52" ht="12.0" customHeight="1">
      <c r="B52" s="222">
        <v>44.0</v>
      </c>
      <c r="C52" s="222">
        <f t="shared" si="1"/>
        <v>0</v>
      </c>
      <c r="D52" s="222">
        <f t="shared" si="2"/>
        <v>0</v>
      </c>
      <c r="E52" s="222">
        <f t="shared" si="3"/>
        <v>0</v>
      </c>
      <c r="H52" s="4"/>
      <c r="I52" s="4"/>
      <c r="J52" s="4"/>
    </row>
    <row r="53" ht="12.0" customHeight="1">
      <c r="B53" s="222">
        <v>45.0</v>
      </c>
      <c r="C53" s="222">
        <f t="shared" si="1"/>
        <v>0</v>
      </c>
      <c r="D53" s="222">
        <f t="shared" si="2"/>
        <v>0</v>
      </c>
      <c r="E53" s="222">
        <f t="shared" si="3"/>
        <v>0</v>
      </c>
      <c r="H53" s="4"/>
      <c r="I53" s="4"/>
      <c r="J53" s="4"/>
    </row>
    <row r="54" ht="12.0" customHeight="1">
      <c r="B54" s="222">
        <v>46.0</v>
      </c>
      <c r="C54" s="222">
        <f t="shared" si="1"/>
        <v>0</v>
      </c>
      <c r="D54" s="222">
        <f t="shared" si="2"/>
        <v>0</v>
      </c>
      <c r="E54" s="222">
        <f t="shared" si="3"/>
        <v>0</v>
      </c>
      <c r="H54" s="4"/>
      <c r="I54" s="4"/>
      <c r="J54" s="4"/>
    </row>
    <row r="55" ht="12.0" customHeight="1">
      <c r="B55" s="222">
        <v>47.0</v>
      </c>
      <c r="C55" s="222">
        <f t="shared" si="1"/>
        <v>0</v>
      </c>
      <c r="D55" s="222">
        <f t="shared" si="2"/>
        <v>0</v>
      </c>
      <c r="E55" s="222">
        <f t="shared" si="3"/>
        <v>0</v>
      </c>
      <c r="H55" s="4"/>
      <c r="I55" s="4"/>
      <c r="J55" s="4"/>
    </row>
    <row r="56" ht="12.0" customHeight="1">
      <c r="B56" s="222">
        <v>48.0</v>
      </c>
      <c r="C56" s="222">
        <f t="shared" si="1"/>
        <v>0</v>
      </c>
      <c r="D56" s="222">
        <f t="shared" si="2"/>
        <v>0</v>
      </c>
      <c r="E56" s="222">
        <f t="shared" si="3"/>
        <v>0</v>
      </c>
      <c r="H56" s="4"/>
      <c r="I56" s="4"/>
      <c r="J56" s="4"/>
    </row>
    <row r="57" ht="12.0" customHeight="1">
      <c r="B57" s="222">
        <v>49.0</v>
      </c>
      <c r="C57" s="222">
        <f t="shared" si="1"/>
        <v>0</v>
      </c>
      <c r="D57" s="222">
        <f t="shared" si="2"/>
        <v>0</v>
      </c>
      <c r="E57" s="222">
        <f t="shared" si="3"/>
        <v>0</v>
      </c>
      <c r="H57" s="4"/>
      <c r="I57" s="4"/>
      <c r="J57" s="4"/>
    </row>
    <row r="58" ht="12.0" customHeight="1">
      <c r="B58" s="222">
        <v>50.0</v>
      </c>
      <c r="C58" s="222">
        <f t="shared" si="1"/>
        <v>0</v>
      </c>
      <c r="D58" s="222">
        <f t="shared" si="2"/>
        <v>0</v>
      </c>
      <c r="E58" s="222">
        <f t="shared" si="3"/>
        <v>0</v>
      </c>
      <c r="H58" s="4"/>
      <c r="I58" s="4"/>
      <c r="J58" s="4"/>
    </row>
    <row r="59" ht="12.0" customHeight="1">
      <c r="B59" s="222">
        <v>51.0</v>
      </c>
      <c r="C59" s="222">
        <f t="shared" si="1"/>
        <v>0</v>
      </c>
      <c r="D59" s="222">
        <f t="shared" si="2"/>
        <v>0</v>
      </c>
      <c r="E59" s="222">
        <f t="shared" si="3"/>
        <v>0</v>
      </c>
      <c r="H59" s="4"/>
      <c r="I59" s="4"/>
      <c r="J59" s="4"/>
    </row>
    <row r="60" ht="12.0" customHeight="1">
      <c r="B60" s="222">
        <v>52.0</v>
      </c>
      <c r="C60" s="222">
        <f t="shared" si="1"/>
        <v>0</v>
      </c>
      <c r="D60" s="222">
        <f t="shared" si="2"/>
        <v>0</v>
      </c>
      <c r="E60" s="222">
        <f t="shared" si="3"/>
        <v>0</v>
      </c>
      <c r="H60" s="4"/>
      <c r="I60" s="4"/>
      <c r="J60" s="4"/>
    </row>
    <row r="61" ht="12.0" customHeight="1">
      <c r="B61" s="222">
        <v>53.0</v>
      </c>
      <c r="C61" s="222">
        <f t="shared" si="1"/>
        <v>0</v>
      </c>
      <c r="D61" s="222">
        <f t="shared" si="2"/>
        <v>0</v>
      </c>
      <c r="E61" s="222">
        <f t="shared" si="3"/>
        <v>0</v>
      </c>
      <c r="H61" s="4"/>
      <c r="I61" s="4"/>
      <c r="J61" s="4"/>
    </row>
    <row r="62" ht="12.0" customHeight="1">
      <c r="B62" s="222">
        <v>54.0</v>
      </c>
      <c r="C62" s="222">
        <f t="shared" si="1"/>
        <v>0</v>
      </c>
      <c r="D62" s="222">
        <f t="shared" si="2"/>
        <v>0</v>
      </c>
      <c r="E62" s="222">
        <f t="shared" si="3"/>
        <v>0</v>
      </c>
      <c r="H62" s="4"/>
      <c r="I62" s="4"/>
      <c r="J62" s="4"/>
    </row>
    <row r="63" ht="12.0" customHeight="1">
      <c r="B63" s="222">
        <v>55.0</v>
      </c>
      <c r="C63" s="222">
        <f t="shared" si="1"/>
        <v>0</v>
      </c>
      <c r="D63" s="222">
        <f t="shared" si="2"/>
        <v>0</v>
      </c>
      <c r="E63" s="222">
        <f t="shared" si="3"/>
        <v>0</v>
      </c>
      <c r="H63" s="4"/>
      <c r="I63" s="4"/>
      <c r="J63" s="4"/>
    </row>
    <row r="64" ht="12.0" customHeight="1">
      <c r="B64" s="222">
        <v>56.0</v>
      </c>
      <c r="C64" s="222">
        <f t="shared" si="1"/>
        <v>0</v>
      </c>
      <c r="D64" s="222">
        <f t="shared" si="2"/>
        <v>0</v>
      </c>
      <c r="E64" s="222">
        <f t="shared" si="3"/>
        <v>0</v>
      </c>
      <c r="H64" s="4"/>
      <c r="I64" s="4"/>
      <c r="J64" s="4"/>
    </row>
    <row r="65" ht="12.0" customHeight="1">
      <c r="B65" s="222">
        <v>57.0</v>
      </c>
      <c r="C65" s="222">
        <f t="shared" si="1"/>
        <v>0</v>
      </c>
      <c r="D65" s="222">
        <f t="shared" si="2"/>
        <v>0</v>
      </c>
      <c r="E65" s="222">
        <f t="shared" si="3"/>
        <v>0</v>
      </c>
      <c r="H65" s="4"/>
      <c r="I65" s="4"/>
      <c r="J65" s="4"/>
    </row>
    <row r="66" ht="12.0" customHeight="1">
      <c r="B66" s="222">
        <v>58.0</v>
      </c>
      <c r="C66" s="222">
        <f t="shared" si="1"/>
        <v>0</v>
      </c>
      <c r="D66" s="222">
        <f t="shared" si="2"/>
        <v>0</v>
      </c>
      <c r="E66" s="222">
        <f t="shared" si="3"/>
        <v>0</v>
      </c>
      <c r="H66" s="4"/>
      <c r="I66" s="4"/>
      <c r="J66" s="4"/>
    </row>
    <row r="67" ht="12.0" customHeight="1">
      <c r="B67" s="222">
        <v>59.0</v>
      </c>
      <c r="C67" s="222">
        <f t="shared" si="1"/>
        <v>0</v>
      </c>
      <c r="D67" s="222">
        <f t="shared" si="2"/>
        <v>0</v>
      </c>
      <c r="E67" s="222">
        <f t="shared" si="3"/>
        <v>0</v>
      </c>
      <c r="H67" s="4"/>
      <c r="I67" s="4"/>
      <c r="J67" s="4"/>
    </row>
    <row r="68" ht="12.0" customHeight="1">
      <c r="B68" s="222">
        <v>60.0</v>
      </c>
      <c r="C68" s="222">
        <f t="shared" si="1"/>
        <v>0</v>
      </c>
      <c r="D68" s="222">
        <f t="shared" si="2"/>
        <v>0</v>
      </c>
      <c r="E68" s="222">
        <f t="shared" si="3"/>
        <v>0</v>
      </c>
      <c r="H68" s="4"/>
      <c r="I68" s="4"/>
      <c r="J68" s="4"/>
    </row>
    <row r="69" ht="12.0" customHeight="1">
      <c r="B69" s="222">
        <v>61.0</v>
      </c>
      <c r="C69" s="222">
        <f t="shared" si="1"/>
        <v>0</v>
      </c>
      <c r="D69" s="222">
        <f t="shared" si="2"/>
        <v>0</v>
      </c>
      <c r="E69" s="222">
        <f t="shared" si="3"/>
        <v>0</v>
      </c>
      <c r="H69" s="4"/>
      <c r="I69" s="4"/>
      <c r="J69" s="4"/>
    </row>
    <row r="70" ht="12.0" customHeight="1">
      <c r="B70" s="222">
        <v>62.0</v>
      </c>
      <c r="C70" s="222">
        <f t="shared" si="1"/>
        <v>0</v>
      </c>
      <c r="D70" s="222">
        <f t="shared" si="2"/>
        <v>0</v>
      </c>
      <c r="E70" s="222">
        <f t="shared" si="3"/>
        <v>0</v>
      </c>
      <c r="H70" s="4"/>
      <c r="I70" s="4"/>
      <c r="J70" s="4"/>
    </row>
    <row r="71" ht="12.0" customHeight="1">
      <c r="B71" s="222">
        <v>63.0</v>
      </c>
      <c r="C71" s="222">
        <f t="shared" si="1"/>
        <v>0</v>
      </c>
      <c r="D71" s="222">
        <f t="shared" si="2"/>
        <v>0</v>
      </c>
      <c r="E71" s="222">
        <f t="shared" si="3"/>
        <v>0</v>
      </c>
      <c r="H71" s="4"/>
      <c r="I71" s="4"/>
      <c r="J71" s="4"/>
    </row>
    <row r="72" ht="12.0" customHeight="1">
      <c r="B72" s="222">
        <v>64.0</v>
      </c>
      <c r="C72" s="222">
        <f t="shared" si="1"/>
        <v>0</v>
      </c>
      <c r="D72" s="222">
        <f t="shared" si="2"/>
        <v>0</v>
      </c>
      <c r="E72" s="222">
        <f t="shared" si="3"/>
        <v>0</v>
      </c>
      <c r="H72" s="4"/>
      <c r="I72" s="4"/>
      <c r="J72" s="4"/>
    </row>
    <row r="73" ht="12.0" customHeight="1">
      <c r="B73" s="222">
        <v>65.0</v>
      </c>
      <c r="C73" s="222">
        <f t="shared" si="1"/>
        <v>0</v>
      </c>
      <c r="D73" s="222">
        <f t="shared" si="2"/>
        <v>0</v>
      </c>
      <c r="E73" s="222">
        <f t="shared" si="3"/>
        <v>0</v>
      </c>
      <c r="H73" s="4"/>
      <c r="I73" s="4"/>
      <c r="J73" s="4"/>
    </row>
    <row r="74" ht="12.0" customHeight="1">
      <c r="B74" s="222">
        <v>66.0</v>
      </c>
      <c r="C74" s="222">
        <f t="shared" si="1"/>
        <v>0</v>
      </c>
      <c r="D74" s="222">
        <f t="shared" si="2"/>
        <v>0</v>
      </c>
      <c r="E74" s="222">
        <f t="shared" si="3"/>
        <v>0</v>
      </c>
      <c r="H74" s="4"/>
      <c r="I74" s="4"/>
      <c r="J74" s="4"/>
    </row>
    <row r="75" ht="12.0" customHeight="1">
      <c r="B75" s="222">
        <v>67.0</v>
      </c>
      <c r="C75" s="222">
        <f t="shared" si="1"/>
        <v>0</v>
      </c>
      <c r="D75" s="222">
        <f t="shared" si="2"/>
        <v>0</v>
      </c>
      <c r="E75" s="222">
        <f t="shared" si="3"/>
        <v>0</v>
      </c>
      <c r="H75" s="4"/>
      <c r="I75" s="4"/>
      <c r="J75" s="4"/>
    </row>
    <row r="76" ht="12.0" customHeight="1">
      <c r="B76" s="222">
        <v>68.0</v>
      </c>
      <c r="C76" s="222">
        <f t="shared" si="1"/>
        <v>0</v>
      </c>
      <c r="D76" s="222">
        <f t="shared" si="2"/>
        <v>0</v>
      </c>
      <c r="E76" s="222">
        <f t="shared" si="3"/>
        <v>0</v>
      </c>
      <c r="H76" s="4"/>
      <c r="I76" s="4"/>
      <c r="J76" s="4"/>
    </row>
    <row r="77" ht="12.0" customHeight="1">
      <c r="B77" s="222">
        <v>69.0</v>
      </c>
      <c r="C77" s="222">
        <f t="shared" si="1"/>
        <v>0</v>
      </c>
      <c r="D77" s="222">
        <f t="shared" si="2"/>
        <v>0</v>
      </c>
      <c r="E77" s="222">
        <f t="shared" si="3"/>
        <v>0</v>
      </c>
      <c r="H77" s="4"/>
      <c r="I77" s="4"/>
      <c r="J77" s="4"/>
    </row>
    <row r="78" ht="12.0" customHeight="1">
      <c r="B78" s="222">
        <v>70.0</v>
      </c>
      <c r="C78" s="222">
        <f t="shared" si="1"/>
        <v>0</v>
      </c>
      <c r="D78" s="222">
        <f t="shared" si="2"/>
        <v>0</v>
      </c>
      <c r="E78" s="222">
        <f t="shared" si="3"/>
        <v>0</v>
      </c>
      <c r="H78" s="4"/>
      <c r="I78" s="4"/>
      <c r="J78" s="4"/>
    </row>
    <row r="79" ht="12.0" customHeight="1">
      <c r="B79" s="222">
        <v>71.0</v>
      </c>
      <c r="C79" s="222">
        <f t="shared" si="1"/>
        <v>0</v>
      </c>
      <c r="D79" s="222">
        <f t="shared" si="2"/>
        <v>0</v>
      </c>
      <c r="E79" s="222">
        <f t="shared" si="3"/>
        <v>0</v>
      </c>
      <c r="H79" s="4"/>
      <c r="I79" s="4"/>
      <c r="J79" s="4"/>
    </row>
    <row r="80" ht="12.0" customHeight="1">
      <c r="B80" s="247">
        <v>72.0</v>
      </c>
      <c r="C80" s="247">
        <f t="shared" si="1"/>
        <v>0</v>
      </c>
      <c r="D80" s="247">
        <f t="shared" si="2"/>
        <v>0</v>
      </c>
      <c r="E80" s="247">
        <f t="shared" si="3"/>
        <v>0</v>
      </c>
      <c r="H80" s="4"/>
      <c r="I80" s="4"/>
      <c r="J80" s="4"/>
    </row>
    <row r="81" ht="12.0" customHeight="1">
      <c r="B81" s="222">
        <v>73.0</v>
      </c>
      <c r="C81" s="222">
        <f t="shared" si="1"/>
        <v>0</v>
      </c>
      <c r="D81" s="222">
        <f t="shared" si="2"/>
        <v>0</v>
      </c>
      <c r="E81" s="222">
        <f t="shared" si="3"/>
        <v>0</v>
      </c>
      <c r="H81" s="4"/>
      <c r="I81" s="4"/>
      <c r="J81" s="4"/>
    </row>
    <row r="82" ht="12.0" customHeight="1">
      <c r="B82" s="222">
        <v>74.0</v>
      </c>
      <c r="C82" s="222">
        <f t="shared" si="1"/>
        <v>0</v>
      </c>
      <c r="D82" s="222">
        <f t="shared" si="2"/>
        <v>0</v>
      </c>
      <c r="E82" s="222">
        <f t="shared" si="3"/>
        <v>0</v>
      </c>
      <c r="H82" s="4"/>
      <c r="I82" s="4"/>
      <c r="J82" s="4"/>
    </row>
    <row r="83" ht="12.0" customHeight="1">
      <c r="B83" s="222">
        <v>75.0</v>
      </c>
      <c r="C83" s="222">
        <f t="shared" si="1"/>
        <v>0</v>
      </c>
      <c r="D83" s="222">
        <f t="shared" si="2"/>
        <v>0</v>
      </c>
      <c r="E83" s="222">
        <f t="shared" si="3"/>
        <v>0</v>
      </c>
      <c r="H83" s="4"/>
      <c r="I83" s="4"/>
      <c r="J83" s="4"/>
    </row>
    <row r="84" ht="12.0" customHeight="1">
      <c r="B84" s="222">
        <v>76.0</v>
      </c>
      <c r="C84" s="222">
        <f t="shared" si="1"/>
        <v>0</v>
      </c>
      <c r="D84" s="222">
        <f t="shared" si="2"/>
        <v>0</v>
      </c>
      <c r="E84" s="222">
        <f t="shared" si="3"/>
        <v>0</v>
      </c>
      <c r="H84" s="4"/>
      <c r="I84" s="4"/>
      <c r="J84" s="4"/>
    </row>
    <row r="85" ht="12.0" customHeight="1">
      <c r="B85" s="222">
        <v>77.0</v>
      </c>
      <c r="C85" s="222">
        <f t="shared" si="1"/>
        <v>0</v>
      </c>
      <c r="D85" s="222">
        <f t="shared" si="2"/>
        <v>0</v>
      </c>
      <c r="E85" s="222">
        <f t="shared" si="3"/>
        <v>0</v>
      </c>
      <c r="H85" s="4"/>
      <c r="I85" s="4"/>
      <c r="J85" s="4"/>
    </row>
    <row r="86" ht="12.0" customHeight="1">
      <c r="B86" s="222">
        <v>78.0</v>
      </c>
      <c r="C86" s="222">
        <f t="shared" si="1"/>
        <v>0</v>
      </c>
      <c r="D86" s="222">
        <f t="shared" si="2"/>
        <v>0</v>
      </c>
      <c r="E86" s="222">
        <f t="shared" si="3"/>
        <v>0</v>
      </c>
      <c r="H86" s="4"/>
      <c r="I86" s="4"/>
      <c r="J86" s="4"/>
    </row>
    <row r="87" ht="12.0" customHeight="1">
      <c r="B87" s="222">
        <v>79.0</v>
      </c>
      <c r="C87" s="222">
        <f t="shared" si="1"/>
        <v>0</v>
      </c>
      <c r="D87" s="222">
        <f t="shared" si="2"/>
        <v>0</v>
      </c>
      <c r="E87" s="222">
        <f t="shared" si="3"/>
        <v>0</v>
      </c>
      <c r="H87" s="4"/>
      <c r="I87" s="4"/>
      <c r="J87" s="4"/>
    </row>
    <row r="88" ht="12.0" customHeight="1">
      <c r="B88" s="222">
        <v>80.0</v>
      </c>
      <c r="C88" s="222">
        <f t="shared" si="1"/>
        <v>0</v>
      </c>
      <c r="D88" s="222">
        <f t="shared" si="2"/>
        <v>0</v>
      </c>
      <c r="E88" s="222">
        <f t="shared" si="3"/>
        <v>0</v>
      </c>
      <c r="H88" s="4"/>
      <c r="I88" s="4"/>
      <c r="J88" s="4"/>
    </row>
    <row r="89" ht="12.0" customHeight="1">
      <c r="B89" s="222">
        <v>81.0</v>
      </c>
      <c r="C89" s="222">
        <f t="shared" si="1"/>
        <v>0</v>
      </c>
      <c r="D89" s="222">
        <f t="shared" si="2"/>
        <v>0</v>
      </c>
      <c r="E89" s="222">
        <f t="shared" si="3"/>
        <v>0</v>
      </c>
      <c r="H89" s="4"/>
      <c r="I89" s="4"/>
      <c r="J89" s="4"/>
    </row>
    <row r="90" ht="12.0" customHeight="1">
      <c r="B90" s="222">
        <v>82.0</v>
      </c>
      <c r="C90" s="222">
        <f t="shared" si="1"/>
        <v>0</v>
      </c>
      <c r="D90" s="222">
        <f t="shared" si="2"/>
        <v>0</v>
      </c>
      <c r="E90" s="222">
        <f t="shared" si="3"/>
        <v>0</v>
      </c>
      <c r="H90" s="4"/>
      <c r="I90" s="4"/>
      <c r="J90" s="4"/>
    </row>
    <row r="91" ht="12.0" customHeight="1">
      <c r="B91" s="222">
        <v>83.0</v>
      </c>
      <c r="C91" s="222">
        <f t="shared" si="1"/>
        <v>0</v>
      </c>
      <c r="D91" s="222">
        <f t="shared" si="2"/>
        <v>0</v>
      </c>
      <c r="E91" s="222">
        <f t="shared" si="3"/>
        <v>0</v>
      </c>
      <c r="H91" s="4"/>
      <c r="I91" s="4"/>
      <c r="J91" s="4"/>
    </row>
    <row r="92" ht="12.0" customHeight="1">
      <c r="B92" s="222">
        <v>84.0</v>
      </c>
      <c r="C92" s="222">
        <f t="shared" si="1"/>
        <v>0</v>
      </c>
      <c r="D92" s="222">
        <f t="shared" si="2"/>
        <v>0</v>
      </c>
      <c r="E92" s="222">
        <f t="shared" si="3"/>
        <v>0</v>
      </c>
      <c r="H92" s="4"/>
      <c r="I92" s="4"/>
      <c r="J92" s="4"/>
    </row>
    <row r="93" ht="12.0" customHeight="1">
      <c r="B93" s="222">
        <v>85.0</v>
      </c>
      <c r="C93" s="222">
        <f t="shared" si="1"/>
        <v>0</v>
      </c>
      <c r="D93" s="222">
        <f t="shared" si="2"/>
        <v>0</v>
      </c>
      <c r="E93" s="222">
        <f t="shared" si="3"/>
        <v>0</v>
      </c>
      <c r="H93" s="4"/>
      <c r="I93" s="4"/>
      <c r="J93" s="4"/>
    </row>
    <row r="94" ht="12.0" customHeight="1">
      <c r="B94" s="222">
        <v>86.0</v>
      </c>
      <c r="C94" s="222">
        <f t="shared" si="1"/>
        <v>0</v>
      </c>
      <c r="D94" s="222">
        <f t="shared" si="2"/>
        <v>0</v>
      </c>
      <c r="E94" s="222">
        <f t="shared" si="3"/>
        <v>0</v>
      </c>
      <c r="H94" s="4"/>
      <c r="I94" s="4"/>
      <c r="J94" s="4"/>
    </row>
    <row r="95" ht="12.0" customHeight="1">
      <c r="B95" s="222">
        <v>87.0</v>
      </c>
      <c r="C95" s="222">
        <f t="shared" si="1"/>
        <v>0</v>
      </c>
      <c r="D95" s="222">
        <f t="shared" si="2"/>
        <v>0</v>
      </c>
      <c r="E95" s="222">
        <f t="shared" si="3"/>
        <v>0</v>
      </c>
      <c r="H95" s="4"/>
      <c r="I95" s="4"/>
      <c r="J95" s="4"/>
    </row>
    <row r="96" ht="12.0" customHeight="1">
      <c r="B96" s="222">
        <v>88.0</v>
      </c>
      <c r="C96" s="222">
        <f t="shared" si="1"/>
        <v>0</v>
      </c>
      <c r="D96" s="222">
        <f t="shared" si="2"/>
        <v>0</v>
      </c>
      <c r="E96" s="222">
        <f t="shared" si="3"/>
        <v>0</v>
      </c>
      <c r="H96" s="4"/>
      <c r="I96" s="4"/>
      <c r="J96" s="4"/>
    </row>
    <row r="97" ht="12.0" customHeight="1">
      <c r="B97" s="222">
        <v>89.0</v>
      </c>
      <c r="C97" s="222">
        <f t="shared" si="1"/>
        <v>0</v>
      </c>
      <c r="D97" s="222">
        <f t="shared" si="2"/>
        <v>0</v>
      </c>
      <c r="E97" s="222">
        <f t="shared" si="3"/>
        <v>0</v>
      </c>
      <c r="H97" s="4"/>
      <c r="I97" s="4"/>
      <c r="J97" s="4"/>
    </row>
    <row r="98" ht="12.0" customHeight="1">
      <c r="B98" s="222">
        <v>90.0</v>
      </c>
      <c r="C98" s="222">
        <f t="shared" si="1"/>
        <v>0</v>
      </c>
      <c r="D98" s="222">
        <f t="shared" si="2"/>
        <v>0</v>
      </c>
      <c r="E98" s="222">
        <f t="shared" si="3"/>
        <v>0</v>
      </c>
      <c r="H98" s="4"/>
      <c r="I98" s="4"/>
      <c r="J98" s="4"/>
    </row>
    <row r="99" ht="12.0" customHeight="1">
      <c r="B99" s="222">
        <v>91.0</v>
      </c>
      <c r="C99" s="222">
        <f t="shared" si="1"/>
        <v>0</v>
      </c>
      <c r="D99" s="222">
        <f t="shared" si="2"/>
        <v>0</v>
      </c>
      <c r="E99" s="222">
        <f t="shared" si="3"/>
        <v>0</v>
      </c>
      <c r="H99" s="4"/>
      <c r="I99" s="4"/>
      <c r="J99" s="4"/>
    </row>
    <row r="100" ht="12.0" customHeight="1">
      <c r="B100" s="222">
        <v>92.0</v>
      </c>
      <c r="C100" s="222">
        <f t="shared" si="1"/>
        <v>0</v>
      </c>
      <c r="D100" s="222">
        <f t="shared" si="2"/>
        <v>0</v>
      </c>
      <c r="E100" s="222">
        <f t="shared" si="3"/>
        <v>0</v>
      </c>
      <c r="H100" s="4"/>
      <c r="I100" s="4"/>
      <c r="J100" s="4"/>
    </row>
    <row r="101" ht="12.0" customHeight="1">
      <c r="B101" s="222">
        <v>93.0</v>
      </c>
      <c r="C101" s="222">
        <f t="shared" si="1"/>
        <v>0</v>
      </c>
      <c r="D101" s="222">
        <f t="shared" si="2"/>
        <v>0</v>
      </c>
      <c r="E101" s="222">
        <f t="shared" si="3"/>
        <v>0</v>
      </c>
      <c r="H101" s="4"/>
      <c r="I101" s="4"/>
      <c r="J101" s="4"/>
    </row>
    <row r="102" ht="12.0" customHeight="1">
      <c r="B102" s="222">
        <v>94.0</v>
      </c>
      <c r="C102" s="222">
        <f t="shared" si="1"/>
        <v>0</v>
      </c>
      <c r="D102" s="222">
        <f t="shared" si="2"/>
        <v>0</v>
      </c>
      <c r="E102" s="222">
        <f t="shared" si="3"/>
        <v>0</v>
      </c>
      <c r="H102" s="4"/>
      <c r="I102" s="4"/>
      <c r="J102" s="4"/>
    </row>
    <row r="103" ht="12.0" customHeight="1">
      <c r="B103" s="222">
        <v>95.0</v>
      </c>
      <c r="C103" s="222">
        <f t="shared" si="1"/>
        <v>0</v>
      </c>
      <c r="D103" s="222">
        <f t="shared" si="2"/>
        <v>0</v>
      </c>
      <c r="E103" s="222">
        <f t="shared" si="3"/>
        <v>0</v>
      </c>
      <c r="H103" s="4"/>
      <c r="I103" s="4"/>
      <c r="J103" s="4"/>
    </row>
    <row r="104" ht="12.0" customHeight="1">
      <c r="B104" s="222">
        <v>96.0</v>
      </c>
      <c r="C104" s="222">
        <f t="shared" si="1"/>
        <v>0</v>
      </c>
      <c r="D104" s="222">
        <f t="shared" si="2"/>
        <v>0</v>
      </c>
      <c r="E104" s="222">
        <f t="shared" si="3"/>
        <v>0</v>
      </c>
      <c r="H104" s="4"/>
      <c r="I104" s="4"/>
      <c r="J104" s="4"/>
    </row>
    <row r="105" ht="12.0" customHeight="1">
      <c r="B105" s="222">
        <v>97.0</v>
      </c>
      <c r="C105" s="222">
        <f t="shared" si="1"/>
        <v>0</v>
      </c>
      <c r="D105" s="222">
        <f t="shared" si="2"/>
        <v>0</v>
      </c>
      <c r="E105" s="222">
        <f t="shared" si="3"/>
        <v>0</v>
      </c>
      <c r="H105" s="4"/>
      <c r="I105" s="4"/>
      <c r="J105" s="4"/>
    </row>
    <row r="106" ht="12.0" customHeight="1">
      <c r="B106" s="222">
        <v>98.0</v>
      </c>
      <c r="C106" s="222">
        <f t="shared" si="1"/>
        <v>0</v>
      </c>
      <c r="D106" s="222">
        <f t="shared" si="2"/>
        <v>0</v>
      </c>
      <c r="E106" s="222">
        <f t="shared" si="3"/>
        <v>0</v>
      </c>
      <c r="H106" s="4"/>
      <c r="I106" s="4"/>
      <c r="J106" s="4"/>
    </row>
    <row r="107" ht="12.0" customHeight="1">
      <c r="B107" s="222">
        <v>99.0</v>
      </c>
      <c r="C107" s="222">
        <f t="shared" si="1"/>
        <v>0</v>
      </c>
      <c r="D107" s="222">
        <f t="shared" si="2"/>
        <v>0</v>
      </c>
      <c r="E107" s="222">
        <f t="shared" si="3"/>
        <v>0</v>
      </c>
      <c r="H107" s="4"/>
      <c r="I107" s="4"/>
      <c r="J107" s="4"/>
    </row>
    <row r="108" ht="12.0" customHeight="1">
      <c r="B108" s="222">
        <v>100.0</v>
      </c>
      <c r="C108" s="222">
        <f t="shared" si="1"/>
        <v>0</v>
      </c>
      <c r="D108" s="222">
        <f t="shared" si="2"/>
        <v>0</v>
      </c>
      <c r="E108" s="222">
        <f t="shared" si="3"/>
        <v>0</v>
      </c>
      <c r="H108" s="4"/>
      <c r="I108" s="4"/>
      <c r="J108" s="4"/>
    </row>
    <row r="109" ht="12.0" customHeight="1">
      <c r="B109" s="222">
        <v>101.0</v>
      </c>
      <c r="C109" s="222">
        <f t="shared" si="1"/>
        <v>0</v>
      </c>
      <c r="D109" s="222">
        <f t="shared" si="2"/>
        <v>0</v>
      </c>
      <c r="E109" s="222">
        <f t="shared" si="3"/>
        <v>0</v>
      </c>
      <c r="H109" s="4"/>
      <c r="I109" s="4"/>
      <c r="J109" s="4"/>
    </row>
    <row r="110" ht="12.0" customHeight="1">
      <c r="B110" s="222">
        <v>102.0</v>
      </c>
      <c r="C110" s="222">
        <f t="shared" si="1"/>
        <v>0</v>
      </c>
      <c r="D110" s="222">
        <f t="shared" si="2"/>
        <v>0</v>
      </c>
      <c r="E110" s="222">
        <f t="shared" si="3"/>
        <v>0</v>
      </c>
      <c r="H110" s="4"/>
      <c r="I110" s="4"/>
      <c r="J110" s="4"/>
    </row>
    <row r="111" ht="12.0" customHeight="1">
      <c r="B111" s="222">
        <v>103.0</v>
      </c>
      <c r="C111" s="222">
        <f t="shared" si="1"/>
        <v>0</v>
      </c>
      <c r="D111" s="222">
        <f t="shared" si="2"/>
        <v>0</v>
      </c>
      <c r="E111" s="222">
        <f t="shared" si="3"/>
        <v>0</v>
      </c>
      <c r="H111" s="4"/>
      <c r="I111" s="4"/>
      <c r="J111" s="4"/>
    </row>
    <row r="112" ht="12.0" customHeight="1">
      <c r="B112" s="222">
        <v>104.0</v>
      </c>
      <c r="C112" s="222">
        <f t="shared" si="1"/>
        <v>0</v>
      </c>
      <c r="D112" s="222">
        <f t="shared" si="2"/>
        <v>0</v>
      </c>
      <c r="E112" s="222">
        <f t="shared" si="3"/>
        <v>0</v>
      </c>
      <c r="H112" s="4"/>
      <c r="I112" s="4"/>
      <c r="J112" s="4"/>
    </row>
    <row r="113" ht="12.0" customHeight="1">
      <c r="B113" s="222">
        <v>105.0</v>
      </c>
      <c r="C113" s="222">
        <f t="shared" si="1"/>
        <v>0</v>
      </c>
      <c r="D113" s="222">
        <f t="shared" si="2"/>
        <v>0</v>
      </c>
      <c r="E113" s="222">
        <f t="shared" si="3"/>
        <v>0</v>
      </c>
      <c r="H113" s="4"/>
      <c r="I113" s="4"/>
      <c r="J113" s="4"/>
    </row>
    <row r="114" ht="12.0" customHeight="1">
      <c r="B114" s="222">
        <v>106.0</v>
      </c>
      <c r="C114" s="222">
        <f t="shared" si="1"/>
        <v>0</v>
      </c>
      <c r="D114" s="222">
        <f t="shared" si="2"/>
        <v>0</v>
      </c>
      <c r="E114" s="222">
        <f t="shared" si="3"/>
        <v>0</v>
      </c>
      <c r="H114" s="4"/>
      <c r="I114" s="4"/>
      <c r="J114" s="4"/>
    </row>
    <row r="115" ht="12.0" customHeight="1">
      <c r="B115" s="222">
        <v>107.0</v>
      </c>
      <c r="C115" s="222">
        <f t="shared" si="1"/>
        <v>0</v>
      </c>
      <c r="D115" s="222">
        <f t="shared" si="2"/>
        <v>0</v>
      </c>
      <c r="E115" s="222">
        <f t="shared" si="3"/>
        <v>0</v>
      </c>
      <c r="H115" s="4"/>
      <c r="I115" s="4"/>
      <c r="J115" s="4"/>
    </row>
    <row r="116" ht="12.0" customHeight="1">
      <c r="B116" s="222">
        <v>108.0</v>
      </c>
      <c r="C116" s="222">
        <f t="shared" si="1"/>
        <v>0</v>
      </c>
      <c r="D116" s="222">
        <f t="shared" si="2"/>
        <v>0</v>
      </c>
      <c r="E116" s="222">
        <f t="shared" si="3"/>
        <v>0</v>
      </c>
      <c r="H116" s="4"/>
      <c r="I116" s="4"/>
      <c r="J116" s="4"/>
    </row>
    <row r="117" ht="12.0" customHeight="1">
      <c r="B117" s="222">
        <v>109.0</v>
      </c>
      <c r="C117" s="222">
        <f t="shared" si="1"/>
        <v>0</v>
      </c>
      <c r="D117" s="222">
        <f t="shared" si="2"/>
        <v>0</v>
      </c>
      <c r="E117" s="222">
        <f t="shared" si="3"/>
        <v>0</v>
      </c>
      <c r="H117" s="4"/>
      <c r="I117" s="4"/>
      <c r="J117" s="4"/>
    </row>
    <row r="118" ht="12.0" customHeight="1">
      <c r="B118" s="222">
        <v>110.0</v>
      </c>
      <c r="C118" s="222">
        <f t="shared" si="1"/>
        <v>0</v>
      </c>
      <c r="D118" s="222">
        <f t="shared" si="2"/>
        <v>0</v>
      </c>
      <c r="E118" s="222">
        <f t="shared" si="3"/>
        <v>0</v>
      </c>
      <c r="H118" s="4"/>
      <c r="I118" s="4"/>
      <c r="J118" s="4"/>
    </row>
    <row r="119" ht="12.0" customHeight="1">
      <c r="B119" s="222">
        <v>111.0</v>
      </c>
      <c r="C119" s="222">
        <f t="shared" si="1"/>
        <v>0</v>
      </c>
      <c r="D119" s="222">
        <f t="shared" si="2"/>
        <v>0</v>
      </c>
      <c r="E119" s="222">
        <f t="shared" si="3"/>
        <v>0</v>
      </c>
      <c r="H119" s="4"/>
      <c r="I119" s="4"/>
      <c r="J119" s="4"/>
    </row>
    <row r="120" ht="12.0" customHeight="1">
      <c r="B120" s="222">
        <v>112.0</v>
      </c>
      <c r="C120" s="222">
        <f t="shared" si="1"/>
        <v>0</v>
      </c>
      <c r="D120" s="222">
        <f t="shared" si="2"/>
        <v>0</v>
      </c>
      <c r="E120" s="222">
        <f t="shared" si="3"/>
        <v>0</v>
      </c>
      <c r="H120" s="4"/>
      <c r="I120" s="4"/>
      <c r="J120" s="4"/>
    </row>
    <row r="121" ht="12.0" customHeight="1">
      <c r="B121" s="222">
        <v>113.0</v>
      </c>
      <c r="C121" s="222">
        <f t="shared" si="1"/>
        <v>0</v>
      </c>
      <c r="D121" s="222">
        <f t="shared" si="2"/>
        <v>0</v>
      </c>
      <c r="E121" s="222">
        <f t="shared" si="3"/>
        <v>0</v>
      </c>
      <c r="H121" s="4"/>
      <c r="I121" s="4"/>
      <c r="J121" s="4"/>
    </row>
    <row r="122" ht="12.0" customHeight="1">
      <c r="B122" s="222">
        <v>114.0</v>
      </c>
      <c r="C122" s="222">
        <f t="shared" si="1"/>
        <v>0</v>
      </c>
      <c r="D122" s="222">
        <f t="shared" si="2"/>
        <v>0</v>
      </c>
      <c r="E122" s="222">
        <f t="shared" si="3"/>
        <v>0</v>
      </c>
      <c r="H122" s="4"/>
      <c r="I122" s="4"/>
      <c r="J122" s="4"/>
    </row>
    <row r="123" ht="12.0" customHeight="1">
      <c r="B123" s="222">
        <v>115.0</v>
      </c>
      <c r="C123" s="222">
        <f t="shared" si="1"/>
        <v>0</v>
      </c>
      <c r="D123" s="222">
        <f t="shared" si="2"/>
        <v>0</v>
      </c>
      <c r="E123" s="222">
        <f t="shared" si="3"/>
        <v>0</v>
      </c>
      <c r="H123" s="4"/>
      <c r="I123" s="4"/>
      <c r="J123" s="4"/>
    </row>
    <row r="124" ht="12.0" customHeight="1">
      <c r="B124" s="222">
        <v>116.0</v>
      </c>
      <c r="C124" s="222">
        <f t="shared" si="1"/>
        <v>0</v>
      </c>
      <c r="D124" s="222">
        <f t="shared" si="2"/>
        <v>0</v>
      </c>
      <c r="E124" s="222">
        <f t="shared" si="3"/>
        <v>0</v>
      </c>
      <c r="H124" s="4"/>
      <c r="I124" s="4"/>
      <c r="J124" s="4"/>
    </row>
    <row r="125" ht="12.0" customHeight="1">
      <c r="B125" s="222">
        <v>117.0</v>
      </c>
      <c r="C125" s="222">
        <f t="shared" si="1"/>
        <v>0</v>
      </c>
      <c r="D125" s="222">
        <f t="shared" si="2"/>
        <v>0</v>
      </c>
      <c r="E125" s="222">
        <f t="shared" si="3"/>
        <v>0</v>
      </c>
      <c r="H125" s="4"/>
      <c r="I125" s="4"/>
      <c r="J125" s="4"/>
    </row>
    <row r="126" ht="12.0" customHeight="1">
      <c r="B126" s="222">
        <v>118.0</v>
      </c>
      <c r="C126" s="222">
        <f t="shared" si="1"/>
        <v>0</v>
      </c>
      <c r="D126" s="222">
        <f t="shared" si="2"/>
        <v>0</v>
      </c>
      <c r="E126" s="222">
        <f t="shared" si="3"/>
        <v>0</v>
      </c>
      <c r="H126" s="4"/>
      <c r="I126" s="4"/>
      <c r="J126" s="4"/>
    </row>
    <row r="127" ht="12.0" customHeight="1">
      <c r="B127" s="222">
        <v>119.0</v>
      </c>
      <c r="C127" s="222">
        <f t="shared" si="1"/>
        <v>0</v>
      </c>
      <c r="D127" s="222">
        <f t="shared" si="2"/>
        <v>0</v>
      </c>
      <c r="E127" s="222">
        <f t="shared" si="3"/>
        <v>0</v>
      </c>
      <c r="H127" s="4"/>
      <c r="I127" s="4"/>
      <c r="J127" s="4"/>
    </row>
    <row r="128" ht="12.0" customHeight="1">
      <c r="B128" s="222">
        <v>120.0</v>
      </c>
      <c r="C128" s="222">
        <f t="shared" si="1"/>
        <v>0</v>
      </c>
      <c r="D128" s="222">
        <f t="shared" si="2"/>
        <v>0</v>
      </c>
      <c r="E128" s="222">
        <f t="shared" si="3"/>
        <v>0</v>
      </c>
      <c r="H128" s="4"/>
      <c r="I128" s="4"/>
      <c r="J128" s="4"/>
    </row>
    <row r="129" ht="12.0" customHeight="1">
      <c r="B129" s="222">
        <v>121.0</v>
      </c>
      <c r="C129" s="222">
        <f t="shared" si="1"/>
        <v>0</v>
      </c>
      <c r="D129" s="222">
        <f t="shared" si="2"/>
        <v>0</v>
      </c>
      <c r="E129" s="222">
        <f t="shared" si="3"/>
        <v>0</v>
      </c>
      <c r="H129" s="4"/>
      <c r="I129" s="4"/>
      <c r="J129" s="4"/>
    </row>
    <row r="130" ht="12.0" customHeight="1">
      <c r="B130" s="222">
        <v>122.0</v>
      </c>
      <c r="C130" s="222">
        <f t="shared" si="1"/>
        <v>0</v>
      </c>
      <c r="D130" s="222">
        <f t="shared" si="2"/>
        <v>0</v>
      </c>
      <c r="E130" s="222">
        <f t="shared" si="3"/>
        <v>0</v>
      </c>
      <c r="H130" s="4"/>
      <c r="I130" s="4"/>
      <c r="J130" s="4"/>
    </row>
    <row r="131" ht="12.0" customHeight="1">
      <c r="B131" s="222">
        <v>123.0</v>
      </c>
      <c r="C131" s="222">
        <f t="shared" si="1"/>
        <v>0</v>
      </c>
      <c r="D131" s="222">
        <f t="shared" si="2"/>
        <v>0</v>
      </c>
      <c r="E131" s="222">
        <f t="shared" si="3"/>
        <v>0</v>
      </c>
      <c r="H131" s="4"/>
      <c r="I131" s="4"/>
      <c r="J131" s="4"/>
    </row>
    <row r="132" ht="12.0" customHeight="1">
      <c r="B132" s="222">
        <v>124.0</v>
      </c>
      <c r="C132" s="222">
        <f t="shared" si="1"/>
        <v>0</v>
      </c>
      <c r="D132" s="222">
        <f t="shared" si="2"/>
        <v>0</v>
      </c>
      <c r="E132" s="222">
        <f t="shared" si="3"/>
        <v>0</v>
      </c>
      <c r="H132" s="4"/>
      <c r="I132" s="4"/>
      <c r="J132" s="4"/>
    </row>
    <row r="133" ht="12.0" customHeight="1">
      <c r="B133" s="222">
        <v>125.0</v>
      </c>
      <c r="C133" s="222">
        <f t="shared" si="1"/>
        <v>0</v>
      </c>
      <c r="D133" s="222">
        <f t="shared" si="2"/>
        <v>0</v>
      </c>
      <c r="E133" s="222">
        <f t="shared" si="3"/>
        <v>0</v>
      </c>
      <c r="H133" s="4"/>
      <c r="I133" s="4"/>
      <c r="J133" s="4"/>
    </row>
    <row r="134" ht="12.0" customHeight="1">
      <c r="B134" s="222">
        <v>126.0</v>
      </c>
      <c r="C134" s="222">
        <f t="shared" si="1"/>
        <v>0</v>
      </c>
      <c r="D134" s="222">
        <f t="shared" si="2"/>
        <v>0</v>
      </c>
      <c r="E134" s="222">
        <f t="shared" si="3"/>
        <v>0</v>
      </c>
      <c r="H134" s="4"/>
      <c r="I134" s="4"/>
      <c r="J134" s="4"/>
    </row>
    <row r="135" ht="12.0" customHeight="1">
      <c r="B135" s="222">
        <v>127.0</v>
      </c>
      <c r="C135" s="222">
        <f t="shared" si="1"/>
        <v>0</v>
      </c>
      <c r="D135" s="222">
        <f t="shared" si="2"/>
        <v>0</v>
      </c>
      <c r="E135" s="222">
        <f t="shared" si="3"/>
        <v>0</v>
      </c>
      <c r="H135" s="4"/>
      <c r="I135" s="4"/>
      <c r="J135" s="4"/>
    </row>
    <row r="136" ht="12.0" customHeight="1">
      <c r="B136" s="222">
        <v>128.0</v>
      </c>
      <c r="C136" s="222">
        <f t="shared" si="1"/>
        <v>0</v>
      </c>
      <c r="D136" s="222">
        <f t="shared" si="2"/>
        <v>0</v>
      </c>
      <c r="E136" s="222">
        <f t="shared" si="3"/>
        <v>0</v>
      </c>
      <c r="H136" s="4"/>
      <c r="I136" s="4"/>
      <c r="J136" s="4"/>
    </row>
    <row r="137" ht="12.0" customHeight="1">
      <c r="B137" s="222">
        <v>129.0</v>
      </c>
      <c r="C137" s="222">
        <f t="shared" si="1"/>
        <v>0</v>
      </c>
      <c r="D137" s="222">
        <f t="shared" si="2"/>
        <v>0</v>
      </c>
      <c r="E137" s="222">
        <f t="shared" si="3"/>
        <v>0</v>
      </c>
      <c r="H137" s="4"/>
      <c r="I137" s="4"/>
      <c r="J137" s="4"/>
    </row>
    <row r="138" ht="12.0" customHeight="1">
      <c r="B138" s="222">
        <v>130.0</v>
      </c>
      <c r="C138" s="222">
        <f t="shared" si="1"/>
        <v>0</v>
      </c>
      <c r="D138" s="222">
        <f t="shared" si="2"/>
        <v>0</v>
      </c>
      <c r="E138" s="222">
        <f t="shared" si="3"/>
        <v>0</v>
      </c>
      <c r="H138" s="4"/>
      <c r="I138" s="4"/>
      <c r="J138" s="4"/>
    </row>
    <row r="139" ht="12.0" customHeight="1">
      <c r="B139" s="222">
        <v>131.0</v>
      </c>
      <c r="C139" s="222">
        <f t="shared" si="1"/>
        <v>0</v>
      </c>
      <c r="D139" s="222">
        <f t="shared" si="2"/>
        <v>0</v>
      </c>
      <c r="E139" s="222">
        <f t="shared" si="3"/>
        <v>0</v>
      </c>
      <c r="H139" s="4"/>
      <c r="I139" s="4"/>
      <c r="J139" s="4"/>
    </row>
    <row r="140" ht="12.0" customHeight="1">
      <c r="B140" s="222">
        <v>132.0</v>
      </c>
      <c r="C140" s="222">
        <f t="shared" si="1"/>
        <v>0</v>
      </c>
      <c r="D140" s="222">
        <f t="shared" si="2"/>
        <v>0</v>
      </c>
      <c r="E140" s="222">
        <f t="shared" si="3"/>
        <v>0</v>
      </c>
      <c r="H140" s="4"/>
      <c r="I140" s="4"/>
      <c r="J140" s="4"/>
    </row>
    <row r="141" ht="12.0" customHeight="1">
      <c r="B141" s="222">
        <v>133.0</v>
      </c>
      <c r="C141" s="222">
        <f t="shared" si="1"/>
        <v>0</v>
      </c>
      <c r="D141" s="222">
        <f t="shared" si="2"/>
        <v>0</v>
      </c>
      <c r="E141" s="222">
        <f t="shared" si="3"/>
        <v>0</v>
      </c>
      <c r="H141" s="4"/>
      <c r="I141" s="4"/>
      <c r="J141" s="4"/>
    </row>
    <row r="142" ht="12.0" customHeight="1">
      <c r="B142" s="222">
        <v>134.0</v>
      </c>
      <c r="C142" s="222">
        <f t="shared" si="1"/>
        <v>0</v>
      </c>
      <c r="D142" s="222">
        <f t="shared" si="2"/>
        <v>0</v>
      </c>
      <c r="E142" s="222">
        <f t="shared" si="3"/>
        <v>0</v>
      </c>
      <c r="H142" s="4"/>
      <c r="I142" s="4"/>
      <c r="J142" s="4"/>
    </row>
    <row r="143" ht="12.0" customHeight="1">
      <c r="B143" s="222">
        <v>135.0</v>
      </c>
      <c r="C143" s="222">
        <f t="shared" si="1"/>
        <v>0</v>
      </c>
      <c r="D143" s="222">
        <f t="shared" si="2"/>
        <v>0</v>
      </c>
      <c r="E143" s="222">
        <f t="shared" si="3"/>
        <v>0</v>
      </c>
      <c r="H143" s="4"/>
      <c r="I143" s="4"/>
      <c r="J143" s="4"/>
    </row>
    <row r="144" ht="12.0" customHeight="1">
      <c r="B144" s="222">
        <v>136.0</v>
      </c>
      <c r="C144" s="222">
        <f t="shared" si="1"/>
        <v>0</v>
      </c>
      <c r="D144" s="222">
        <f t="shared" si="2"/>
        <v>0</v>
      </c>
      <c r="E144" s="222">
        <f t="shared" si="3"/>
        <v>0</v>
      </c>
      <c r="H144" s="4"/>
      <c r="I144" s="4"/>
      <c r="J144" s="4"/>
    </row>
    <row r="145" ht="12.0" customHeight="1">
      <c r="B145" s="222">
        <v>137.0</v>
      </c>
      <c r="C145" s="222">
        <f t="shared" si="1"/>
        <v>0</v>
      </c>
      <c r="D145" s="222">
        <f t="shared" si="2"/>
        <v>0</v>
      </c>
      <c r="E145" s="222">
        <f t="shared" si="3"/>
        <v>0</v>
      </c>
      <c r="H145" s="4"/>
      <c r="I145" s="4"/>
      <c r="J145" s="4"/>
    </row>
    <row r="146" ht="12.0" customHeight="1">
      <c r="B146" s="222">
        <v>138.0</v>
      </c>
      <c r="C146" s="222">
        <f t="shared" si="1"/>
        <v>0</v>
      </c>
      <c r="D146" s="222">
        <f t="shared" si="2"/>
        <v>0</v>
      </c>
      <c r="E146" s="222">
        <f t="shared" si="3"/>
        <v>0</v>
      </c>
      <c r="H146" s="4"/>
      <c r="I146" s="4"/>
      <c r="J146" s="4"/>
    </row>
    <row r="147" ht="12.0" customHeight="1">
      <c r="B147" s="222">
        <v>139.0</v>
      </c>
      <c r="C147" s="222">
        <f t="shared" si="1"/>
        <v>0</v>
      </c>
      <c r="D147" s="222">
        <f t="shared" si="2"/>
        <v>0</v>
      </c>
      <c r="E147" s="222">
        <f t="shared" si="3"/>
        <v>0</v>
      </c>
      <c r="H147" s="4"/>
      <c r="I147" s="4"/>
      <c r="J147" s="4"/>
    </row>
    <row r="148" ht="12.0" customHeight="1">
      <c r="B148" s="222">
        <v>140.0</v>
      </c>
      <c r="C148" s="222">
        <f t="shared" si="1"/>
        <v>0</v>
      </c>
      <c r="D148" s="222">
        <f t="shared" si="2"/>
        <v>0</v>
      </c>
      <c r="E148" s="222">
        <f t="shared" si="3"/>
        <v>0</v>
      </c>
      <c r="H148" s="4"/>
      <c r="I148" s="4"/>
      <c r="J148" s="4"/>
    </row>
    <row r="149" ht="12.0" customHeight="1">
      <c r="B149" s="222">
        <v>141.0</v>
      </c>
      <c r="C149" s="222">
        <f t="shared" si="1"/>
        <v>0</v>
      </c>
      <c r="D149" s="222">
        <f t="shared" si="2"/>
        <v>0</v>
      </c>
      <c r="E149" s="222">
        <f t="shared" si="3"/>
        <v>0</v>
      </c>
      <c r="H149" s="4"/>
      <c r="I149" s="4"/>
      <c r="J149" s="4"/>
    </row>
    <row r="150" ht="12.0" customHeight="1">
      <c r="B150" s="222">
        <v>142.0</v>
      </c>
      <c r="C150" s="222">
        <f t="shared" si="1"/>
        <v>0</v>
      </c>
      <c r="D150" s="222">
        <f t="shared" si="2"/>
        <v>0</v>
      </c>
      <c r="E150" s="222">
        <f t="shared" si="3"/>
        <v>0</v>
      </c>
      <c r="H150" s="4"/>
      <c r="I150" s="4"/>
      <c r="J150" s="4"/>
    </row>
    <row r="151" ht="12.0" customHeight="1">
      <c r="B151" s="222">
        <v>143.0</v>
      </c>
      <c r="C151" s="222">
        <f t="shared" si="1"/>
        <v>0</v>
      </c>
      <c r="D151" s="222">
        <f t="shared" si="2"/>
        <v>0</v>
      </c>
      <c r="E151" s="222">
        <f t="shared" si="3"/>
        <v>0</v>
      </c>
      <c r="H151" s="4"/>
      <c r="I151" s="4"/>
      <c r="J151" s="4"/>
    </row>
    <row r="152" ht="12.0" customHeight="1">
      <c r="B152" s="222">
        <v>144.0</v>
      </c>
      <c r="C152" s="222">
        <f t="shared" si="1"/>
        <v>0</v>
      </c>
      <c r="D152" s="222">
        <f t="shared" si="2"/>
        <v>0</v>
      </c>
      <c r="E152" s="222">
        <f t="shared" si="3"/>
        <v>0</v>
      </c>
      <c r="H152" s="4"/>
      <c r="I152" s="4"/>
      <c r="J152" s="4"/>
    </row>
    <row r="153" ht="12.0" customHeight="1">
      <c r="B153" s="222">
        <v>145.0</v>
      </c>
      <c r="C153" s="222">
        <f t="shared" si="1"/>
        <v>0</v>
      </c>
      <c r="D153" s="222">
        <f t="shared" si="2"/>
        <v>0</v>
      </c>
      <c r="E153" s="222">
        <f t="shared" si="3"/>
        <v>0</v>
      </c>
      <c r="H153" s="4"/>
      <c r="I153" s="4"/>
      <c r="J153" s="4"/>
    </row>
    <row r="154" ht="12.0" customHeight="1">
      <c r="B154" s="222">
        <v>146.0</v>
      </c>
      <c r="C154" s="222">
        <f t="shared" si="1"/>
        <v>0</v>
      </c>
      <c r="D154" s="222">
        <f t="shared" si="2"/>
        <v>0</v>
      </c>
      <c r="E154" s="222">
        <f t="shared" si="3"/>
        <v>0</v>
      </c>
      <c r="H154" s="4"/>
      <c r="I154" s="4"/>
      <c r="J154" s="4"/>
    </row>
    <row r="155" ht="12.0" customHeight="1">
      <c r="B155" s="222">
        <v>147.0</v>
      </c>
      <c r="C155" s="222">
        <f t="shared" si="1"/>
        <v>0</v>
      </c>
      <c r="D155" s="222">
        <f t="shared" si="2"/>
        <v>0</v>
      </c>
      <c r="E155" s="222">
        <f t="shared" si="3"/>
        <v>0</v>
      </c>
      <c r="H155" s="4"/>
      <c r="I155" s="4"/>
      <c r="J155" s="4"/>
    </row>
    <row r="156" ht="12.0" customHeight="1">
      <c r="B156" s="222">
        <v>148.0</v>
      </c>
      <c r="C156" s="222">
        <f t="shared" si="1"/>
        <v>0</v>
      </c>
      <c r="D156" s="222">
        <f t="shared" si="2"/>
        <v>0</v>
      </c>
      <c r="E156" s="222">
        <f t="shared" si="3"/>
        <v>0</v>
      </c>
      <c r="H156" s="4"/>
      <c r="I156" s="4"/>
      <c r="J156" s="4"/>
    </row>
    <row r="157" ht="12.0" customHeight="1">
      <c r="B157" s="222">
        <v>149.0</v>
      </c>
      <c r="C157" s="222">
        <f t="shared" si="1"/>
        <v>0</v>
      </c>
      <c r="D157" s="222">
        <f t="shared" si="2"/>
        <v>0</v>
      </c>
      <c r="E157" s="222">
        <f t="shared" si="3"/>
        <v>0</v>
      </c>
      <c r="H157" s="4"/>
      <c r="I157" s="4"/>
      <c r="J157" s="4"/>
    </row>
    <row r="158" ht="12.0" customHeight="1">
      <c r="B158" s="222">
        <v>150.0</v>
      </c>
      <c r="C158" s="222">
        <f t="shared" si="1"/>
        <v>0</v>
      </c>
      <c r="D158" s="222">
        <f t="shared" si="2"/>
        <v>0</v>
      </c>
      <c r="E158" s="222">
        <f t="shared" si="3"/>
        <v>0</v>
      </c>
      <c r="H158" s="4"/>
      <c r="I158" s="4"/>
      <c r="J158" s="4"/>
    </row>
    <row r="159" ht="12.0" customHeight="1">
      <c r="B159" s="222">
        <v>151.0</v>
      </c>
      <c r="C159" s="222">
        <f t="shared" si="1"/>
        <v>0</v>
      </c>
      <c r="D159" s="222">
        <f t="shared" si="2"/>
        <v>0</v>
      </c>
      <c r="E159" s="222">
        <f t="shared" si="3"/>
        <v>0</v>
      </c>
      <c r="H159" s="4"/>
      <c r="I159" s="4"/>
      <c r="J159" s="4"/>
    </row>
    <row r="160" ht="12.0" customHeight="1">
      <c r="B160" s="222">
        <v>152.0</v>
      </c>
      <c r="C160" s="222">
        <f t="shared" si="1"/>
        <v>0</v>
      </c>
      <c r="D160" s="222">
        <f t="shared" si="2"/>
        <v>0</v>
      </c>
      <c r="E160" s="222">
        <f t="shared" si="3"/>
        <v>0</v>
      </c>
      <c r="H160" s="4"/>
      <c r="I160" s="4"/>
      <c r="J160" s="4"/>
    </row>
    <row r="161" ht="12.0" customHeight="1">
      <c r="B161" s="222">
        <v>153.0</v>
      </c>
      <c r="C161" s="222">
        <f t="shared" si="1"/>
        <v>0</v>
      </c>
      <c r="D161" s="222">
        <f t="shared" si="2"/>
        <v>0</v>
      </c>
      <c r="E161" s="222">
        <f t="shared" si="3"/>
        <v>0</v>
      </c>
      <c r="H161" s="4"/>
      <c r="I161" s="4"/>
      <c r="J161" s="4"/>
    </row>
    <row r="162" ht="12.0" customHeight="1">
      <c r="B162" s="222">
        <v>154.0</v>
      </c>
      <c r="C162" s="222">
        <f t="shared" si="1"/>
        <v>0</v>
      </c>
      <c r="D162" s="222">
        <f t="shared" si="2"/>
        <v>0</v>
      </c>
      <c r="E162" s="222">
        <f t="shared" si="3"/>
        <v>0</v>
      </c>
      <c r="H162" s="4"/>
      <c r="I162" s="4"/>
      <c r="J162" s="4"/>
    </row>
    <row r="163" ht="12.0" customHeight="1">
      <c r="B163" s="222">
        <v>155.0</v>
      </c>
      <c r="C163" s="222">
        <f t="shared" si="1"/>
        <v>0</v>
      </c>
      <c r="D163" s="222">
        <f t="shared" si="2"/>
        <v>0</v>
      </c>
      <c r="E163" s="222">
        <f t="shared" si="3"/>
        <v>0</v>
      </c>
      <c r="H163" s="4"/>
      <c r="I163" s="4"/>
      <c r="J163" s="4"/>
    </row>
    <row r="164" ht="12.0" customHeight="1">
      <c r="B164" s="222">
        <v>156.0</v>
      </c>
      <c r="C164" s="222">
        <f t="shared" si="1"/>
        <v>0</v>
      </c>
      <c r="D164" s="222">
        <f t="shared" si="2"/>
        <v>0</v>
      </c>
      <c r="E164" s="222">
        <f t="shared" si="3"/>
        <v>0</v>
      </c>
      <c r="H164" s="4"/>
      <c r="I164" s="4"/>
      <c r="J164" s="4"/>
    </row>
    <row r="165" ht="12.0" customHeight="1">
      <c r="B165" s="222">
        <v>157.0</v>
      </c>
      <c r="C165" s="222">
        <f t="shared" si="1"/>
        <v>0</v>
      </c>
      <c r="D165" s="222">
        <f t="shared" si="2"/>
        <v>0</v>
      </c>
      <c r="E165" s="222">
        <f t="shared" si="3"/>
        <v>0</v>
      </c>
      <c r="H165" s="4"/>
      <c r="I165" s="4"/>
      <c r="J165" s="4"/>
    </row>
    <row r="166" ht="12.0" customHeight="1">
      <c r="B166" s="222">
        <v>158.0</v>
      </c>
      <c r="C166" s="222">
        <f t="shared" si="1"/>
        <v>0</v>
      </c>
      <c r="D166" s="222">
        <f t="shared" si="2"/>
        <v>0</v>
      </c>
      <c r="E166" s="222">
        <f t="shared" si="3"/>
        <v>0</v>
      </c>
      <c r="H166" s="4"/>
      <c r="I166" s="4"/>
      <c r="J166" s="4"/>
    </row>
    <row r="167" ht="12.0" customHeight="1">
      <c r="B167" s="222">
        <v>159.0</v>
      </c>
      <c r="C167" s="222">
        <f t="shared" si="1"/>
        <v>0</v>
      </c>
      <c r="D167" s="222">
        <f t="shared" si="2"/>
        <v>0</v>
      </c>
      <c r="E167" s="222">
        <f t="shared" si="3"/>
        <v>0</v>
      </c>
      <c r="H167" s="4"/>
      <c r="I167" s="4"/>
      <c r="J167" s="4"/>
    </row>
    <row r="168" ht="12.0" customHeight="1">
      <c r="B168" s="222">
        <v>160.0</v>
      </c>
      <c r="C168" s="222">
        <f t="shared" si="1"/>
        <v>0</v>
      </c>
      <c r="D168" s="222">
        <f t="shared" si="2"/>
        <v>0</v>
      </c>
      <c r="E168" s="222">
        <f t="shared" si="3"/>
        <v>0</v>
      </c>
      <c r="H168" s="4"/>
      <c r="I168" s="4"/>
      <c r="J168" s="4"/>
    </row>
    <row r="169" ht="12.0" customHeight="1">
      <c r="B169" s="222">
        <v>161.0</v>
      </c>
      <c r="C169" s="222">
        <f t="shared" si="1"/>
        <v>0</v>
      </c>
      <c r="D169" s="222">
        <f t="shared" si="2"/>
        <v>0</v>
      </c>
      <c r="E169" s="222">
        <f t="shared" si="3"/>
        <v>0</v>
      </c>
      <c r="H169" s="4"/>
      <c r="I169" s="4"/>
      <c r="J169" s="4"/>
    </row>
    <row r="170" ht="12.0" customHeight="1">
      <c r="B170" s="222">
        <v>162.0</v>
      </c>
      <c r="C170" s="222">
        <f t="shared" si="1"/>
        <v>0</v>
      </c>
      <c r="D170" s="222">
        <f t="shared" si="2"/>
        <v>0</v>
      </c>
      <c r="E170" s="222">
        <f t="shared" si="3"/>
        <v>0</v>
      </c>
      <c r="H170" s="4"/>
      <c r="I170" s="4"/>
      <c r="J170" s="4"/>
    </row>
    <row r="171" ht="12.0" customHeight="1">
      <c r="B171" s="222">
        <v>163.0</v>
      </c>
      <c r="C171" s="222">
        <f t="shared" si="1"/>
        <v>0</v>
      </c>
      <c r="D171" s="222">
        <f t="shared" si="2"/>
        <v>0</v>
      </c>
      <c r="E171" s="222">
        <f t="shared" si="3"/>
        <v>0</v>
      </c>
      <c r="H171" s="4"/>
      <c r="I171" s="4"/>
      <c r="J171" s="4"/>
    </row>
    <row r="172" ht="12.0" customHeight="1">
      <c r="B172" s="222">
        <v>164.0</v>
      </c>
      <c r="C172" s="222">
        <f t="shared" si="1"/>
        <v>0</v>
      </c>
      <c r="D172" s="222">
        <f t="shared" si="2"/>
        <v>0</v>
      </c>
      <c r="E172" s="222">
        <f t="shared" si="3"/>
        <v>0</v>
      </c>
      <c r="H172" s="4"/>
      <c r="I172" s="4"/>
      <c r="J172" s="4"/>
    </row>
    <row r="173" ht="12.0" customHeight="1">
      <c r="B173" s="222">
        <v>165.0</v>
      </c>
      <c r="C173" s="222">
        <f t="shared" si="1"/>
        <v>0</v>
      </c>
      <c r="D173" s="222">
        <f t="shared" si="2"/>
        <v>0</v>
      </c>
      <c r="E173" s="222">
        <f t="shared" si="3"/>
        <v>0</v>
      </c>
      <c r="H173" s="4"/>
      <c r="I173" s="4"/>
      <c r="J173" s="4"/>
    </row>
    <row r="174" ht="12.0" customHeight="1">
      <c r="B174" s="222">
        <v>166.0</v>
      </c>
      <c r="C174" s="222">
        <f t="shared" si="1"/>
        <v>0</v>
      </c>
      <c r="D174" s="222">
        <f t="shared" si="2"/>
        <v>0</v>
      </c>
      <c r="E174" s="222">
        <f t="shared" si="3"/>
        <v>0</v>
      </c>
      <c r="H174" s="4"/>
      <c r="I174" s="4"/>
      <c r="J174" s="4"/>
    </row>
    <row r="175" ht="12.0" customHeight="1">
      <c r="B175" s="222">
        <v>167.0</v>
      </c>
      <c r="C175" s="222">
        <f t="shared" si="1"/>
        <v>0</v>
      </c>
      <c r="D175" s="222">
        <f t="shared" si="2"/>
        <v>0</v>
      </c>
      <c r="E175" s="222">
        <f t="shared" si="3"/>
        <v>0</v>
      </c>
      <c r="H175" s="4"/>
      <c r="I175" s="4"/>
      <c r="J175" s="4"/>
    </row>
    <row r="176" ht="12.0" customHeight="1">
      <c r="B176" s="222">
        <v>168.0</v>
      </c>
      <c r="C176" s="222">
        <f t="shared" si="1"/>
        <v>0</v>
      </c>
      <c r="D176" s="222">
        <f t="shared" si="2"/>
        <v>0</v>
      </c>
      <c r="E176" s="222">
        <f t="shared" si="3"/>
        <v>0</v>
      </c>
      <c r="H176" s="4"/>
      <c r="I176" s="4"/>
      <c r="J176" s="4"/>
    </row>
    <row r="177" ht="12.0" customHeight="1">
      <c r="B177" s="222">
        <v>169.0</v>
      </c>
      <c r="C177" s="222">
        <f t="shared" si="1"/>
        <v>0</v>
      </c>
      <c r="D177" s="222">
        <f t="shared" si="2"/>
        <v>0</v>
      </c>
      <c r="E177" s="222">
        <f t="shared" si="3"/>
        <v>0</v>
      </c>
      <c r="H177" s="4"/>
      <c r="I177" s="4"/>
      <c r="J177" s="4"/>
    </row>
    <row r="178" ht="12.0" customHeight="1">
      <c r="B178" s="222">
        <v>170.0</v>
      </c>
      <c r="C178" s="222">
        <f t="shared" si="1"/>
        <v>0</v>
      </c>
      <c r="D178" s="222">
        <f t="shared" si="2"/>
        <v>0</v>
      </c>
      <c r="E178" s="222">
        <f t="shared" si="3"/>
        <v>0</v>
      </c>
      <c r="H178" s="4"/>
      <c r="I178" s="4"/>
      <c r="J178" s="4"/>
    </row>
    <row r="179" ht="12.0" customHeight="1">
      <c r="B179" s="222">
        <v>171.0</v>
      </c>
      <c r="C179" s="222">
        <f t="shared" si="1"/>
        <v>0</v>
      </c>
      <c r="D179" s="222">
        <f t="shared" si="2"/>
        <v>0</v>
      </c>
      <c r="E179" s="222">
        <f t="shared" si="3"/>
        <v>0</v>
      </c>
      <c r="H179" s="4"/>
      <c r="I179" s="4"/>
      <c r="J179" s="4"/>
    </row>
    <row r="180" ht="12.0" customHeight="1">
      <c r="B180" s="222">
        <v>172.0</v>
      </c>
      <c r="C180" s="222">
        <f t="shared" si="1"/>
        <v>0</v>
      </c>
      <c r="D180" s="222">
        <f t="shared" si="2"/>
        <v>0</v>
      </c>
      <c r="E180" s="222">
        <f t="shared" si="3"/>
        <v>0</v>
      </c>
      <c r="H180" s="4"/>
      <c r="I180" s="4"/>
      <c r="J180" s="4"/>
    </row>
    <row r="181" ht="12.0" customHeight="1">
      <c r="B181" s="222">
        <v>173.0</v>
      </c>
      <c r="C181" s="222">
        <f t="shared" si="1"/>
        <v>0</v>
      </c>
      <c r="D181" s="222">
        <f t="shared" si="2"/>
        <v>0</v>
      </c>
      <c r="E181" s="222">
        <f t="shared" si="3"/>
        <v>0</v>
      </c>
      <c r="H181" s="4"/>
      <c r="I181" s="4"/>
      <c r="J181" s="4"/>
    </row>
    <row r="182" ht="12.0" customHeight="1">
      <c r="B182" s="222">
        <v>174.0</v>
      </c>
      <c r="C182" s="222">
        <f t="shared" si="1"/>
        <v>0</v>
      </c>
      <c r="D182" s="222">
        <f t="shared" si="2"/>
        <v>0</v>
      </c>
      <c r="E182" s="222">
        <f t="shared" si="3"/>
        <v>0</v>
      </c>
      <c r="H182" s="4"/>
      <c r="I182" s="4"/>
      <c r="J182" s="4"/>
    </row>
    <row r="183" ht="12.0" customHeight="1">
      <c r="B183" s="222">
        <v>175.0</v>
      </c>
      <c r="C183" s="222">
        <f t="shared" si="1"/>
        <v>0</v>
      </c>
      <c r="D183" s="222">
        <f t="shared" si="2"/>
        <v>0</v>
      </c>
      <c r="E183" s="222">
        <f t="shared" si="3"/>
        <v>0</v>
      </c>
      <c r="H183" s="4"/>
      <c r="I183" s="4"/>
      <c r="J183" s="4"/>
    </row>
    <row r="184" ht="12.0" customHeight="1">
      <c r="B184" s="222">
        <v>176.0</v>
      </c>
      <c r="C184" s="222">
        <f t="shared" si="1"/>
        <v>0</v>
      </c>
      <c r="D184" s="222">
        <f t="shared" si="2"/>
        <v>0</v>
      </c>
      <c r="E184" s="222">
        <f t="shared" si="3"/>
        <v>0</v>
      </c>
      <c r="H184" s="4"/>
      <c r="I184" s="4"/>
      <c r="J184" s="4"/>
    </row>
    <row r="185" ht="12.0" customHeight="1">
      <c r="B185" s="222">
        <v>177.0</v>
      </c>
      <c r="C185" s="222">
        <f t="shared" si="1"/>
        <v>0</v>
      </c>
      <c r="D185" s="222">
        <f t="shared" si="2"/>
        <v>0</v>
      </c>
      <c r="E185" s="222">
        <f t="shared" si="3"/>
        <v>0</v>
      </c>
      <c r="H185" s="4"/>
      <c r="I185" s="4"/>
      <c r="J185" s="4"/>
    </row>
    <row r="186" ht="12.0" customHeight="1">
      <c r="B186" s="222">
        <v>178.0</v>
      </c>
      <c r="C186" s="222">
        <f t="shared" si="1"/>
        <v>0</v>
      </c>
      <c r="D186" s="222">
        <f t="shared" si="2"/>
        <v>0</v>
      </c>
      <c r="E186" s="222">
        <f t="shared" si="3"/>
        <v>0</v>
      </c>
      <c r="H186" s="4"/>
      <c r="I186" s="4"/>
      <c r="J186" s="4"/>
    </row>
    <row r="187" ht="12.0" customHeight="1">
      <c r="B187" s="222">
        <v>179.0</v>
      </c>
      <c r="C187" s="222">
        <f t="shared" si="1"/>
        <v>0</v>
      </c>
      <c r="D187" s="222">
        <f t="shared" si="2"/>
        <v>0</v>
      </c>
      <c r="E187" s="222">
        <f t="shared" si="3"/>
        <v>0</v>
      </c>
      <c r="H187" s="4"/>
      <c r="I187" s="4"/>
      <c r="J187" s="4"/>
    </row>
    <row r="188" ht="12.0" customHeight="1">
      <c r="B188" s="222">
        <v>180.0</v>
      </c>
      <c r="C188" s="222">
        <f t="shared" si="1"/>
        <v>0</v>
      </c>
      <c r="D188" s="222">
        <f t="shared" si="2"/>
        <v>0</v>
      </c>
      <c r="E188" s="222">
        <f t="shared" si="3"/>
        <v>0</v>
      </c>
      <c r="H188" s="4"/>
      <c r="I188" s="4"/>
      <c r="J188" s="4"/>
    </row>
    <row r="189" ht="12.0" customHeight="1">
      <c r="B189" s="222">
        <v>181.0</v>
      </c>
      <c r="C189" s="222">
        <f t="shared" si="1"/>
        <v>0</v>
      </c>
      <c r="D189" s="222">
        <f t="shared" si="2"/>
        <v>0</v>
      </c>
      <c r="E189" s="222">
        <f t="shared" si="3"/>
        <v>0</v>
      </c>
      <c r="H189" s="4"/>
      <c r="I189" s="4"/>
      <c r="J189" s="4"/>
    </row>
    <row r="190" ht="12.0" customHeight="1">
      <c r="B190" s="222">
        <v>182.0</v>
      </c>
      <c r="C190" s="222">
        <f t="shared" si="1"/>
        <v>0</v>
      </c>
      <c r="D190" s="222">
        <f t="shared" si="2"/>
        <v>0</v>
      </c>
      <c r="E190" s="222">
        <f t="shared" si="3"/>
        <v>0</v>
      </c>
      <c r="H190" s="4"/>
      <c r="I190" s="4"/>
      <c r="J190" s="4"/>
    </row>
    <row r="191" ht="12.0" customHeight="1">
      <c r="B191" s="222">
        <v>183.0</v>
      </c>
      <c r="C191" s="222">
        <f t="shared" si="1"/>
        <v>0</v>
      </c>
      <c r="D191" s="222">
        <f t="shared" si="2"/>
        <v>0</v>
      </c>
      <c r="E191" s="222">
        <f t="shared" si="3"/>
        <v>0</v>
      </c>
      <c r="H191" s="4"/>
      <c r="I191" s="4"/>
      <c r="J191" s="4"/>
    </row>
    <row r="192" ht="12.0" customHeight="1">
      <c r="B192" s="222">
        <v>184.0</v>
      </c>
      <c r="C192" s="222">
        <f t="shared" si="1"/>
        <v>0</v>
      </c>
      <c r="D192" s="222">
        <f t="shared" si="2"/>
        <v>0</v>
      </c>
      <c r="E192" s="222">
        <f t="shared" si="3"/>
        <v>0</v>
      </c>
      <c r="H192" s="4"/>
      <c r="I192" s="4"/>
      <c r="J192" s="4"/>
    </row>
    <row r="193" ht="12.0" customHeight="1">
      <c r="B193" s="222">
        <v>185.0</v>
      </c>
      <c r="C193" s="222">
        <f t="shared" si="1"/>
        <v>0</v>
      </c>
      <c r="D193" s="222">
        <f t="shared" si="2"/>
        <v>0</v>
      </c>
      <c r="E193" s="222">
        <f t="shared" si="3"/>
        <v>0</v>
      </c>
      <c r="H193" s="4"/>
      <c r="I193" s="4"/>
      <c r="J193" s="4"/>
    </row>
    <row r="194" ht="12.0" customHeight="1">
      <c r="B194" s="222">
        <v>186.0</v>
      </c>
      <c r="C194" s="222">
        <f t="shared" si="1"/>
        <v>0</v>
      </c>
      <c r="D194" s="222">
        <f t="shared" si="2"/>
        <v>0</v>
      </c>
      <c r="E194" s="222">
        <f t="shared" si="3"/>
        <v>0</v>
      </c>
      <c r="H194" s="4"/>
      <c r="I194" s="4"/>
      <c r="J194" s="4"/>
    </row>
    <row r="195" ht="12.0" customHeight="1">
      <c r="B195" s="222">
        <v>187.0</v>
      </c>
      <c r="C195" s="222">
        <f t="shared" si="1"/>
        <v>0</v>
      </c>
      <c r="D195" s="222">
        <f t="shared" si="2"/>
        <v>0</v>
      </c>
      <c r="E195" s="222">
        <f t="shared" si="3"/>
        <v>0</v>
      </c>
      <c r="H195" s="4"/>
      <c r="I195" s="4"/>
      <c r="J195" s="4"/>
    </row>
    <row r="196" ht="12.0" customHeight="1">
      <c r="B196" s="222">
        <v>188.0</v>
      </c>
      <c r="C196" s="222">
        <f t="shared" si="1"/>
        <v>0</v>
      </c>
      <c r="D196" s="222">
        <f t="shared" si="2"/>
        <v>0</v>
      </c>
      <c r="E196" s="222">
        <f t="shared" si="3"/>
        <v>0</v>
      </c>
      <c r="H196" s="4"/>
      <c r="I196" s="4"/>
      <c r="J196" s="4"/>
    </row>
    <row r="197" ht="12.0" customHeight="1">
      <c r="B197" s="222">
        <v>189.0</v>
      </c>
      <c r="C197" s="222">
        <f t="shared" si="1"/>
        <v>0</v>
      </c>
      <c r="D197" s="222">
        <f t="shared" si="2"/>
        <v>0</v>
      </c>
      <c r="E197" s="222">
        <f t="shared" si="3"/>
        <v>0</v>
      </c>
      <c r="H197" s="4"/>
      <c r="I197" s="4"/>
      <c r="J197" s="4"/>
    </row>
    <row r="198" ht="12.0" customHeight="1">
      <c r="B198" s="222">
        <v>190.0</v>
      </c>
      <c r="C198" s="222">
        <f t="shared" si="1"/>
        <v>0</v>
      </c>
      <c r="D198" s="222">
        <f t="shared" si="2"/>
        <v>0</v>
      </c>
      <c r="E198" s="222">
        <f t="shared" si="3"/>
        <v>0</v>
      </c>
      <c r="H198" s="4"/>
      <c r="I198" s="4"/>
      <c r="J198" s="4"/>
    </row>
    <row r="199" ht="12.0" customHeight="1">
      <c r="B199" s="222">
        <v>191.0</v>
      </c>
      <c r="C199" s="222">
        <f t="shared" si="1"/>
        <v>0</v>
      </c>
      <c r="D199" s="222">
        <f t="shared" si="2"/>
        <v>0</v>
      </c>
      <c r="E199" s="222">
        <f t="shared" si="3"/>
        <v>0</v>
      </c>
      <c r="H199" s="4"/>
      <c r="I199" s="4"/>
      <c r="J199" s="4"/>
    </row>
    <row r="200" ht="12.0" customHeight="1">
      <c r="B200" s="222">
        <v>192.0</v>
      </c>
      <c r="C200" s="222">
        <f t="shared" si="1"/>
        <v>0</v>
      </c>
      <c r="D200" s="222">
        <f t="shared" si="2"/>
        <v>0</v>
      </c>
      <c r="E200" s="222">
        <f t="shared" si="3"/>
        <v>0</v>
      </c>
      <c r="H200" s="4"/>
      <c r="I200" s="4"/>
      <c r="J200" s="4"/>
    </row>
    <row r="201" ht="12.0" customHeight="1">
      <c r="B201" s="222">
        <v>193.0</v>
      </c>
      <c r="C201" s="222">
        <f t="shared" si="1"/>
        <v>0</v>
      </c>
      <c r="D201" s="222">
        <f t="shared" si="2"/>
        <v>0</v>
      </c>
      <c r="E201" s="222">
        <f t="shared" si="3"/>
        <v>0</v>
      </c>
      <c r="H201" s="4"/>
      <c r="I201" s="4"/>
      <c r="J201" s="4"/>
    </row>
    <row r="202" ht="12.0" customHeight="1">
      <c r="B202" s="222">
        <v>194.0</v>
      </c>
      <c r="C202" s="222">
        <f t="shared" si="1"/>
        <v>0</v>
      </c>
      <c r="D202" s="222">
        <f t="shared" si="2"/>
        <v>0</v>
      </c>
      <c r="E202" s="222">
        <f t="shared" si="3"/>
        <v>0</v>
      </c>
      <c r="H202" s="4"/>
      <c r="I202" s="4"/>
      <c r="J202" s="4"/>
    </row>
    <row r="203" ht="12.0" customHeight="1">
      <c r="B203" s="222">
        <v>195.0</v>
      </c>
      <c r="C203" s="222">
        <f t="shared" si="1"/>
        <v>0</v>
      </c>
      <c r="D203" s="222">
        <f t="shared" si="2"/>
        <v>0</v>
      </c>
      <c r="E203" s="222">
        <f t="shared" si="3"/>
        <v>0</v>
      </c>
      <c r="H203" s="4"/>
      <c r="I203" s="4"/>
      <c r="J203" s="4"/>
    </row>
    <row r="204" ht="12.0" customHeight="1">
      <c r="B204" s="222">
        <v>196.0</v>
      </c>
      <c r="C204" s="222">
        <f t="shared" si="1"/>
        <v>0</v>
      </c>
      <c r="D204" s="222">
        <f t="shared" si="2"/>
        <v>0</v>
      </c>
      <c r="E204" s="222">
        <f t="shared" si="3"/>
        <v>0</v>
      </c>
      <c r="H204" s="4"/>
      <c r="I204" s="4"/>
      <c r="J204" s="4"/>
    </row>
    <row r="205" ht="12.0" customHeight="1">
      <c r="B205" s="222">
        <v>197.0</v>
      </c>
      <c r="C205" s="222">
        <f t="shared" si="1"/>
        <v>0</v>
      </c>
      <c r="D205" s="222">
        <f t="shared" si="2"/>
        <v>0</v>
      </c>
      <c r="E205" s="222">
        <f t="shared" si="3"/>
        <v>0</v>
      </c>
      <c r="H205" s="4"/>
      <c r="I205" s="4"/>
      <c r="J205" s="4"/>
    </row>
    <row r="206" ht="12.0" customHeight="1">
      <c r="B206" s="222">
        <v>198.0</v>
      </c>
      <c r="C206" s="222">
        <f t="shared" si="1"/>
        <v>0</v>
      </c>
      <c r="D206" s="222">
        <f t="shared" si="2"/>
        <v>0</v>
      </c>
      <c r="E206" s="222">
        <f t="shared" si="3"/>
        <v>0</v>
      </c>
      <c r="H206" s="4"/>
      <c r="I206" s="4"/>
      <c r="J206" s="4"/>
    </row>
    <row r="207" ht="12.0" customHeight="1">
      <c r="B207" s="222">
        <v>199.0</v>
      </c>
      <c r="C207" s="222">
        <f t="shared" si="1"/>
        <v>0</v>
      </c>
      <c r="D207" s="222">
        <f t="shared" si="2"/>
        <v>0</v>
      </c>
      <c r="E207" s="222">
        <f t="shared" si="3"/>
        <v>0</v>
      </c>
      <c r="H207" s="4"/>
      <c r="I207" s="4"/>
      <c r="J207" s="4"/>
    </row>
    <row r="208" ht="12.0" customHeight="1">
      <c r="B208" s="222">
        <v>200.0</v>
      </c>
      <c r="C208" s="222">
        <f t="shared" si="1"/>
        <v>0</v>
      </c>
      <c r="D208" s="222">
        <f t="shared" si="2"/>
        <v>0</v>
      </c>
      <c r="E208" s="222">
        <f t="shared" si="3"/>
        <v>0</v>
      </c>
      <c r="H208" s="4"/>
      <c r="I208" s="4"/>
      <c r="J208" s="4"/>
    </row>
    <row r="209" ht="12.0" customHeight="1">
      <c r="B209" s="222">
        <v>201.0</v>
      </c>
      <c r="C209" s="222">
        <f t="shared" si="1"/>
        <v>0</v>
      </c>
      <c r="D209" s="222">
        <f t="shared" si="2"/>
        <v>0</v>
      </c>
      <c r="E209" s="222">
        <f t="shared" si="3"/>
        <v>0</v>
      </c>
      <c r="H209" s="4"/>
      <c r="I209" s="4"/>
      <c r="J209" s="4"/>
    </row>
    <row r="210" ht="12.0" customHeight="1">
      <c r="B210" s="222">
        <v>202.0</v>
      </c>
      <c r="C210" s="222">
        <f t="shared" si="1"/>
        <v>0</v>
      </c>
      <c r="D210" s="222">
        <f t="shared" si="2"/>
        <v>0</v>
      </c>
      <c r="E210" s="222">
        <f t="shared" si="3"/>
        <v>0</v>
      </c>
      <c r="H210" s="4"/>
      <c r="I210" s="4"/>
      <c r="J210" s="4"/>
    </row>
    <row r="211" ht="12.0" customHeight="1">
      <c r="B211" s="222">
        <v>203.0</v>
      </c>
      <c r="C211" s="222">
        <f t="shared" si="1"/>
        <v>0</v>
      </c>
      <c r="D211" s="222">
        <f t="shared" si="2"/>
        <v>0</v>
      </c>
      <c r="E211" s="222">
        <f t="shared" si="3"/>
        <v>0</v>
      </c>
      <c r="H211" s="4"/>
      <c r="I211" s="4"/>
      <c r="J211" s="4"/>
    </row>
    <row r="212" ht="12.0" customHeight="1">
      <c r="B212" s="222">
        <v>204.0</v>
      </c>
      <c r="C212" s="222">
        <f t="shared" si="1"/>
        <v>0</v>
      </c>
      <c r="D212" s="222">
        <f t="shared" si="2"/>
        <v>0</v>
      </c>
      <c r="E212" s="222">
        <f t="shared" si="3"/>
        <v>0</v>
      </c>
      <c r="H212" s="4"/>
      <c r="I212" s="4"/>
      <c r="J212" s="4"/>
    </row>
    <row r="213" ht="12.0" customHeight="1">
      <c r="B213" s="222">
        <v>205.0</v>
      </c>
      <c r="C213" s="222">
        <f t="shared" si="1"/>
        <v>0</v>
      </c>
      <c r="D213" s="222">
        <f t="shared" si="2"/>
        <v>0</v>
      </c>
      <c r="E213" s="222">
        <f t="shared" si="3"/>
        <v>0</v>
      </c>
      <c r="H213" s="4"/>
      <c r="I213" s="4"/>
      <c r="J213" s="4"/>
    </row>
    <row r="214" ht="12.0" customHeight="1">
      <c r="B214" s="222">
        <v>206.0</v>
      </c>
      <c r="C214" s="222">
        <f t="shared" si="1"/>
        <v>0</v>
      </c>
      <c r="D214" s="222">
        <f t="shared" si="2"/>
        <v>0</v>
      </c>
      <c r="E214" s="222">
        <f t="shared" si="3"/>
        <v>0</v>
      </c>
      <c r="H214" s="4"/>
      <c r="I214" s="4"/>
      <c r="J214" s="4"/>
    </row>
    <row r="215" ht="12.0" customHeight="1">
      <c r="B215" s="222">
        <v>207.0</v>
      </c>
      <c r="C215" s="222">
        <f t="shared" si="1"/>
        <v>0</v>
      </c>
      <c r="D215" s="222">
        <f t="shared" si="2"/>
        <v>0</v>
      </c>
      <c r="E215" s="222">
        <f t="shared" si="3"/>
        <v>0</v>
      </c>
      <c r="H215" s="4"/>
      <c r="I215" s="4"/>
      <c r="J215" s="4"/>
    </row>
    <row r="216" ht="12.0" customHeight="1">
      <c r="B216" s="222">
        <v>208.0</v>
      </c>
      <c r="C216" s="222">
        <f t="shared" si="1"/>
        <v>0</v>
      </c>
      <c r="D216" s="222">
        <f t="shared" si="2"/>
        <v>0</v>
      </c>
      <c r="E216" s="222">
        <f t="shared" si="3"/>
        <v>0</v>
      </c>
      <c r="H216" s="4"/>
      <c r="I216" s="4"/>
      <c r="J216" s="4"/>
    </row>
    <row r="217" ht="12.0" customHeight="1">
      <c r="B217" s="222">
        <v>209.0</v>
      </c>
      <c r="C217" s="222">
        <f t="shared" si="1"/>
        <v>0</v>
      </c>
      <c r="D217" s="222">
        <f t="shared" si="2"/>
        <v>0</v>
      </c>
      <c r="E217" s="222">
        <f t="shared" si="3"/>
        <v>0</v>
      </c>
      <c r="H217" s="4"/>
      <c r="I217" s="4"/>
      <c r="J217" s="4"/>
    </row>
    <row r="218" ht="12.0" customHeight="1">
      <c r="B218" s="222">
        <v>210.0</v>
      </c>
      <c r="C218" s="222">
        <f t="shared" si="1"/>
        <v>0</v>
      </c>
      <c r="D218" s="222">
        <f t="shared" si="2"/>
        <v>0</v>
      </c>
      <c r="E218" s="222">
        <f t="shared" si="3"/>
        <v>0</v>
      </c>
      <c r="H218" s="4"/>
      <c r="I218" s="4"/>
      <c r="J218" s="4"/>
    </row>
    <row r="219" ht="12.0" customHeight="1">
      <c r="B219" s="222">
        <v>211.0</v>
      </c>
      <c r="C219" s="222">
        <f t="shared" si="1"/>
        <v>0</v>
      </c>
      <c r="D219" s="222">
        <f t="shared" si="2"/>
        <v>0</v>
      </c>
      <c r="E219" s="222">
        <f t="shared" si="3"/>
        <v>0</v>
      </c>
      <c r="H219" s="4"/>
      <c r="I219" s="4"/>
      <c r="J219" s="4"/>
    </row>
    <row r="220" ht="12.0" customHeight="1">
      <c r="B220" s="222">
        <v>212.0</v>
      </c>
      <c r="C220" s="222">
        <f t="shared" si="1"/>
        <v>0</v>
      </c>
      <c r="D220" s="222">
        <f t="shared" si="2"/>
        <v>0</v>
      </c>
      <c r="E220" s="222">
        <f t="shared" si="3"/>
        <v>0</v>
      </c>
      <c r="H220" s="4"/>
      <c r="I220" s="4"/>
      <c r="J220" s="4"/>
    </row>
    <row r="221" ht="12.0" customHeight="1">
      <c r="B221" s="222">
        <v>213.0</v>
      </c>
      <c r="C221" s="222">
        <f t="shared" si="1"/>
        <v>0</v>
      </c>
      <c r="D221" s="222">
        <f t="shared" si="2"/>
        <v>0</v>
      </c>
      <c r="E221" s="222">
        <f t="shared" si="3"/>
        <v>0</v>
      </c>
      <c r="H221" s="4"/>
      <c r="I221" s="4"/>
      <c r="J221" s="4"/>
    </row>
    <row r="222" ht="12.0" customHeight="1">
      <c r="B222" s="222">
        <v>214.0</v>
      </c>
      <c r="C222" s="222">
        <f t="shared" si="1"/>
        <v>0</v>
      </c>
      <c r="D222" s="222">
        <f t="shared" si="2"/>
        <v>0</v>
      </c>
      <c r="E222" s="222">
        <f t="shared" si="3"/>
        <v>0</v>
      </c>
      <c r="H222" s="4"/>
      <c r="I222" s="4"/>
      <c r="J222" s="4"/>
    </row>
    <row r="223" ht="12.0" customHeight="1">
      <c r="B223" s="222">
        <v>215.0</v>
      </c>
      <c r="C223" s="222">
        <f t="shared" si="1"/>
        <v>0</v>
      </c>
      <c r="D223" s="222">
        <f t="shared" si="2"/>
        <v>0</v>
      </c>
      <c r="E223" s="222">
        <f t="shared" si="3"/>
        <v>0</v>
      </c>
      <c r="H223" s="4"/>
      <c r="I223" s="4"/>
      <c r="J223" s="4"/>
    </row>
    <row r="224" ht="12.0" customHeight="1">
      <c r="B224" s="222">
        <v>216.0</v>
      </c>
      <c r="C224" s="222">
        <f t="shared" si="1"/>
        <v>0</v>
      </c>
      <c r="D224" s="222">
        <f t="shared" si="2"/>
        <v>0</v>
      </c>
      <c r="E224" s="222">
        <f t="shared" si="3"/>
        <v>0</v>
      </c>
      <c r="H224" s="4"/>
      <c r="I224" s="4"/>
      <c r="J224" s="4"/>
    </row>
    <row r="225" ht="12.0" customHeight="1">
      <c r="B225" s="222">
        <v>217.0</v>
      </c>
      <c r="C225" s="222">
        <f t="shared" si="1"/>
        <v>0</v>
      </c>
      <c r="D225" s="222">
        <f t="shared" si="2"/>
        <v>0</v>
      </c>
      <c r="E225" s="222">
        <f t="shared" si="3"/>
        <v>0</v>
      </c>
      <c r="H225" s="4"/>
      <c r="I225" s="4"/>
      <c r="J225" s="4"/>
    </row>
    <row r="226" ht="12.0" customHeight="1">
      <c r="B226" s="222">
        <v>218.0</v>
      </c>
      <c r="C226" s="222">
        <f t="shared" si="1"/>
        <v>0</v>
      </c>
      <c r="D226" s="222">
        <f t="shared" si="2"/>
        <v>0</v>
      </c>
      <c r="E226" s="222">
        <f t="shared" si="3"/>
        <v>0</v>
      </c>
      <c r="H226" s="4"/>
      <c r="I226" s="4"/>
      <c r="J226" s="4"/>
    </row>
    <row r="227" ht="12.0" customHeight="1">
      <c r="B227" s="222">
        <v>219.0</v>
      </c>
      <c r="C227" s="222">
        <f t="shared" si="1"/>
        <v>0</v>
      </c>
      <c r="D227" s="222">
        <f t="shared" si="2"/>
        <v>0</v>
      </c>
      <c r="E227" s="222">
        <f t="shared" si="3"/>
        <v>0</v>
      </c>
      <c r="H227" s="4"/>
      <c r="I227" s="4"/>
      <c r="J227" s="4"/>
    </row>
    <row r="228" ht="12.0" customHeight="1">
      <c r="B228" s="222">
        <v>220.0</v>
      </c>
      <c r="C228" s="222">
        <f t="shared" si="1"/>
        <v>0</v>
      </c>
      <c r="D228" s="222">
        <f t="shared" si="2"/>
        <v>0</v>
      </c>
      <c r="E228" s="222">
        <f t="shared" si="3"/>
        <v>0</v>
      </c>
      <c r="H228" s="4"/>
      <c r="I228" s="4"/>
      <c r="J228" s="4"/>
    </row>
    <row r="229" ht="12.0" customHeight="1">
      <c r="B229" s="222">
        <v>221.0</v>
      </c>
      <c r="C229" s="222">
        <f t="shared" si="1"/>
        <v>0</v>
      </c>
      <c r="D229" s="222">
        <f t="shared" si="2"/>
        <v>0</v>
      </c>
      <c r="E229" s="222">
        <f t="shared" si="3"/>
        <v>0</v>
      </c>
      <c r="H229" s="4"/>
      <c r="I229" s="4"/>
      <c r="J229" s="4"/>
    </row>
    <row r="230" ht="12.0" customHeight="1">
      <c r="B230" s="222">
        <v>222.0</v>
      </c>
      <c r="C230" s="222">
        <f t="shared" si="1"/>
        <v>0</v>
      </c>
      <c r="D230" s="222">
        <f t="shared" si="2"/>
        <v>0</v>
      </c>
      <c r="E230" s="222">
        <f t="shared" si="3"/>
        <v>0</v>
      </c>
      <c r="H230" s="4"/>
      <c r="I230" s="4"/>
      <c r="J230" s="4"/>
    </row>
    <row r="231" ht="12.0" customHeight="1">
      <c r="B231" s="222">
        <v>223.0</v>
      </c>
      <c r="C231" s="222">
        <f t="shared" si="1"/>
        <v>0</v>
      </c>
      <c r="D231" s="222">
        <f t="shared" si="2"/>
        <v>0</v>
      </c>
      <c r="E231" s="222">
        <f t="shared" si="3"/>
        <v>0</v>
      </c>
      <c r="H231" s="4"/>
      <c r="I231" s="4"/>
      <c r="J231" s="4"/>
    </row>
    <row r="232" ht="12.0" customHeight="1">
      <c r="B232" s="222">
        <v>224.0</v>
      </c>
      <c r="C232" s="222">
        <f t="shared" si="1"/>
        <v>0</v>
      </c>
      <c r="D232" s="222">
        <f t="shared" si="2"/>
        <v>0</v>
      </c>
      <c r="E232" s="222">
        <f t="shared" si="3"/>
        <v>0</v>
      </c>
      <c r="H232" s="4"/>
      <c r="I232" s="4"/>
      <c r="J232" s="4"/>
    </row>
    <row r="233" ht="12.0" customHeight="1">
      <c r="B233" s="222">
        <v>225.0</v>
      </c>
      <c r="C233" s="222">
        <f t="shared" si="1"/>
        <v>0</v>
      </c>
      <c r="D233" s="222">
        <f t="shared" si="2"/>
        <v>0</v>
      </c>
      <c r="E233" s="222">
        <f t="shared" si="3"/>
        <v>0</v>
      </c>
      <c r="H233" s="4"/>
      <c r="I233" s="4"/>
      <c r="J233" s="4"/>
    </row>
    <row r="234" ht="12.0" customHeight="1">
      <c r="B234" s="222">
        <v>226.0</v>
      </c>
      <c r="C234" s="222">
        <f t="shared" si="1"/>
        <v>0</v>
      </c>
      <c r="D234" s="222">
        <f t="shared" si="2"/>
        <v>0</v>
      </c>
      <c r="E234" s="222">
        <f t="shared" si="3"/>
        <v>0</v>
      </c>
      <c r="H234" s="4"/>
      <c r="I234" s="4"/>
      <c r="J234" s="4"/>
    </row>
    <row r="235" ht="12.0" customHeight="1">
      <c r="B235" s="222">
        <v>227.0</v>
      </c>
      <c r="C235" s="222">
        <f t="shared" si="1"/>
        <v>0</v>
      </c>
      <c r="D235" s="222">
        <f t="shared" si="2"/>
        <v>0</v>
      </c>
      <c r="E235" s="222">
        <f t="shared" si="3"/>
        <v>0</v>
      </c>
      <c r="H235" s="4"/>
      <c r="I235" s="4"/>
      <c r="J235" s="4"/>
    </row>
    <row r="236" ht="12.0" customHeight="1">
      <c r="B236" s="222">
        <v>228.0</v>
      </c>
      <c r="C236" s="222">
        <f t="shared" si="1"/>
        <v>0</v>
      </c>
      <c r="D236" s="222">
        <f t="shared" si="2"/>
        <v>0</v>
      </c>
      <c r="E236" s="222">
        <f t="shared" si="3"/>
        <v>0</v>
      </c>
      <c r="H236" s="4"/>
      <c r="I236" s="4"/>
      <c r="J236" s="4"/>
    </row>
    <row r="237" ht="12.0" customHeight="1">
      <c r="B237" s="222">
        <v>229.0</v>
      </c>
      <c r="C237" s="222">
        <f t="shared" si="1"/>
        <v>0</v>
      </c>
      <c r="D237" s="222">
        <f t="shared" si="2"/>
        <v>0</v>
      </c>
      <c r="E237" s="222">
        <f t="shared" si="3"/>
        <v>0</v>
      </c>
      <c r="H237" s="4"/>
      <c r="I237" s="4"/>
      <c r="J237" s="4"/>
    </row>
    <row r="238" ht="12.0" customHeight="1">
      <c r="B238" s="222">
        <v>230.0</v>
      </c>
      <c r="C238" s="222">
        <f t="shared" si="1"/>
        <v>0</v>
      </c>
      <c r="D238" s="222">
        <f t="shared" si="2"/>
        <v>0</v>
      </c>
      <c r="E238" s="222">
        <f t="shared" si="3"/>
        <v>0</v>
      </c>
      <c r="H238" s="4"/>
      <c r="I238" s="4"/>
      <c r="J238" s="4"/>
    </row>
    <row r="239" ht="12.0" customHeight="1">
      <c r="B239" s="222">
        <v>231.0</v>
      </c>
      <c r="C239" s="222">
        <f t="shared" si="1"/>
        <v>0</v>
      </c>
      <c r="D239" s="222">
        <f t="shared" si="2"/>
        <v>0</v>
      </c>
      <c r="E239" s="222">
        <f t="shared" si="3"/>
        <v>0</v>
      </c>
      <c r="H239" s="4"/>
      <c r="I239" s="4"/>
      <c r="J239" s="4"/>
    </row>
    <row r="240" ht="12.0" customHeight="1">
      <c r="B240" s="222">
        <v>232.0</v>
      </c>
      <c r="C240" s="222">
        <f t="shared" si="1"/>
        <v>0</v>
      </c>
      <c r="D240" s="222">
        <f t="shared" si="2"/>
        <v>0</v>
      </c>
      <c r="E240" s="222">
        <f t="shared" si="3"/>
        <v>0</v>
      </c>
      <c r="H240" s="4"/>
      <c r="I240" s="4"/>
      <c r="J240" s="4"/>
    </row>
    <row r="241" ht="12.0" customHeight="1">
      <c r="B241" s="222">
        <v>233.0</v>
      </c>
      <c r="C241" s="222">
        <f t="shared" si="1"/>
        <v>0</v>
      </c>
      <c r="D241" s="222">
        <f t="shared" si="2"/>
        <v>0</v>
      </c>
      <c r="E241" s="222">
        <f t="shared" si="3"/>
        <v>0</v>
      </c>
      <c r="H241" s="4"/>
      <c r="I241" s="4"/>
      <c r="J241" s="4"/>
    </row>
    <row r="242" ht="12.0" customHeight="1">
      <c r="B242" s="222">
        <v>234.0</v>
      </c>
      <c r="C242" s="222">
        <f t="shared" si="1"/>
        <v>0</v>
      </c>
      <c r="D242" s="222">
        <f t="shared" si="2"/>
        <v>0</v>
      </c>
      <c r="E242" s="222">
        <f t="shared" si="3"/>
        <v>0</v>
      </c>
      <c r="H242" s="4"/>
      <c r="I242" s="4"/>
      <c r="J242" s="4"/>
    </row>
    <row r="243" ht="12.0" customHeight="1">
      <c r="B243" s="222">
        <v>235.0</v>
      </c>
      <c r="C243" s="222">
        <f t="shared" si="1"/>
        <v>0</v>
      </c>
      <c r="D243" s="222">
        <f t="shared" si="2"/>
        <v>0</v>
      </c>
      <c r="E243" s="222">
        <f t="shared" si="3"/>
        <v>0</v>
      </c>
      <c r="H243" s="4"/>
      <c r="I243" s="4"/>
      <c r="J243" s="4"/>
    </row>
    <row r="244" ht="12.0" customHeight="1">
      <c r="B244" s="222">
        <v>236.0</v>
      </c>
      <c r="C244" s="222">
        <f t="shared" si="1"/>
        <v>0</v>
      </c>
      <c r="D244" s="222">
        <f t="shared" si="2"/>
        <v>0</v>
      </c>
      <c r="E244" s="222">
        <f t="shared" si="3"/>
        <v>0</v>
      </c>
      <c r="H244" s="4"/>
      <c r="I244" s="4"/>
      <c r="J244" s="4"/>
    </row>
    <row r="245" ht="12.0" customHeight="1">
      <c r="B245" s="222">
        <v>237.0</v>
      </c>
      <c r="C245" s="222">
        <f t="shared" si="1"/>
        <v>0</v>
      </c>
      <c r="D245" s="222">
        <f t="shared" si="2"/>
        <v>0</v>
      </c>
      <c r="E245" s="222">
        <f t="shared" si="3"/>
        <v>0</v>
      </c>
      <c r="H245" s="4"/>
      <c r="I245" s="4"/>
      <c r="J245" s="4"/>
    </row>
    <row r="246" ht="12.0" customHeight="1">
      <c r="B246" s="222">
        <v>238.0</v>
      </c>
      <c r="C246" s="222">
        <f t="shared" si="1"/>
        <v>0</v>
      </c>
      <c r="D246" s="222">
        <f t="shared" si="2"/>
        <v>0</v>
      </c>
      <c r="E246" s="222">
        <f t="shared" si="3"/>
        <v>0</v>
      </c>
      <c r="H246" s="4"/>
      <c r="I246" s="4"/>
      <c r="J246" s="4"/>
    </row>
    <row r="247" ht="12.0" customHeight="1">
      <c r="B247" s="222">
        <v>239.0</v>
      </c>
      <c r="C247" s="222">
        <f t="shared" si="1"/>
        <v>0</v>
      </c>
      <c r="D247" s="222">
        <f t="shared" si="2"/>
        <v>0</v>
      </c>
      <c r="E247" s="222">
        <f t="shared" si="3"/>
        <v>0</v>
      </c>
      <c r="H247" s="4"/>
      <c r="I247" s="4"/>
      <c r="J247" s="4"/>
    </row>
    <row r="248" ht="12.0" customHeight="1">
      <c r="B248" s="222">
        <v>240.0</v>
      </c>
      <c r="C248" s="222">
        <f t="shared" si="1"/>
        <v>0</v>
      </c>
      <c r="D248" s="222">
        <f t="shared" si="2"/>
        <v>0</v>
      </c>
      <c r="E248" s="222">
        <f t="shared" si="3"/>
        <v>0</v>
      </c>
      <c r="H248" s="4"/>
      <c r="I248" s="4"/>
      <c r="J248" s="4"/>
    </row>
    <row r="249" ht="12.0" customHeight="1">
      <c r="B249" s="222">
        <v>241.0</v>
      </c>
      <c r="C249" s="222">
        <f t="shared" si="1"/>
        <v>0</v>
      </c>
      <c r="D249" s="222">
        <f t="shared" si="2"/>
        <v>0</v>
      </c>
      <c r="E249" s="222">
        <f t="shared" si="3"/>
        <v>0</v>
      </c>
      <c r="H249" s="4"/>
      <c r="I249" s="4"/>
      <c r="J249" s="4"/>
    </row>
    <row r="250" ht="12.0" customHeight="1">
      <c r="B250" s="222">
        <v>242.0</v>
      </c>
      <c r="C250" s="222">
        <f t="shared" si="1"/>
        <v>0</v>
      </c>
      <c r="D250" s="222">
        <f t="shared" si="2"/>
        <v>0</v>
      </c>
      <c r="E250" s="222">
        <f t="shared" si="3"/>
        <v>0</v>
      </c>
      <c r="H250" s="4"/>
      <c r="I250" s="4"/>
      <c r="J250" s="4"/>
    </row>
    <row r="251" ht="12.0" customHeight="1">
      <c r="B251" s="222">
        <v>243.0</v>
      </c>
      <c r="C251" s="222">
        <f t="shared" si="1"/>
        <v>0</v>
      </c>
      <c r="D251" s="222">
        <f t="shared" si="2"/>
        <v>0</v>
      </c>
      <c r="E251" s="222">
        <f t="shared" si="3"/>
        <v>0</v>
      </c>
      <c r="H251" s="4"/>
      <c r="I251" s="4"/>
      <c r="J251" s="4"/>
    </row>
    <row r="252" ht="12.0" customHeight="1">
      <c r="B252" s="222">
        <v>244.0</v>
      </c>
      <c r="C252" s="222">
        <f t="shared" si="1"/>
        <v>0</v>
      </c>
      <c r="D252" s="222">
        <f t="shared" si="2"/>
        <v>0</v>
      </c>
      <c r="E252" s="222">
        <f t="shared" si="3"/>
        <v>0</v>
      </c>
      <c r="H252" s="4"/>
      <c r="I252" s="4"/>
      <c r="J252" s="4"/>
    </row>
    <row r="253" ht="12.0" customHeight="1">
      <c r="B253" s="222">
        <v>245.0</v>
      </c>
      <c r="C253" s="222">
        <f t="shared" si="1"/>
        <v>0</v>
      </c>
      <c r="D253" s="222">
        <f t="shared" si="2"/>
        <v>0</v>
      </c>
      <c r="E253" s="222">
        <f t="shared" si="3"/>
        <v>0</v>
      </c>
      <c r="H253" s="4"/>
      <c r="I253" s="4"/>
      <c r="J253" s="4"/>
    </row>
    <row r="254" ht="12.0" customHeight="1">
      <c r="B254" s="222">
        <v>246.0</v>
      </c>
      <c r="C254" s="222">
        <f t="shared" si="1"/>
        <v>0</v>
      </c>
      <c r="D254" s="222">
        <f t="shared" si="2"/>
        <v>0</v>
      </c>
      <c r="E254" s="222">
        <f t="shared" si="3"/>
        <v>0</v>
      </c>
      <c r="H254" s="4"/>
      <c r="I254" s="4"/>
      <c r="J254" s="4"/>
    </row>
    <row r="255" ht="12.0" customHeight="1">
      <c r="B255" s="222">
        <v>247.0</v>
      </c>
      <c r="C255" s="222">
        <f t="shared" si="1"/>
        <v>0</v>
      </c>
      <c r="D255" s="222">
        <f t="shared" si="2"/>
        <v>0</v>
      </c>
      <c r="E255" s="222">
        <f t="shared" si="3"/>
        <v>0</v>
      </c>
      <c r="H255" s="4"/>
      <c r="I255" s="4"/>
      <c r="J255" s="4"/>
    </row>
    <row r="256" ht="12.0" customHeight="1">
      <c r="B256" s="222">
        <v>248.0</v>
      </c>
      <c r="C256" s="222">
        <f t="shared" si="1"/>
        <v>0</v>
      </c>
      <c r="D256" s="222">
        <f t="shared" si="2"/>
        <v>0</v>
      </c>
      <c r="E256" s="222">
        <f t="shared" si="3"/>
        <v>0</v>
      </c>
      <c r="H256" s="4"/>
      <c r="I256" s="4"/>
      <c r="J256" s="4"/>
    </row>
    <row r="257" ht="12.0" customHeight="1">
      <c r="B257" s="222">
        <v>249.0</v>
      </c>
      <c r="C257" s="222">
        <f t="shared" si="1"/>
        <v>0</v>
      </c>
      <c r="D257" s="222">
        <f t="shared" si="2"/>
        <v>0</v>
      </c>
      <c r="E257" s="222">
        <f t="shared" si="3"/>
        <v>0</v>
      </c>
      <c r="H257" s="4"/>
      <c r="I257" s="4"/>
      <c r="J257" s="4"/>
    </row>
    <row r="258" ht="12.0" customHeight="1">
      <c r="B258" s="222">
        <v>250.0</v>
      </c>
      <c r="C258" s="222">
        <f t="shared" si="1"/>
        <v>0</v>
      </c>
      <c r="D258" s="222">
        <f t="shared" si="2"/>
        <v>0</v>
      </c>
      <c r="E258" s="222">
        <f t="shared" si="3"/>
        <v>0</v>
      </c>
      <c r="H258" s="4"/>
      <c r="I258" s="4"/>
      <c r="J258" s="4"/>
    </row>
    <row r="259" ht="12.0" customHeight="1">
      <c r="B259" s="222">
        <v>251.0</v>
      </c>
      <c r="C259" s="222">
        <f t="shared" si="1"/>
        <v>0</v>
      </c>
      <c r="D259" s="222">
        <f t="shared" si="2"/>
        <v>0</v>
      </c>
      <c r="E259" s="222">
        <f t="shared" si="3"/>
        <v>0</v>
      </c>
      <c r="H259" s="4"/>
      <c r="I259" s="4"/>
      <c r="J259" s="4"/>
    </row>
    <row r="260" ht="12.0" customHeight="1">
      <c r="B260" s="222">
        <v>252.0</v>
      </c>
      <c r="C260" s="222">
        <f t="shared" si="1"/>
        <v>0</v>
      </c>
      <c r="D260" s="222">
        <f t="shared" si="2"/>
        <v>0</v>
      </c>
      <c r="E260" s="222">
        <f t="shared" si="3"/>
        <v>0</v>
      </c>
      <c r="H260" s="4"/>
      <c r="I260" s="4"/>
      <c r="J260" s="4"/>
    </row>
    <row r="261" ht="12.0" customHeight="1">
      <c r="B261" s="222">
        <v>253.0</v>
      </c>
      <c r="C261" s="222">
        <f t="shared" si="1"/>
        <v>0</v>
      </c>
      <c r="D261" s="222">
        <f t="shared" si="2"/>
        <v>0</v>
      </c>
      <c r="E261" s="222">
        <f t="shared" si="3"/>
        <v>0</v>
      </c>
      <c r="H261" s="4"/>
      <c r="I261" s="4"/>
      <c r="J261" s="4"/>
    </row>
    <row r="262" ht="12.0" customHeight="1">
      <c r="B262" s="222">
        <v>254.0</v>
      </c>
      <c r="C262" s="222">
        <f t="shared" si="1"/>
        <v>0</v>
      </c>
      <c r="D262" s="222">
        <f t="shared" si="2"/>
        <v>0</v>
      </c>
      <c r="E262" s="222">
        <f t="shared" si="3"/>
        <v>0</v>
      </c>
      <c r="H262" s="4"/>
      <c r="I262" s="4"/>
      <c r="J262" s="4"/>
    </row>
    <row r="263" ht="12.0" customHeight="1">
      <c r="B263" s="222">
        <v>255.0</v>
      </c>
      <c r="C263" s="222">
        <f t="shared" si="1"/>
        <v>0</v>
      </c>
      <c r="D263" s="222">
        <f t="shared" si="2"/>
        <v>0</v>
      </c>
      <c r="E263" s="222">
        <f t="shared" si="3"/>
        <v>0</v>
      </c>
      <c r="H263" s="4"/>
      <c r="I263" s="4"/>
      <c r="J263" s="4"/>
    </row>
    <row r="264" ht="12.0" customHeight="1">
      <c r="B264" s="222">
        <v>256.0</v>
      </c>
      <c r="C264" s="222">
        <f t="shared" si="1"/>
        <v>0</v>
      </c>
      <c r="D264" s="222">
        <f t="shared" si="2"/>
        <v>0</v>
      </c>
      <c r="E264" s="222">
        <f t="shared" si="3"/>
        <v>0</v>
      </c>
      <c r="H264" s="4"/>
      <c r="I264" s="4"/>
      <c r="J264" s="4"/>
    </row>
    <row r="265" ht="12.0" customHeight="1">
      <c r="B265" s="222">
        <v>257.0</v>
      </c>
      <c r="C265" s="222">
        <f t="shared" si="1"/>
        <v>0</v>
      </c>
      <c r="D265" s="222">
        <f t="shared" si="2"/>
        <v>0</v>
      </c>
      <c r="E265" s="222">
        <f t="shared" si="3"/>
        <v>0</v>
      </c>
      <c r="H265" s="4"/>
      <c r="I265" s="4"/>
      <c r="J265" s="4"/>
    </row>
    <row r="266" ht="12.0" customHeight="1">
      <c r="B266" s="222">
        <v>258.0</v>
      </c>
      <c r="C266" s="222">
        <f t="shared" si="1"/>
        <v>0</v>
      </c>
      <c r="D266" s="222">
        <f t="shared" si="2"/>
        <v>0</v>
      </c>
      <c r="E266" s="222">
        <f t="shared" si="3"/>
        <v>0</v>
      </c>
      <c r="H266" s="4"/>
      <c r="I266" s="4"/>
      <c r="J266" s="4"/>
    </row>
    <row r="267" ht="12.0" customHeight="1">
      <c r="B267" s="222">
        <v>259.0</v>
      </c>
      <c r="C267" s="222">
        <f t="shared" si="1"/>
        <v>0</v>
      </c>
      <c r="D267" s="222">
        <f t="shared" si="2"/>
        <v>0</v>
      </c>
      <c r="E267" s="222">
        <f t="shared" si="3"/>
        <v>0</v>
      </c>
      <c r="H267" s="4"/>
      <c r="I267" s="4"/>
      <c r="J267" s="4"/>
    </row>
    <row r="268" ht="12.0" customHeight="1">
      <c r="B268" s="222">
        <v>260.0</v>
      </c>
      <c r="C268" s="222">
        <f t="shared" si="1"/>
        <v>0</v>
      </c>
      <c r="D268" s="222">
        <f t="shared" si="2"/>
        <v>0</v>
      </c>
      <c r="E268" s="222">
        <f t="shared" si="3"/>
        <v>0</v>
      </c>
      <c r="H268" s="4"/>
      <c r="I268" s="4"/>
      <c r="J268" s="4"/>
    </row>
    <row r="269" ht="12.0" customHeight="1">
      <c r="B269" s="222">
        <v>261.0</v>
      </c>
      <c r="C269" s="222">
        <f t="shared" si="1"/>
        <v>0</v>
      </c>
      <c r="D269" s="222">
        <f t="shared" si="2"/>
        <v>0</v>
      </c>
      <c r="E269" s="222">
        <f t="shared" si="3"/>
        <v>0</v>
      </c>
      <c r="H269" s="4"/>
      <c r="I269" s="4"/>
      <c r="J269" s="4"/>
    </row>
    <row r="270" ht="12.0" customHeight="1">
      <c r="B270" s="222">
        <v>262.0</v>
      </c>
      <c r="C270" s="222">
        <f t="shared" si="1"/>
        <v>0</v>
      </c>
      <c r="D270" s="222">
        <f t="shared" si="2"/>
        <v>0</v>
      </c>
      <c r="E270" s="222">
        <f t="shared" si="3"/>
        <v>0</v>
      </c>
      <c r="H270" s="4"/>
      <c r="I270" s="4"/>
      <c r="J270" s="4"/>
    </row>
    <row r="271" ht="12.0" customHeight="1">
      <c r="B271" s="222">
        <v>263.0</v>
      </c>
      <c r="C271" s="222">
        <f t="shared" si="1"/>
        <v>0</v>
      </c>
      <c r="D271" s="222">
        <f t="shared" si="2"/>
        <v>0</v>
      </c>
      <c r="E271" s="222">
        <f t="shared" si="3"/>
        <v>0</v>
      </c>
      <c r="H271" s="4"/>
      <c r="I271" s="4"/>
      <c r="J271" s="4"/>
    </row>
    <row r="272" ht="12.0" customHeight="1">
      <c r="B272" s="222">
        <v>264.0</v>
      </c>
      <c r="C272" s="222">
        <f t="shared" si="1"/>
        <v>0</v>
      </c>
      <c r="D272" s="222">
        <f t="shared" si="2"/>
        <v>0</v>
      </c>
      <c r="E272" s="222">
        <f t="shared" si="3"/>
        <v>0</v>
      </c>
      <c r="H272" s="4"/>
      <c r="I272" s="4"/>
      <c r="J272" s="4"/>
    </row>
    <row r="273" ht="12.0" customHeight="1">
      <c r="B273" s="222">
        <v>265.0</v>
      </c>
      <c r="C273" s="222">
        <f t="shared" si="1"/>
        <v>0</v>
      </c>
      <c r="D273" s="222">
        <f t="shared" si="2"/>
        <v>0</v>
      </c>
      <c r="E273" s="222">
        <f t="shared" si="3"/>
        <v>0</v>
      </c>
      <c r="H273" s="4"/>
      <c r="I273" s="4"/>
      <c r="J273" s="4"/>
    </row>
    <row r="274" ht="12.0" customHeight="1">
      <c r="B274" s="222">
        <v>266.0</v>
      </c>
      <c r="C274" s="222">
        <f t="shared" si="1"/>
        <v>0</v>
      </c>
      <c r="D274" s="222">
        <f t="shared" si="2"/>
        <v>0</v>
      </c>
      <c r="E274" s="222">
        <f t="shared" si="3"/>
        <v>0</v>
      </c>
      <c r="H274" s="4"/>
      <c r="I274" s="4"/>
      <c r="J274" s="4"/>
    </row>
    <row r="275" ht="12.0" customHeight="1">
      <c r="B275" s="222">
        <v>267.0</v>
      </c>
      <c r="C275" s="222">
        <f t="shared" si="1"/>
        <v>0</v>
      </c>
      <c r="D275" s="222">
        <f t="shared" si="2"/>
        <v>0</v>
      </c>
      <c r="E275" s="222">
        <f t="shared" si="3"/>
        <v>0</v>
      </c>
      <c r="H275" s="4"/>
      <c r="I275" s="4"/>
      <c r="J275" s="4"/>
    </row>
    <row r="276" ht="12.0" customHeight="1">
      <c r="B276" s="222">
        <v>268.0</v>
      </c>
      <c r="C276" s="222">
        <f t="shared" si="1"/>
        <v>0</v>
      </c>
      <c r="D276" s="222">
        <f t="shared" si="2"/>
        <v>0</v>
      </c>
      <c r="E276" s="222">
        <f t="shared" si="3"/>
        <v>0</v>
      </c>
      <c r="H276" s="4"/>
      <c r="I276" s="4"/>
      <c r="J276" s="4"/>
    </row>
    <row r="277" ht="12.0" customHeight="1">
      <c r="B277" s="222">
        <v>269.0</v>
      </c>
      <c r="C277" s="222">
        <f t="shared" si="1"/>
        <v>0</v>
      </c>
      <c r="D277" s="222">
        <f t="shared" si="2"/>
        <v>0</v>
      </c>
      <c r="E277" s="222">
        <f t="shared" si="3"/>
        <v>0</v>
      </c>
      <c r="H277" s="4"/>
      <c r="I277" s="4"/>
      <c r="J277" s="4"/>
    </row>
    <row r="278" ht="12.0" customHeight="1">
      <c r="B278" s="222">
        <v>270.0</v>
      </c>
      <c r="C278" s="222">
        <f t="shared" si="1"/>
        <v>0</v>
      </c>
      <c r="D278" s="222">
        <f t="shared" si="2"/>
        <v>0</v>
      </c>
      <c r="E278" s="222">
        <f t="shared" si="3"/>
        <v>0</v>
      </c>
      <c r="H278" s="4"/>
      <c r="I278" s="4"/>
      <c r="J278" s="4"/>
    </row>
    <row r="279" ht="12.0" customHeight="1">
      <c r="B279" s="222">
        <v>271.0</v>
      </c>
      <c r="C279" s="222">
        <f t="shared" si="1"/>
        <v>0</v>
      </c>
      <c r="D279" s="222">
        <f t="shared" si="2"/>
        <v>0</v>
      </c>
      <c r="E279" s="222">
        <f t="shared" si="3"/>
        <v>0</v>
      </c>
      <c r="H279" s="4"/>
      <c r="I279" s="4"/>
      <c r="J279" s="4"/>
    </row>
    <row r="280" ht="12.0" customHeight="1">
      <c r="B280" s="222">
        <v>272.0</v>
      </c>
      <c r="C280" s="222">
        <f t="shared" si="1"/>
        <v>0</v>
      </c>
      <c r="D280" s="222">
        <f t="shared" si="2"/>
        <v>0</v>
      </c>
      <c r="E280" s="222">
        <f t="shared" si="3"/>
        <v>0</v>
      </c>
      <c r="H280" s="4"/>
      <c r="I280" s="4"/>
      <c r="J280" s="4"/>
    </row>
    <row r="281" ht="12.0" customHeight="1">
      <c r="B281" s="222">
        <v>273.0</v>
      </c>
      <c r="C281" s="222">
        <f t="shared" si="1"/>
        <v>0</v>
      </c>
      <c r="D281" s="222">
        <f t="shared" si="2"/>
        <v>0</v>
      </c>
      <c r="E281" s="222">
        <f t="shared" si="3"/>
        <v>0</v>
      </c>
      <c r="H281" s="4"/>
      <c r="I281" s="4"/>
      <c r="J281" s="4"/>
    </row>
    <row r="282" ht="12.0" customHeight="1">
      <c r="B282" s="222">
        <v>274.0</v>
      </c>
      <c r="C282" s="222">
        <f t="shared" si="1"/>
        <v>0</v>
      </c>
      <c r="D282" s="222">
        <f t="shared" si="2"/>
        <v>0</v>
      </c>
      <c r="E282" s="222">
        <f t="shared" si="3"/>
        <v>0</v>
      </c>
      <c r="H282" s="4"/>
      <c r="I282" s="4"/>
      <c r="J282" s="4"/>
    </row>
    <row r="283" ht="12.0" customHeight="1">
      <c r="B283" s="222">
        <v>275.0</v>
      </c>
      <c r="C283" s="222">
        <f t="shared" si="1"/>
        <v>0</v>
      </c>
      <c r="D283" s="222">
        <f t="shared" si="2"/>
        <v>0</v>
      </c>
      <c r="E283" s="222">
        <f t="shared" si="3"/>
        <v>0</v>
      </c>
      <c r="H283" s="4"/>
      <c r="I283" s="4"/>
      <c r="J283" s="4"/>
    </row>
    <row r="284" ht="12.0" customHeight="1">
      <c r="B284" s="222">
        <v>276.0</v>
      </c>
      <c r="C284" s="222">
        <f t="shared" si="1"/>
        <v>0</v>
      </c>
      <c r="D284" s="222">
        <f t="shared" si="2"/>
        <v>0</v>
      </c>
      <c r="E284" s="222">
        <f t="shared" si="3"/>
        <v>0</v>
      </c>
      <c r="H284" s="4"/>
      <c r="I284" s="4"/>
      <c r="J284" s="4"/>
    </row>
    <row r="285" ht="12.0" customHeight="1">
      <c r="B285" s="222">
        <v>277.0</v>
      </c>
      <c r="C285" s="222">
        <f t="shared" si="1"/>
        <v>0</v>
      </c>
      <c r="D285" s="222">
        <f t="shared" si="2"/>
        <v>0</v>
      </c>
      <c r="E285" s="222">
        <f t="shared" si="3"/>
        <v>0</v>
      </c>
      <c r="H285" s="4"/>
      <c r="I285" s="4"/>
      <c r="J285" s="4"/>
    </row>
    <row r="286" ht="12.0" customHeight="1">
      <c r="B286" s="222">
        <v>278.0</v>
      </c>
      <c r="C286" s="222">
        <f t="shared" si="1"/>
        <v>0</v>
      </c>
      <c r="D286" s="222">
        <f t="shared" si="2"/>
        <v>0</v>
      </c>
      <c r="E286" s="222">
        <f t="shared" si="3"/>
        <v>0</v>
      </c>
      <c r="H286" s="4"/>
      <c r="I286" s="4"/>
      <c r="J286" s="4"/>
    </row>
    <row r="287" ht="12.0" customHeight="1">
      <c r="B287" s="222">
        <v>279.0</v>
      </c>
      <c r="C287" s="222">
        <f t="shared" si="1"/>
        <v>0</v>
      </c>
      <c r="D287" s="222">
        <f t="shared" si="2"/>
        <v>0</v>
      </c>
      <c r="E287" s="222">
        <f t="shared" si="3"/>
        <v>0</v>
      </c>
      <c r="H287" s="4"/>
      <c r="I287" s="4"/>
      <c r="J287" s="4"/>
    </row>
    <row r="288" ht="12.0" customHeight="1">
      <c r="B288" s="222">
        <v>280.0</v>
      </c>
      <c r="C288" s="222">
        <f t="shared" si="1"/>
        <v>0</v>
      </c>
      <c r="D288" s="222">
        <f t="shared" si="2"/>
        <v>0</v>
      </c>
      <c r="E288" s="222">
        <f t="shared" si="3"/>
        <v>0</v>
      </c>
      <c r="H288" s="4"/>
      <c r="I288" s="4"/>
      <c r="J288" s="4"/>
    </row>
    <row r="289" ht="12.0" customHeight="1">
      <c r="B289" s="222">
        <v>281.0</v>
      </c>
      <c r="C289" s="222">
        <f t="shared" si="1"/>
        <v>0</v>
      </c>
      <c r="D289" s="222">
        <f t="shared" si="2"/>
        <v>0</v>
      </c>
      <c r="E289" s="222">
        <f t="shared" si="3"/>
        <v>0</v>
      </c>
      <c r="H289" s="4"/>
      <c r="I289" s="4"/>
      <c r="J289" s="4"/>
    </row>
    <row r="290" ht="12.0" customHeight="1">
      <c r="B290" s="222">
        <v>282.0</v>
      </c>
      <c r="C290" s="222">
        <f t="shared" si="1"/>
        <v>0</v>
      </c>
      <c r="D290" s="222">
        <f t="shared" si="2"/>
        <v>0</v>
      </c>
      <c r="E290" s="222">
        <f t="shared" si="3"/>
        <v>0</v>
      </c>
      <c r="H290" s="4"/>
      <c r="I290" s="4"/>
      <c r="J290" s="4"/>
    </row>
    <row r="291" ht="12.0" customHeight="1">
      <c r="B291" s="222">
        <v>283.0</v>
      </c>
      <c r="C291" s="222">
        <f t="shared" si="1"/>
        <v>0</v>
      </c>
      <c r="D291" s="222">
        <f t="shared" si="2"/>
        <v>0</v>
      </c>
      <c r="E291" s="222">
        <f t="shared" si="3"/>
        <v>0</v>
      </c>
      <c r="H291" s="4"/>
      <c r="I291" s="4"/>
      <c r="J291" s="4"/>
    </row>
    <row r="292" ht="12.0" customHeight="1">
      <c r="B292" s="222">
        <v>284.0</v>
      </c>
      <c r="C292" s="222">
        <f t="shared" si="1"/>
        <v>0</v>
      </c>
      <c r="D292" s="222">
        <f t="shared" si="2"/>
        <v>0</v>
      </c>
      <c r="E292" s="222">
        <f t="shared" si="3"/>
        <v>0</v>
      </c>
      <c r="H292" s="4"/>
      <c r="I292" s="4"/>
      <c r="J292" s="4"/>
    </row>
    <row r="293" ht="12.0" customHeight="1">
      <c r="B293" s="222">
        <v>285.0</v>
      </c>
      <c r="C293" s="222">
        <f t="shared" si="1"/>
        <v>0</v>
      </c>
      <c r="D293" s="222">
        <f t="shared" si="2"/>
        <v>0</v>
      </c>
      <c r="E293" s="222">
        <f t="shared" si="3"/>
        <v>0</v>
      </c>
      <c r="H293" s="4"/>
      <c r="I293" s="4"/>
      <c r="J293" s="4"/>
    </row>
    <row r="294" ht="12.0" customHeight="1">
      <c r="B294" s="222">
        <v>286.0</v>
      </c>
      <c r="C294" s="222">
        <f t="shared" si="1"/>
        <v>0</v>
      </c>
      <c r="D294" s="222">
        <f t="shared" si="2"/>
        <v>0</v>
      </c>
      <c r="E294" s="222">
        <f t="shared" si="3"/>
        <v>0</v>
      </c>
      <c r="H294" s="4"/>
      <c r="I294" s="4"/>
      <c r="J294" s="4"/>
    </row>
    <row r="295" ht="12.0" customHeight="1">
      <c r="B295" s="222">
        <v>287.0</v>
      </c>
      <c r="C295" s="222">
        <f t="shared" si="1"/>
        <v>0</v>
      </c>
      <c r="D295" s="222">
        <f t="shared" si="2"/>
        <v>0</v>
      </c>
      <c r="E295" s="222">
        <f t="shared" si="3"/>
        <v>0</v>
      </c>
      <c r="H295" s="4"/>
      <c r="I295" s="4"/>
      <c r="J295" s="4"/>
    </row>
    <row r="296" ht="12.0" customHeight="1">
      <c r="B296" s="222">
        <v>288.0</v>
      </c>
      <c r="C296" s="222">
        <f t="shared" si="1"/>
        <v>0</v>
      </c>
      <c r="D296" s="222">
        <f t="shared" si="2"/>
        <v>0</v>
      </c>
      <c r="E296" s="222">
        <f t="shared" si="3"/>
        <v>0</v>
      </c>
      <c r="H296" s="4"/>
      <c r="I296" s="4"/>
      <c r="J296" s="4"/>
    </row>
    <row r="297" ht="12.0" customHeight="1">
      <c r="B297" s="222">
        <v>289.0</v>
      </c>
      <c r="C297" s="222">
        <f t="shared" si="1"/>
        <v>0</v>
      </c>
      <c r="D297" s="222">
        <f t="shared" si="2"/>
        <v>0</v>
      </c>
      <c r="E297" s="222">
        <f t="shared" si="3"/>
        <v>0</v>
      </c>
      <c r="H297" s="4"/>
      <c r="I297" s="4"/>
      <c r="J297" s="4"/>
    </row>
    <row r="298" ht="12.0" customHeight="1">
      <c r="B298" s="222">
        <v>290.0</v>
      </c>
      <c r="C298" s="222">
        <f t="shared" si="1"/>
        <v>0</v>
      </c>
      <c r="D298" s="222">
        <f t="shared" si="2"/>
        <v>0</v>
      </c>
      <c r="E298" s="222">
        <f t="shared" si="3"/>
        <v>0</v>
      </c>
      <c r="H298" s="4"/>
      <c r="I298" s="4"/>
      <c r="J298" s="4"/>
    </row>
    <row r="299" ht="12.0" customHeight="1">
      <c r="B299" s="222">
        <v>291.0</v>
      </c>
      <c r="C299" s="222">
        <f t="shared" si="1"/>
        <v>0</v>
      </c>
      <c r="D299" s="222">
        <f t="shared" si="2"/>
        <v>0</v>
      </c>
      <c r="E299" s="222">
        <f t="shared" si="3"/>
        <v>0</v>
      </c>
      <c r="H299" s="4"/>
      <c r="I299" s="4"/>
      <c r="J299" s="4"/>
    </row>
    <row r="300" ht="12.0" customHeight="1">
      <c r="B300" s="222">
        <v>292.0</v>
      </c>
      <c r="C300" s="222">
        <f t="shared" si="1"/>
        <v>0</v>
      </c>
      <c r="D300" s="222">
        <f t="shared" si="2"/>
        <v>0</v>
      </c>
      <c r="E300" s="222">
        <f t="shared" si="3"/>
        <v>0</v>
      </c>
      <c r="H300" s="4"/>
      <c r="I300" s="4"/>
      <c r="J300" s="4"/>
    </row>
    <row r="301" ht="12.0" customHeight="1">
      <c r="B301" s="222">
        <v>293.0</v>
      </c>
      <c r="C301" s="222">
        <f t="shared" si="1"/>
        <v>0</v>
      </c>
      <c r="D301" s="222">
        <f t="shared" si="2"/>
        <v>0</v>
      </c>
      <c r="E301" s="222">
        <f t="shared" si="3"/>
        <v>0</v>
      </c>
      <c r="H301" s="4"/>
      <c r="I301" s="4"/>
      <c r="J301" s="4"/>
    </row>
    <row r="302" ht="12.0" customHeight="1">
      <c r="B302" s="222">
        <v>294.0</v>
      </c>
      <c r="C302" s="222">
        <f t="shared" si="1"/>
        <v>0</v>
      </c>
      <c r="D302" s="222">
        <f t="shared" si="2"/>
        <v>0</v>
      </c>
      <c r="E302" s="222">
        <f t="shared" si="3"/>
        <v>0</v>
      </c>
      <c r="H302" s="4"/>
      <c r="I302" s="4"/>
      <c r="J302" s="4"/>
    </row>
    <row r="303" ht="12.0" customHeight="1">
      <c r="B303" s="222">
        <v>295.0</v>
      </c>
      <c r="C303" s="222">
        <f t="shared" si="1"/>
        <v>0</v>
      </c>
      <c r="D303" s="222">
        <f t="shared" si="2"/>
        <v>0</v>
      </c>
      <c r="E303" s="222">
        <f t="shared" si="3"/>
        <v>0</v>
      </c>
      <c r="H303" s="4"/>
      <c r="I303" s="4"/>
      <c r="J303" s="4"/>
    </row>
    <row r="304" ht="12.0" customHeight="1">
      <c r="B304" s="222">
        <v>296.0</v>
      </c>
      <c r="C304" s="222">
        <f t="shared" si="1"/>
        <v>0</v>
      </c>
      <c r="D304" s="222">
        <f t="shared" si="2"/>
        <v>0</v>
      </c>
      <c r="E304" s="222">
        <f t="shared" si="3"/>
        <v>0</v>
      </c>
      <c r="H304" s="4"/>
      <c r="I304" s="4"/>
      <c r="J304" s="4"/>
    </row>
    <row r="305" ht="12.0" customHeight="1">
      <c r="B305" s="222">
        <v>297.0</v>
      </c>
      <c r="C305" s="222">
        <f t="shared" si="1"/>
        <v>0</v>
      </c>
      <c r="D305" s="222">
        <f t="shared" si="2"/>
        <v>0</v>
      </c>
      <c r="E305" s="222">
        <f t="shared" si="3"/>
        <v>0</v>
      </c>
      <c r="H305" s="4"/>
      <c r="I305" s="4"/>
      <c r="J305" s="4"/>
    </row>
    <row r="306" ht="12.0" customHeight="1">
      <c r="B306" s="222">
        <v>298.0</v>
      </c>
      <c r="C306" s="222">
        <f t="shared" si="1"/>
        <v>0</v>
      </c>
      <c r="D306" s="222">
        <f t="shared" si="2"/>
        <v>0</v>
      </c>
      <c r="E306" s="222">
        <f t="shared" si="3"/>
        <v>0</v>
      </c>
      <c r="H306" s="4"/>
      <c r="I306" s="4"/>
      <c r="J306" s="4"/>
    </row>
    <row r="307" ht="12.0" customHeight="1">
      <c r="B307" s="222">
        <v>299.0</v>
      </c>
      <c r="C307" s="222">
        <f t="shared" si="1"/>
        <v>0</v>
      </c>
      <c r="D307" s="222">
        <f t="shared" si="2"/>
        <v>0</v>
      </c>
      <c r="E307" s="222">
        <f t="shared" si="3"/>
        <v>0</v>
      </c>
      <c r="H307" s="4"/>
      <c r="I307" s="4"/>
      <c r="J307" s="4"/>
    </row>
    <row r="308" ht="12.0" customHeight="1">
      <c r="B308" s="222">
        <v>300.0</v>
      </c>
      <c r="C308" s="222">
        <f t="shared" si="1"/>
        <v>0</v>
      </c>
      <c r="D308" s="222">
        <f t="shared" si="2"/>
        <v>0</v>
      </c>
      <c r="E308" s="222">
        <f t="shared" si="3"/>
        <v>0</v>
      </c>
      <c r="H308" s="4"/>
      <c r="I308" s="4"/>
      <c r="J308" s="4"/>
    </row>
    <row r="309" ht="12.0" customHeight="1">
      <c r="B309" s="222">
        <v>301.0</v>
      </c>
      <c r="C309" s="222">
        <f t="shared" si="1"/>
        <v>0</v>
      </c>
      <c r="D309" s="222">
        <f t="shared" si="2"/>
        <v>0</v>
      </c>
      <c r="E309" s="222">
        <f t="shared" si="3"/>
        <v>0</v>
      </c>
      <c r="H309" s="4"/>
      <c r="I309" s="4"/>
      <c r="J309" s="4"/>
    </row>
    <row r="310" ht="12.0" customHeight="1">
      <c r="B310" s="222">
        <v>302.0</v>
      </c>
      <c r="C310" s="222">
        <f t="shared" si="1"/>
        <v>0</v>
      </c>
      <c r="D310" s="222">
        <f t="shared" si="2"/>
        <v>0</v>
      </c>
      <c r="E310" s="222">
        <f t="shared" si="3"/>
        <v>0</v>
      </c>
      <c r="H310" s="4"/>
      <c r="I310" s="4"/>
      <c r="J310" s="4"/>
    </row>
    <row r="311" ht="12.0" customHeight="1">
      <c r="B311" s="222">
        <v>303.0</v>
      </c>
      <c r="C311" s="222">
        <f t="shared" si="1"/>
        <v>0</v>
      </c>
      <c r="D311" s="222">
        <f t="shared" si="2"/>
        <v>0</v>
      </c>
      <c r="E311" s="222">
        <f t="shared" si="3"/>
        <v>0</v>
      </c>
      <c r="H311" s="4"/>
      <c r="I311" s="4"/>
      <c r="J311" s="4"/>
    </row>
    <row r="312" ht="12.0" customHeight="1">
      <c r="B312" s="222">
        <v>304.0</v>
      </c>
      <c r="C312" s="222">
        <f t="shared" si="1"/>
        <v>0</v>
      </c>
      <c r="D312" s="222">
        <f t="shared" si="2"/>
        <v>0</v>
      </c>
      <c r="E312" s="222">
        <f t="shared" si="3"/>
        <v>0</v>
      </c>
      <c r="H312" s="4"/>
      <c r="I312" s="4"/>
      <c r="J312" s="4"/>
    </row>
    <row r="313" ht="12.0" customHeight="1">
      <c r="B313" s="222">
        <v>305.0</v>
      </c>
      <c r="C313" s="222">
        <f t="shared" si="1"/>
        <v>0</v>
      </c>
      <c r="D313" s="222">
        <f t="shared" si="2"/>
        <v>0</v>
      </c>
      <c r="E313" s="222">
        <f t="shared" si="3"/>
        <v>0</v>
      </c>
      <c r="H313" s="4"/>
      <c r="I313" s="4"/>
      <c r="J313" s="4"/>
    </row>
    <row r="314" ht="12.0" customHeight="1">
      <c r="B314" s="222">
        <v>306.0</v>
      </c>
      <c r="C314" s="222">
        <f t="shared" si="1"/>
        <v>0</v>
      </c>
      <c r="D314" s="222">
        <f t="shared" si="2"/>
        <v>0</v>
      </c>
      <c r="E314" s="222">
        <f t="shared" si="3"/>
        <v>0</v>
      </c>
      <c r="H314" s="4"/>
      <c r="I314" s="4"/>
      <c r="J314" s="4"/>
    </row>
    <row r="315" ht="12.0" customHeight="1">
      <c r="B315" s="222">
        <v>307.0</v>
      </c>
      <c r="C315" s="222">
        <f t="shared" si="1"/>
        <v>0</v>
      </c>
      <c r="D315" s="222">
        <f t="shared" si="2"/>
        <v>0</v>
      </c>
      <c r="E315" s="222">
        <f t="shared" si="3"/>
        <v>0</v>
      </c>
      <c r="H315" s="4"/>
      <c r="I315" s="4"/>
      <c r="J315" s="4"/>
    </row>
    <row r="316" ht="12.0" customHeight="1">
      <c r="B316" s="222">
        <v>308.0</v>
      </c>
      <c r="C316" s="222">
        <f t="shared" si="1"/>
        <v>0</v>
      </c>
      <c r="D316" s="222">
        <f t="shared" si="2"/>
        <v>0</v>
      </c>
      <c r="E316" s="222">
        <f t="shared" si="3"/>
        <v>0</v>
      </c>
      <c r="H316" s="4"/>
      <c r="I316" s="4"/>
      <c r="J316" s="4"/>
    </row>
    <row r="317" ht="12.0" customHeight="1">
      <c r="B317" s="222">
        <v>309.0</v>
      </c>
      <c r="C317" s="222">
        <f t="shared" si="1"/>
        <v>0</v>
      </c>
      <c r="D317" s="222">
        <f t="shared" si="2"/>
        <v>0</v>
      </c>
      <c r="E317" s="222">
        <f t="shared" si="3"/>
        <v>0</v>
      </c>
      <c r="H317" s="4"/>
      <c r="I317" s="4"/>
      <c r="J317" s="4"/>
    </row>
    <row r="318" ht="12.0" customHeight="1">
      <c r="B318" s="222">
        <v>310.0</v>
      </c>
      <c r="C318" s="222">
        <f t="shared" si="1"/>
        <v>0</v>
      </c>
      <c r="D318" s="222">
        <f t="shared" si="2"/>
        <v>0</v>
      </c>
      <c r="E318" s="222">
        <f t="shared" si="3"/>
        <v>0</v>
      </c>
      <c r="H318" s="4"/>
      <c r="I318" s="4"/>
      <c r="J318" s="4"/>
    </row>
    <row r="319" ht="12.0" customHeight="1">
      <c r="B319" s="222">
        <v>311.0</v>
      </c>
      <c r="C319" s="222">
        <f t="shared" si="1"/>
        <v>0</v>
      </c>
      <c r="D319" s="222">
        <f t="shared" si="2"/>
        <v>0</v>
      </c>
      <c r="E319" s="222">
        <f t="shared" si="3"/>
        <v>0</v>
      </c>
      <c r="H319" s="4"/>
      <c r="I319" s="4"/>
      <c r="J319" s="4"/>
    </row>
    <row r="320" ht="12.0" customHeight="1">
      <c r="B320" s="222">
        <v>312.0</v>
      </c>
      <c r="C320" s="222">
        <f t="shared" si="1"/>
        <v>0</v>
      </c>
      <c r="D320" s="222">
        <f t="shared" si="2"/>
        <v>0</v>
      </c>
      <c r="E320" s="222">
        <f t="shared" si="3"/>
        <v>0</v>
      </c>
      <c r="H320" s="4"/>
      <c r="I320" s="4"/>
      <c r="J320" s="4"/>
    </row>
    <row r="321" ht="12.0" customHeight="1">
      <c r="B321" s="222">
        <v>313.0</v>
      </c>
      <c r="C321" s="222">
        <f t="shared" si="1"/>
        <v>0</v>
      </c>
      <c r="D321" s="222">
        <f t="shared" si="2"/>
        <v>0</v>
      </c>
      <c r="E321" s="222">
        <f t="shared" si="3"/>
        <v>0</v>
      </c>
      <c r="H321" s="4"/>
      <c r="I321" s="4"/>
      <c r="J321" s="4"/>
    </row>
    <row r="322" ht="12.0" customHeight="1">
      <c r="B322" s="222">
        <v>314.0</v>
      </c>
      <c r="C322" s="222">
        <f t="shared" si="1"/>
        <v>0</v>
      </c>
      <c r="D322" s="222">
        <f t="shared" si="2"/>
        <v>0</v>
      </c>
      <c r="E322" s="222">
        <f t="shared" si="3"/>
        <v>0</v>
      </c>
      <c r="H322" s="4"/>
      <c r="I322" s="4"/>
      <c r="J322" s="4"/>
    </row>
    <row r="323" ht="12.0" customHeight="1">
      <c r="B323" s="222">
        <v>315.0</v>
      </c>
      <c r="C323" s="222">
        <f t="shared" si="1"/>
        <v>0</v>
      </c>
      <c r="D323" s="222">
        <f t="shared" si="2"/>
        <v>0</v>
      </c>
      <c r="E323" s="222">
        <f t="shared" si="3"/>
        <v>0</v>
      </c>
      <c r="H323" s="4"/>
      <c r="I323" s="4"/>
      <c r="J323" s="4"/>
    </row>
    <row r="324" ht="12.0" customHeight="1">
      <c r="B324" s="222">
        <v>316.0</v>
      </c>
      <c r="C324" s="222">
        <f t="shared" si="1"/>
        <v>0</v>
      </c>
      <c r="D324" s="222">
        <f t="shared" si="2"/>
        <v>0</v>
      </c>
      <c r="E324" s="222">
        <f t="shared" si="3"/>
        <v>0</v>
      </c>
      <c r="H324" s="4"/>
      <c r="I324" s="4"/>
      <c r="J324" s="4"/>
    </row>
    <row r="325" ht="12.0" customHeight="1">
      <c r="B325" s="222">
        <v>317.0</v>
      </c>
      <c r="C325" s="222">
        <f t="shared" si="1"/>
        <v>0</v>
      </c>
      <c r="D325" s="222">
        <f t="shared" si="2"/>
        <v>0</v>
      </c>
      <c r="E325" s="222">
        <f t="shared" si="3"/>
        <v>0</v>
      </c>
      <c r="H325" s="4"/>
      <c r="I325" s="4"/>
      <c r="J325" s="4"/>
    </row>
    <row r="326" ht="12.0" customHeight="1">
      <c r="B326" s="222">
        <v>318.0</v>
      </c>
      <c r="C326" s="222">
        <f t="shared" si="1"/>
        <v>0</v>
      </c>
      <c r="D326" s="222">
        <f t="shared" si="2"/>
        <v>0</v>
      </c>
      <c r="E326" s="222">
        <f t="shared" si="3"/>
        <v>0</v>
      </c>
      <c r="H326" s="4"/>
      <c r="I326" s="4"/>
      <c r="J326" s="4"/>
    </row>
    <row r="327" ht="12.0" customHeight="1">
      <c r="B327" s="222">
        <v>319.0</v>
      </c>
      <c r="C327" s="222">
        <f t="shared" si="1"/>
        <v>0</v>
      </c>
      <c r="D327" s="222">
        <f t="shared" si="2"/>
        <v>0</v>
      </c>
      <c r="E327" s="222">
        <f t="shared" si="3"/>
        <v>0</v>
      </c>
      <c r="H327" s="4"/>
      <c r="I327" s="4"/>
      <c r="J327" s="4"/>
    </row>
    <row r="328" ht="12.0" customHeight="1">
      <c r="B328" s="222">
        <v>320.0</v>
      </c>
      <c r="C328" s="222">
        <f t="shared" si="1"/>
        <v>0</v>
      </c>
      <c r="D328" s="222">
        <f t="shared" si="2"/>
        <v>0</v>
      </c>
      <c r="E328" s="222">
        <f t="shared" si="3"/>
        <v>0</v>
      </c>
      <c r="H328" s="4"/>
      <c r="I328" s="4"/>
      <c r="J328" s="4"/>
    </row>
    <row r="329" ht="12.0" customHeight="1">
      <c r="B329" s="222">
        <v>321.0</v>
      </c>
      <c r="C329" s="222">
        <f t="shared" si="1"/>
        <v>0</v>
      </c>
      <c r="D329" s="222">
        <f t="shared" si="2"/>
        <v>0</v>
      </c>
      <c r="E329" s="222">
        <f t="shared" si="3"/>
        <v>0</v>
      </c>
      <c r="H329" s="4"/>
      <c r="I329" s="4"/>
      <c r="J329" s="4"/>
    </row>
    <row r="330" ht="12.0" customHeight="1">
      <c r="B330" s="222">
        <v>322.0</v>
      </c>
      <c r="C330" s="222">
        <f t="shared" si="1"/>
        <v>0</v>
      </c>
      <c r="D330" s="222">
        <f t="shared" si="2"/>
        <v>0</v>
      </c>
      <c r="E330" s="222">
        <f t="shared" si="3"/>
        <v>0</v>
      </c>
      <c r="H330" s="4"/>
      <c r="I330" s="4"/>
      <c r="J330" s="4"/>
    </row>
    <row r="331" ht="12.0" customHeight="1">
      <c r="B331" s="222">
        <v>323.0</v>
      </c>
      <c r="C331" s="222">
        <f t="shared" si="1"/>
        <v>0</v>
      </c>
      <c r="D331" s="222">
        <f t="shared" si="2"/>
        <v>0</v>
      </c>
      <c r="E331" s="222">
        <f t="shared" si="3"/>
        <v>0</v>
      </c>
      <c r="H331" s="4"/>
      <c r="I331" s="4"/>
      <c r="J331" s="4"/>
    </row>
    <row r="332" ht="12.0" customHeight="1">
      <c r="B332" s="222">
        <v>324.0</v>
      </c>
      <c r="C332" s="222">
        <f t="shared" si="1"/>
        <v>0</v>
      </c>
      <c r="D332" s="222">
        <f t="shared" si="2"/>
        <v>0</v>
      </c>
      <c r="E332" s="222">
        <f t="shared" si="3"/>
        <v>0</v>
      </c>
      <c r="H332" s="4"/>
      <c r="I332" s="4"/>
      <c r="J332" s="4"/>
    </row>
    <row r="333" ht="12.0" customHeight="1">
      <c r="B333" s="222">
        <v>325.0</v>
      </c>
      <c r="C333" s="222">
        <f t="shared" si="1"/>
        <v>0</v>
      </c>
      <c r="D333" s="222">
        <f t="shared" si="2"/>
        <v>0</v>
      </c>
      <c r="E333" s="222">
        <f t="shared" si="3"/>
        <v>0</v>
      </c>
      <c r="H333" s="4"/>
      <c r="I333" s="4"/>
      <c r="J333" s="4"/>
    </row>
    <row r="334" ht="12.0" customHeight="1">
      <c r="B334" s="222">
        <v>326.0</v>
      </c>
      <c r="C334" s="222">
        <f t="shared" si="1"/>
        <v>0</v>
      </c>
      <c r="D334" s="222">
        <f t="shared" si="2"/>
        <v>0</v>
      </c>
      <c r="E334" s="222">
        <f t="shared" si="3"/>
        <v>0</v>
      </c>
      <c r="H334" s="4"/>
      <c r="I334" s="4"/>
      <c r="J334" s="4"/>
    </row>
    <row r="335" ht="12.0" customHeight="1">
      <c r="B335" s="222">
        <v>327.0</v>
      </c>
      <c r="C335" s="222">
        <f t="shared" si="1"/>
        <v>0</v>
      </c>
      <c r="D335" s="222">
        <f t="shared" si="2"/>
        <v>0</v>
      </c>
      <c r="E335" s="222">
        <f t="shared" si="3"/>
        <v>0</v>
      </c>
      <c r="H335" s="4"/>
      <c r="I335" s="4"/>
      <c r="J335" s="4"/>
    </row>
    <row r="336" ht="12.0" customHeight="1">
      <c r="B336" s="222">
        <v>328.0</v>
      </c>
      <c r="C336" s="222">
        <f t="shared" si="1"/>
        <v>0</v>
      </c>
      <c r="D336" s="222">
        <f t="shared" si="2"/>
        <v>0</v>
      </c>
      <c r="E336" s="222">
        <f t="shared" si="3"/>
        <v>0</v>
      </c>
      <c r="H336" s="4"/>
      <c r="I336" s="4"/>
      <c r="J336" s="4"/>
    </row>
    <row r="337" ht="12.0" customHeight="1">
      <c r="B337" s="222">
        <v>329.0</v>
      </c>
      <c r="C337" s="222">
        <f t="shared" si="1"/>
        <v>0</v>
      </c>
      <c r="D337" s="222">
        <f t="shared" si="2"/>
        <v>0</v>
      </c>
      <c r="E337" s="222">
        <f t="shared" si="3"/>
        <v>0</v>
      </c>
      <c r="H337" s="4"/>
      <c r="I337" s="4"/>
      <c r="J337" s="4"/>
    </row>
    <row r="338" ht="12.0" customHeight="1">
      <c r="B338" s="222">
        <v>330.0</v>
      </c>
      <c r="C338" s="222">
        <f t="shared" si="1"/>
        <v>0</v>
      </c>
      <c r="D338" s="222">
        <f t="shared" si="2"/>
        <v>0</v>
      </c>
      <c r="E338" s="222">
        <f t="shared" si="3"/>
        <v>0</v>
      </c>
      <c r="H338" s="4"/>
      <c r="I338" s="4"/>
      <c r="J338" s="4"/>
    </row>
    <row r="339" ht="12.0" customHeight="1">
      <c r="B339" s="222">
        <v>331.0</v>
      </c>
      <c r="C339" s="222">
        <f t="shared" si="1"/>
        <v>0</v>
      </c>
      <c r="D339" s="222">
        <f t="shared" si="2"/>
        <v>0</v>
      </c>
      <c r="E339" s="222">
        <f t="shared" si="3"/>
        <v>0</v>
      </c>
      <c r="H339" s="4"/>
      <c r="I339" s="4"/>
      <c r="J339" s="4"/>
    </row>
    <row r="340" ht="12.0" customHeight="1">
      <c r="B340" s="222">
        <v>332.0</v>
      </c>
      <c r="C340" s="222">
        <f t="shared" si="1"/>
        <v>0</v>
      </c>
      <c r="D340" s="222">
        <f t="shared" si="2"/>
        <v>0</v>
      </c>
      <c r="E340" s="222">
        <f t="shared" si="3"/>
        <v>0</v>
      </c>
      <c r="H340" s="4"/>
      <c r="I340" s="4"/>
      <c r="J340" s="4"/>
    </row>
    <row r="341" ht="12.0" customHeight="1">
      <c r="B341" s="222">
        <v>333.0</v>
      </c>
      <c r="C341" s="222">
        <f t="shared" si="1"/>
        <v>0</v>
      </c>
      <c r="D341" s="222">
        <f t="shared" si="2"/>
        <v>0</v>
      </c>
      <c r="E341" s="222">
        <f t="shared" si="3"/>
        <v>0</v>
      </c>
      <c r="H341" s="4"/>
      <c r="I341" s="4"/>
      <c r="J341" s="4"/>
    </row>
    <row r="342" ht="12.0" customHeight="1">
      <c r="B342" s="222">
        <v>334.0</v>
      </c>
      <c r="C342" s="222">
        <f t="shared" si="1"/>
        <v>0</v>
      </c>
      <c r="D342" s="222">
        <f t="shared" si="2"/>
        <v>0</v>
      </c>
      <c r="E342" s="222">
        <f t="shared" si="3"/>
        <v>0</v>
      </c>
      <c r="H342" s="4"/>
      <c r="I342" s="4"/>
      <c r="J342" s="4"/>
    </row>
    <row r="343" ht="12.0" customHeight="1">
      <c r="B343" s="222">
        <v>335.0</v>
      </c>
      <c r="C343" s="222">
        <f t="shared" si="1"/>
        <v>0</v>
      </c>
      <c r="D343" s="222">
        <f t="shared" si="2"/>
        <v>0</v>
      </c>
      <c r="E343" s="222">
        <f t="shared" si="3"/>
        <v>0</v>
      </c>
      <c r="H343" s="4"/>
      <c r="I343" s="4"/>
      <c r="J343" s="4"/>
    </row>
    <row r="344" ht="12.0" customHeight="1">
      <c r="B344" s="222">
        <v>336.0</v>
      </c>
      <c r="C344" s="222">
        <f t="shared" si="1"/>
        <v>0</v>
      </c>
      <c r="D344" s="222">
        <f t="shared" si="2"/>
        <v>0</v>
      </c>
      <c r="E344" s="222">
        <f t="shared" si="3"/>
        <v>0</v>
      </c>
      <c r="H344" s="4"/>
      <c r="I344" s="4"/>
      <c r="J344" s="4"/>
    </row>
    <row r="345" ht="12.0" customHeight="1">
      <c r="B345" s="222">
        <v>337.0</v>
      </c>
      <c r="C345" s="222">
        <f t="shared" si="1"/>
        <v>0</v>
      </c>
      <c r="D345" s="222">
        <f t="shared" si="2"/>
        <v>0</v>
      </c>
      <c r="E345" s="222">
        <f t="shared" si="3"/>
        <v>0</v>
      </c>
      <c r="H345" s="4"/>
      <c r="I345" s="4"/>
      <c r="J345" s="4"/>
    </row>
    <row r="346" ht="12.0" customHeight="1">
      <c r="B346" s="222">
        <v>338.0</v>
      </c>
      <c r="C346" s="222">
        <f t="shared" si="1"/>
        <v>0</v>
      </c>
      <c r="D346" s="222">
        <f t="shared" si="2"/>
        <v>0</v>
      </c>
      <c r="E346" s="222">
        <f t="shared" si="3"/>
        <v>0</v>
      </c>
      <c r="H346" s="4"/>
      <c r="I346" s="4"/>
      <c r="J346" s="4"/>
    </row>
    <row r="347" ht="12.0" customHeight="1">
      <c r="B347" s="222">
        <v>339.0</v>
      </c>
      <c r="C347" s="222">
        <f t="shared" si="1"/>
        <v>0</v>
      </c>
      <c r="D347" s="222">
        <f t="shared" si="2"/>
        <v>0</v>
      </c>
      <c r="E347" s="222">
        <f t="shared" si="3"/>
        <v>0</v>
      </c>
      <c r="H347" s="4"/>
      <c r="I347" s="4"/>
      <c r="J347" s="4"/>
    </row>
    <row r="348" ht="12.0" customHeight="1">
      <c r="B348" s="222">
        <v>340.0</v>
      </c>
      <c r="C348" s="222">
        <f t="shared" si="1"/>
        <v>0</v>
      </c>
      <c r="D348" s="222">
        <f t="shared" si="2"/>
        <v>0</v>
      </c>
      <c r="E348" s="222">
        <f t="shared" si="3"/>
        <v>0</v>
      </c>
      <c r="H348" s="4"/>
      <c r="I348" s="4"/>
      <c r="J348" s="4"/>
    </row>
    <row r="349" ht="12.0" customHeight="1">
      <c r="B349" s="222">
        <v>341.0</v>
      </c>
      <c r="C349" s="222">
        <f t="shared" si="1"/>
        <v>0</v>
      </c>
      <c r="D349" s="222">
        <f t="shared" si="2"/>
        <v>0</v>
      </c>
      <c r="E349" s="222">
        <f t="shared" si="3"/>
        <v>0</v>
      </c>
      <c r="H349" s="4"/>
      <c r="I349" s="4"/>
      <c r="J349" s="4"/>
    </row>
    <row r="350" ht="12.0" customHeight="1">
      <c r="B350" s="222">
        <v>342.0</v>
      </c>
      <c r="C350" s="222">
        <f t="shared" si="1"/>
        <v>0</v>
      </c>
      <c r="D350" s="222">
        <f t="shared" si="2"/>
        <v>0</v>
      </c>
      <c r="E350" s="222">
        <f t="shared" si="3"/>
        <v>0</v>
      </c>
      <c r="H350" s="4"/>
      <c r="I350" s="4"/>
      <c r="J350" s="4"/>
    </row>
    <row r="351" ht="12.0" customHeight="1">
      <c r="B351" s="222">
        <v>343.0</v>
      </c>
      <c r="C351" s="222">
        <f t="shared" si="1"/>
        <v>0</v>
      </c>
      <c r="D351" s="222">
        <f t="shared" si="2"/>
        <v>0</v>
      </c>
      <c r="E351" s="222">
        <f t="shared" si="3"/>
        <v>0</v>
      </c>
      <c r="H351" s="4"/>
      <c r="I351" s="4"/>
      <c r="J351" s="4"/>
    </row>
    <row r="352" ht="12.0" customHeight="1">
      <c r="B352" s="222">
        <v>344.0</v>
      </c>
      <c r="C352" s="222">
        <f t="shared" si="1"/>
        <v>0</v>
      </c>
      <c r="D352" s="222">
        <f t="shared" si="2"/>
        <v>0</v>
      </c>
      <c r="E352" s="222">
        <f t="shared" si="3"/>
        <v>0</v>
      </c>
      <c r="H352" s="4"/>
      <c r="I352" s="4"/>
      <c r="J352" s="4"/>
    </row>
    <row r="353" ht="12.0" customHeight="1">
      <c r="B353" s="222">
        <v>345.0</v>
      </c>
      <c r="C353" s="222">
        <f t="shared" si="1"/>
        <v>0</v>
      </c>
      <c r="D353" s="222">
        <f t="shared" si="2"/>
        <v>0</v>
      </c>
      <c r="E353" s="222">
        <f t="shared" si="3"/>
        <v>0</v>
      </c>
      <c r="H353" s="4"/>
      <c r="I353" s="4"/>
      <c r="J353" s="4"/>
    </row>
    <row r="354" ht="12.0" customHeight="1">
      <c r="B354" s="222">
        <v>346.0</v>
      </c>
      <c r="C354" s="222">
        <f t="shared" si="1"/>
        <v>0</v>
      </c>
      <c r="D354" s="222">
        <f t="shared" si="2"/>
        <v>0</v>
      </c>
      <c r="E354" s="222">
        <f t="shared" si="3"/>
        <v>0</v>
      </c>
      <c r="H354" s="4"/>
      <c r="I354" s="4"/>
      <c r="J354" s="4"/>
    </row>
    <row r="355" ht="12.0" customHeight="1">
      <c r="B355" s="222">
        <v>347.0</v>
      </c>
      <c r="C355" s="222">
        <f t="shared" si="1"/>
        <v>0</v>
      </c>
      <c r="D355" s="222">
        <f t="shared" si="2"/>
        <v>0</v>
      </c>
      <c r="E355" s="222">
        <f t="shared" si="3"/>
        <v>0</v>
      </c>
      <c r="H355" s="4"/>
      <c r="I355" s="4"/>
      <c r="J355" s="4"/>
    </row>
    <row r="356" ht="12.0" customHeight="1">
      <c r="B356" s="222">
        <v>348.0</v>
      </c>
      <c r="C356" s="222">
        <f t="shared" si="1"/>
        <v>0</v>
      </c>
      <c r="D356" s="222">
        <f t="shared" si="2"/>
        <v>0</v>
      </c>
      <c r="E356" s="222">
        <f t="shared" si="3"/>
        <v>0</v>
      </c>
      <c r="H356" s="4"/>
      <c r="I356" s="4"/>
      <c r="J356" s="4"/>
    </row>
    <row r="357" ht="12.0" customHeight="1">
      <c r="B357" s="222">
        <v>349.0</v>
      </c>
      <c r="C357" s="222">
        <f t="shared" si="1"/>
        <v>0</v>
      </c>
      <c r="D357" s="222">
        <f t="shared" si="2"/>
        <v>0</v>
      </c>
      <c r="E357" s="222">
        <f t="shared" si="3"/>
        <v>0</v>
      </c>
      <c r="H357" s="4"/>
      <c r="I357" s="4"/>
      <c r="J357" s="4"/>
    </row>
    <row r="358" ht="12.0" customHeight="1">
      <c r="B358" s="222">
        <v>350.0</v>
      </c>
      <c r="C358" s="222">
        <f t="shared" si="1"/>
        <v>0</v>
      </c>
      <c r="D358" s="222">
        <f t="shared" si="2"/>
        <v>0</v>
      </c>
      <c r="E358" s="222">
        <f t="shared" si="3"/>
        <v>0</v>
      </c>
      <c r="H358" s="4"/>
      <c r="I358" s="4"/>
      <c r="J358" s="4"/>
    </row>
    <row r="359" ht="12.0" customHeight="1">
      <c r="B359" s="222">
        <v>351.0</v>
      </c>
      <c r="C359" s="222">
        <f t="shared" si="1"/>
        <v>0</v>
      </c>
      <c r="D359" s="222">
        <f t="shared" si="2"/>
        <v>0</v>
      </c>
      <c r="E359" s="222">
        <f t="shared" si="3"/>
        <v>0</v>
      </c>
      <c r="H359" s="4"/>
      <c r="I359" s="4"/>
      <c r="J359" s="4"/>
    </row>
    <row r="360" ht="12.0" customHeight="1">
      <c r="B360" s="222">
        <v>352.0</v>
      </c>
      <c r="C360" s="222">
        <f t="shared" si="1"/>
        <v>0</v>
      </c>
      <c r="D360" s="222">
        <f t="shared" si="2"/>
        <v>0</v>
      </c>
      <c r="E360" s="222">
        <f t="shared" si="3"/>
        <v>0</v>
      </c>
      <c r="H360" s="4"/>
      <c r="I360" s="4"/>
      <c r="J360" s="4"/>
    </row>
    <row r="361" ht="12.0" customHeight="1">
      <c r="B361" s="222">
        <v>353.0</v>
      </c>
      <c r="C361" s="222">
        <f t="shared" si="1"/>
        <v>0</v>
      </c>
      <c r="D361" s="222">
        <f t="shared" si="2"/>
        <v>0</v>
      </c>
      <c r="E361" s="222">
        <f t="shared" si="3"/>
        <v>0</v>
      </c>
      <c r="H361" s="4"/>
      <c r="I361" s="4"/>
      <c r="J361" s="4"/>
    </row>
    <row r="362" ht="12.0" customHeight="1">
      <c r="B362" s="222">
        <v>354.0</v>
      </c>
      <c r="C362" s="222">
        <f t="shared" si="1"/>
        <v>0</v>
      </c>
      <c r="D362" s="222">
        <f t="shared" si="2"/>
        <v>0</v>
      </c>
      <c r="E362" s="222">
        <f t="shared" si="3"/>
        <v>0</v>
      </c>
      <c r="H362" s="4"/>
      <c r="I362" s="4"/>
      <c r="J362" s="4"/>
    </row>
    <row r="363" ht="12.0" customHeight="1">
      <c r="B363" s="222">
        <v>355.0</v>
      </c>
      <c r="C363" s="222">
        <f t="shared" si="1"/>
        <v>0</v>
      </c>
      <c r="D363" s="222">
        <f t="shared" si="2"/>
        <v>0</v>
      </c>
      <c r="E363" s="222">
        <f t="shared" si="3"/>
        <v>0</v>
      </c>
      <c r="H363" s="4"/>
      <c r="I363" s="4"/>
      <c r="J363" s="4"/>
    </row>
    <row r="364" ht="12.0" customHeight="1">
      <c r="B364" s="222">
        <v>356.0</v>
      </c>
      <c r="C364" s="222">
        <f t="shared" si="1"/>
        <v>0</v>
      </c>
      <c r="D364" s="222">
        <f t="shared" si="2"/>
        <v>0</v>
      </c>
      <c r="E364" s="222">
        <f t="shared" si="3"/>
        <v>0</v>
      </c>
      <c r="H364" s="4"/>
      <c r="I364" s="4"/>
      <c r="J364" s="4"/>
    </row>
    <row r="365" ht="12.0" customHeight="1">
      <c r="B365" s="222">
        <v>357.0</v>
      </c>
      <c r="C365" s="222">
        <f t="shared" si="1"/>
        <v>0</v>
      </c>
      <c r="D365" s="222">
        <f t="shared" si="2"/>
        <v>0</v>
      </c>
      <c r="E365" s="222">
        <f t="shared" si="3"/>
        <v>0</v>
      </c>
      <c r="H365" s="4"/>
      <c r="I365" s="4"/>
      <c r="J365" s="4"/>
    </row>
    <row r="366" ht="12.0" customHeight="1">
      <c r="B366" s="222">
        <v>358.0</v>
      </c>
      <c r="C366" s="222">
        <f t="shared" si="1"/>
        <v>0</v>
      </c>
      <c r="D366" s="222">
        <f t="shared" si="2"/>
        <v>0</v>
      </c>
      <c r="E366" s="222">
        <f t="shared" si="3"/>
        <v>0</v>
      </c>
      <c r="H366" s="4"/>
      <c r="I366" s="4"/>
      <c r="J366" s="4"/>
    </row>
    <row r="367" ht="12.0" customHeight="1">
      <c r="B367" s="222">
        <v>359.0</v>
      </c>
      <c r="C367" s="222">
        <f t="shared" si="1"/>
        <v>0</v>
      </c>
      <c r="D367" s="222">
        <f t="shared" si="2"/>
        <v>0</v>
      </c>
      <c r="E367" s="222">
        <f t="shared" si="3"/>
        <v>0</v>
      </c>
      <c r="H367" s="4"/>
      <c r="I367" s="4"/>
      <c r="J367" s="4"/>
    </row>
    <row r="368" ht="12.0" customHeight="1">
      <c r="B368" s="222">
        <v>360.0</v>
      </c>
      <c r="C368" s="222">
        <f t="shared" si="1"/>
        <v>0</v>
      </c>
      <c r="D368" s="222">
        <f t="shared" si="2"/>
        <v>0</v>
      </c>
      <c r="E368" s="222">
        <f t="shared" si="3"/>
        <v>0</v>
      </c>
      <c r="H368" s="4"/>
      <c r="I368" s="4"/>
      <c r="J368" s="4"/>
    </row>
    <row r="369" ht="12.0" customHeight="1">
      <c r="B369" s="222"/>
      <c r="C369" s="4"/>
      <c r="D369" s="4"/>
      <c r="E369" s="4"/>
      <c r="H369" s="4"/>
      <c r="I369" s="4"/>
      <c r="J369" s="4"/>
    </row>
    <row r="370" ht="12.0" customHeight="1">
      <c r="C370" s="4"/>
      <c r="D370" s="4"/>
      <c r="E370" s="4"/>
      <c r="H370" s="4"/>
      <c r="I370" s="4"/>
      <c r="J370" s="4"/>
    </row>
    <row r="371" ht="12.0" customHeight="1">
      <c r="C371" s="4"/>
      <c r="D371" s="4"/>
      <c r="E371" s="4"/>
      <c r="H371" s="4"/>
      <c r="I371" s="4"/>
      <c r="J371" s="4"/>
    </row>
    <row r="372" ht="12.0" customHeight="1">
      <c r="C372" s="4"/>
      <c r="D372" s="4"/>
      <c r="E372" s="4"/>
      <c r="H372" s="4"/>
      <c r="I372" s="4"/>
      <c r="J372" s="4"/>
    </row>
    <row r="373" ht="12.0" customHeight="1">
      <c r="C373" s="4"/>
      <c r="D373" s="4"/>
      <c r="E373" s="4"/>
      <c r="H373" s="4"/>
      <c r="I373" s="4"/>
      <c r="J373" s="4"/>
    </row>
    <row r="374" ht="12.0" customHeight="1">
      <c r="C374" s="4"/>
      <c r="D374" s="4"/>
      <c r="E374" s="4"/>
      <c r="H374" s="4"/>
      <c r="I374" s="4"/>
      <c r="J374" s="4"/>
    </row>
    <row r="375" ht="12.0" customHeight="1">
      <c r="C375" s="4"/>
      <c r="D375" s="4"/>
      <c r="E375" s="4"/>
      <c r="H375" s="4"/>
      <c r="I375" s="4"/>
      <c r="J375" s="4"/>
    </row>
    <row r="376" ht="12.0" customHeight="1">
      <c r="C376" s="4"/>
      <c r="D376" s="4"/>
      <c r="E376" s="4"/>
      <c r="H376" s="4"/>
      <c r="I376" s="4"/>
      <c r="J376" s="4"/>
    </row>
    <row r="377" ht="12.0" customHeight="1">
      <c r="C377" s="4"/>
      <c r="D377" s="4"/>
      <c r="E377" s="4"/>
      <c r="H377" s="4"/>
      <c r="I377" s="4"/>
      <c r="J377" s="4"/>
    </row>
    <row r="378" ht="12.0" customHeight="1">
      <c r="C378" s="4"/>
      <c r="D378" s="4"/>
      <c r="E378" s="4"/>
      <c r="H378" s="4"/>
      <c r="I378" s="4"/>
      <c r="J378" s="4"/>
    </row>
    <row r="379" ht="12.0" customHeight="1">
      <c r="C379" s="4"/>
      <c r="D379" s="4"/>
      <c r="E379" s="4"/>
      <c r="H379" s="4"/>
      <c r="I379" s="4"/>
      <c r="J379" s="4"/>
    </row>
    <row r="380" ht="12.0" customHeight="1">
      <c r="C380" s="4"/>
      <c r="D380" s="4"/>
      <c r="E380" s="4"/>
      <c r="H380" s="4"/>
      <c r="I380" s="4"/>
      <c r="J380" s="4"/>
    </row>
    <row r="381" ht="12.0" customHeight="1">
      <c r="C381" s="4"/>
      <c r="D381" s="4"/>
      <c r="E381" s="4"/>
      <c r="H381" s="4"/>
      <c r="I381" s="4"/>
      <c r="J381" s="4"/>
    </row>
    <row r="382" ht="12.0" customHeight="1">
      <c r="C382" s="4"/>
      <c r="D382" s="4"/>
      <c r="E382" s="4"/>
      <c r="H382" s="4"/>
      <c r="I382" s="4"/>
      <c r="J382" s="4"/>
    </row>
    <row r="383" ht="12.0" customHeight="1">
      <c r="C383" s="4"/>
      <c r="D383" s="4"/>
      <c r="E383" s="4"/>
      <c r="H383" s="4"/>
      <c r="I383" s="4"/>
      <c r="J383" s="4"/>
    </row>
    <row r="384" ht="12.0" customHeight="1">
      <c r="C384" s="4"/>
      <c r="D384" s="4"/>
      <c r="E384" s="4"/>
      <c r="H384" s="4"/>
      <c r="I384" s="4"/>
      <c r="J384" s="4"/>
    </row>
    <row r="385" ht="12.0" customHeight="1">
      <c r="C385" s="4"/>
      <c r="D385" s="4"/>
      <c r="E385" s="4"/>
      <c r="H385" s="4"/>
      <c r="I385" s="4"/>
      <c r="J385" s="4"/>
    </row>
    <row r="386" ht="12.0" customHeight="1">
      <c r="C386" s="4"/>
      <c r="D386" s="4"/>
      <c r="E386" s="4"/>
      <c r="H386" s="4"/>
      <c r="I386" s="4"/>
      <c r="J386" s="4"/>
    </row>
    <row r="387" ht="12.0" customHeight="1">
      <c r="C387" s="4"/>
      <c r="D387" s="4"/>
      <c r="E387" s="4"/>
      <c r="H387" s="4"/>
      <c r="I387" s="4"/>
      <c r="J387" s="4"/>
    </row>
    <row r="388" ht="12.0" customHeight="1">
      <c r="C388" s="4"/>
      <c r="D388" s="4"/>
      <c r="E388" s="4"/>
      <c r="H388" s="4"/>
      <c r="I388" s="4"/>
      <c r="J388" s="4"/>
    </row>
    <row r="389" ht="12.0" customHeight="1">
      <c r="C389" s="4"/>
      <c r="D389" s="4"/>
      <c r="E389" s="4"/>
      <c r="H389" s="4"/>
      <c r="I389" s="4"/>
      <c r="J389" s="4"/>
    </row>
    <row r="390" ht="12.0" customHeight="1">
      <c r="C390" s="4"/>
      <c r="D390" s="4"/>
      <c r="E390" s="4"/>
      <c r="H390" s="4"/>
      <c r="I390" s="4"/>
      <c r="J390" s="4"/>
    </row>
    <row r="391" ht="12.0" customHeight="1">
      <c r="C391" s="4"/>
      <c r="D391" s="4"/>
      <c r="E391" s="4"/>
      <c r="H391" s="4"/>
      <c r="I391" s="4"/>
      <c r="J391" s="4"/>
    </row>
    <row r="392" ht="12.0" customHeight="1">
      <c r="C392" s="4"/>
      <c r="D392" s="4"/>
      <c r="E392" s="4"/>
      <c r="H392" s="4"/>
      <c r="I392" s="4"/>
      <c r="J392" s="4"/>
    </row>
    <row r="393" ht="12.0" customHeight="1">
      <c r="C393" s="4"/>
      <c r="D393" s="4"/>
      <c r="E393" s="4"/>
      <c r="H393" s="4"/>
      <c r="I393" s="4"/>
      <c r="J393" s="4"/>
    </row>
    <row r="394" ht="12.0" customHeight="1">
      <c r="C394" s="4"/>
      <c r="D394" s="4"/>
      <c r="E394" s="4"/>
      <c r="H394" s="4"/>
      <c r="I394" s="4"/>
      <c r="J394" s="4"/>
    </row>
    <row r="395" ht="12.0" customHeight="1">
      <c r="C395" s="4"/>
      <c r="D395" s="4"/>
      <c r="E395" s="4"/>
      <c r="H395" s="4"/>
      <c r="I395" s="4"/>
      <c r="J395" s="4"/>
    </row>
    <row r="396" ht="12.0" customHeight="1">
      <c r="C396" s="4"/>
      <c r="D396" s="4"/>
      <c r="E396" s="4"/>
      <c r="H396" s="4"/>
      <c r="I396" s="4"/>
      <c r="J396" s="4"/>
    </row>
    <row r="397" ht="12.0" customHeight="1">
      <c r="C397" s="4"/>
      <c r="D397" s="4"/>
      <c r="E397" s="4"/>
      <c r="H397" s="4"/>
      <c r="I397" s="4"/>
      <c r="J397" s="4"/>
    </row>
    <row r="398" ht="12.0" customHeight="1">
      <c r="C398" s="4"/>
      <c r="D398" s="4"/>
      <c r="E398" s="4"/>
      <c r="H398" s="4"/>
      <c r="I398" s="4"/>
      <c r="J398" s="4"/>
    </row>
    <row r="399" ht="12.0" customHeight="1">
      <c r="C399" s="4"/>
      <c r="D399" s="4"/>
      <c r="E399" s="4"/>
      <c r="H399" s="4"/>
      <c r="I399" s="4"/>
      <c r="J399" s="4"/>
    </row>
    <row r="400" ht="12.0" customHeight="1">
      <c r="C400" s="4"/>
      <c r="D400" s="4"/>
      <c r="E400" s="4"/>
      <c r="H400" s="4"/>
      <c r="I400" s="4"/>
      <c r="J400" s="4"/>
    </row>
    <row r="401" ht="12.0" customHeight="1">
      <c r="C401" s="4"/>
      <c r="D401" s="4"/>
      <c r="E401" s="4"/>
      <c r="H401" s="4"/>
      <c r="I401" s="4"/>
      <c r="J401" s="4"/>
    </row>
    <row r="402" ht="12.0" customHeight="1">
      <c r="C402" s="4"/>
      <c r="D402" s="4"/>
      <c r="E402" s="4"/>
      <c r="H402" s="4"/>
      <c r="I402" s="4"/>
      <c r="J402" s="4"/>
    </row>
    <row r="403" ht="12.0" customHeight="1">
      <c r="C403" s="4"/>
      <c r="D403" s="4"/>
      <c r="E403" s="4"/>
      <c r="H403" s="4"/>
      <c r="I403" s="4"/>
      <c r="J403" s="4"/>
    </row>
    <row r="404" ht="12.0" customHeight="1">
      <c r="C404" s="4"/>
      <c r="D404" s="4"/>
      <c r="E404" s="4"/>
      <c r="H404" s="4"/>
      <c r="I404" s="4"/>
      <c r="J404" s="4"/>
    </row>
    <row r="405" ht="12.0" customHeight="1">
      <c r="C405" s="4"/>
      <c r="D405" s="4"/>
      <c r="E405" s="4"/>
      <c r="H405" s="4"/>
      <c r="I405" s="4"/>
      <c r="J405" s="4"/>
    </row>
    <row r="406" ht="12.0" customHeight="1">
      <c r="C406" s="4"/>
      <c r="D406" s="4"/>
      <c r="E406" s="4"/>
      <c r="H406" s="4"/>
      <c r="I406" s="4"/>
      <c r="J406" s="4"/>
    </row>
    <row r="407" ht="12.0" customHeight="1">
      <c r="C407" s="4"/>
      <c r="D407" s="4"/>
      <c r="E407" s="4"/>
      <c r="H407" s="4"/>
      <c r="I407" s="4"/>
      <c r="J407" s="4"/>
    </row>
    <row r="408" ht="12.0" customHeight="1">
      <c r="C408" s="4"/>
      <c r="D408" s="4"/>
      <c r="E408" s="4"/>
      <c r="H408" s="4"/>
      <c r="I408" s="4"/>
      <c r="J408" s="4"/>
    </row>
    <row r="409" ht="12.0" customHeight="1">
      <c r="C409" s="4"/>
      <c r="D409" s="4"/>
      <c r="E409" s="4"/>
      <c r="H409" s="4"/>
      <c r="I409" s="4"/>
      <c r="J409" s="4"/>
    </row>
    <row r="410" ht="12.0" customHeight="1">
      <c r="C410" s="4"/>
      <c r="D410" s="4"/>
      <c r="E410" s="4"/>
      <c r="H410" s="4"/>
      <c r="I410" s="4"/>
      <c r="J410" s="4"/>
    </row>
    <row r="411" ht="12.0" customHeight="1">
      <c r="C411" s="4"/>
      <c r="D411" s="4"/>
      <c r="E411" s="4"/>
      <c r="H411" s="4"/>
      <c r="I411" s="4"/>
      <c r="J411" s="4"/>
    </row>
    <row r="412" ht="12.0" customHeight="1">
      <c r="C412" s="4"/>
      <c r="D412" s="4"/>
      <c r="E412" s="4"/>
      <c r="H412" s="4"/>
      <c r="I412" s="4"/>
      <c r="J412" s="4"/>
    </row>
    <row r="413" ht="12.0" customHeight="1">
      <c r="C413" s="4"/>
      <c r="D413" s="4"/>
      <c r="E413" s="4"/>
      <c r="H413" s="4"/>
      <c r="I413" s="4"/>
      <c r="J413" s="4"/>
    </row>
    <row r="414" ht="12.0" customHeight="1">
      <c r="C414" s="4"/>
      <c r="D414" s="4"/>
      <c r="E414" s="4"/>
      <c r="H414" s="4"/>
      <c r="I414" s="4"/>
      <c r="J414" s="4"/>
    </row>
    <row r="415" ht="12.0" customHeight="1">
      <c r="C415" s="4"/>
      <c r="D415" s="4"/>
      <c r="E415" s="4"/>
      <c r="H415" s="4"/>
      <c r="I415" s="4"/>
      <c r="J415" s="4"/>
    </row>
    <row r="416" ht="12.0" customHeight="1">
      <c r="C416" s="4"/>
      <c r="D416" s="4"/>
      <c r="E416" s="4"/>
      <c r="H416" s="4"/>
      <c r="I416" s="4"/>
      <c r="J416" s="4"/>
    </row>
    <row r="417" ht="12.0" customHeight="1">
      <c r="C417" s="4"/>
      <c r="D417" s="4"/>
      <c r="E417" s="4"/>
      <c r="H417" s="4"/>
      <c r="I417" s="4"/>
      <c r="J417" s="4"/>
    </row>
    <row r="418" ht="12.0" customHeight="1">
      <c r="C418" s="4"/>
      <c r="D418" s="4"/>
      <c r="E418" s="4"/>
      <c r="H418" s="4"/>
      <c r="I418" s="4"/>
      <c r="J418" s="4"/>
    </row>
    <row r="419" ht="12.0" customHeight="1">
      <c r="C419" s="4"/>
      <c r="D419" s="4"/>
      <c r="E419" s="4"/>
      <c r="H419" s="4"/>
      <c r="I419" s="4"/>
      <c r="J419" s="4"/>
    </row>
    <row r="420" ht="12.0" customHeight="1">
      <c r="C420" s="4"/>
      <c r="D420" s="4"/>
      <c r="E420" s="4"/>
      <c r="H420" s="4"/>
      <c r="I420" s="4"/>
      <c r="J420" s="4"/>
    </row>
    <row r="421" ht="12.0" customHeight="1">
      <c r="C421" s="4"/>
      <c r="D421" s="4"/>
      <c r="E421" s="4"/>
      <c r="H421" s="4"/>
      <c r="I421" s="4"/>
      <c r="J421" s="4"/>
    </row>
    <row r="422" ht="12.0" customHeight="1">
      <c r="C422" s="4"/>
      <c r="D422" s="4"/>
      <c r="E422" s="4"/>
      <c r="H422" s="4"/>
      <c r="I422" s="4"/>
      <c r="J422" s="4"/>
    </row>
    <row r="423" ht="12.0" customHeight="1">
      <c r="C423" s="4"/>
      <c r="D423" s="4"/>
      <c r="E423" s="4"/>
      <c r="H423" s="4"/>
      <c r="I423" s="4"/>
      <c r="J423" s="4"/>
    </row>
    <row r="424" ht="12.0" customHeight="1">
      <c r="C424" s="4"/>
      <c r="D424" s="4"/>
      <c r="E424" s="4"/>
      <c r="H424" s="4"/>
      <c r="I424" s="4"/>
      <c r="J424" s="4"/>
    </row>
    <row r="425" ht="12.0" customHeight="1">
      <c r="C425" s="4"/>
      <c r="D425" s="4"/>
      <c r="E425" s="4"/>
      <c r="H425" s="4"/>
      <c r="I425" s="4"/>
      <c r="J425" s="4"/>
    </row>
    <row r="426" ht="12.0" customHeight="1">
      <c r="C426" s="4"/>
      <c r="D426" s="4"/>
      <c r="E426" s="4"/>
      <c r="H426" s="4"/>
      <c r="I426" s="4"/>
      <c r="J426" s="4"/>
    </row>
    <row r="427" ht="12.0" customHeight="1">
      <c r="C427" s="4"/>
      <c r="D427" s="4"/>
      <c r="E427" s="4"/>
      <c r="H427" s="4"/>
      <c r="I427" s="4"/>
      <c r="J427" s="4"/>
    </row>
    <row r="428" ht="12.0" customHeight="1">
      <c r="C428" s="4"/>
      <c r="D428" s="4"/>
      <c r="E428" s="4"/>
      <c r="H428" s="4"/>
      <c r="I428" s="4"/>
      <c r="J428" s="4"/>
    </row>
    <row r="429" ht="12.0" customHeight="1">
      <c r="C429" s="4"/>
      <c r="D429" s="4"/>
      <c r="E429" s="4"/>
      <c r="H429" s="4"/>
      <c r="I429" s="4"/>
      <c r="J429" s="4"/>
    </row>
    <row r="430" ht="12.0" customHeight="1">
      <c r="C430" s="4"/>
      <c r="D430" s="4"/>
      <c r="E430" s="4"/>
      <c r="H430" s="4"/>
      <c r="I430" s="4"/>
      <c r="J430" s="4"/>
    </row>
    <row r="431" ht="12.0" customHeight="1">
      <c r="C431" s="4"/>
      <c r="D431" s="4"/>
      <c r="E431" s="4"/>
      <c r="H431" s="4"/>
      <c r="I431" s="4"/>
      <c r="J431" s="4"/>
    </row>
    <row r="432" ht="12.0" customHeight="1">
      <c r="C432" s="4"/>
      <c r="D432" s="4"/>
      <c r="E432" s="4"/>
      <c r="H432" s="4"/>
      <c r="I432" s="4"/>
      <c r="J432" s="4"/>
    </row>
    <row r="433" ht="12.0" customHeight="1">
      <c r="C433" s="4"/>
      <c r="D433" s="4"/>
      <c r="E433" s="4"/>
      <c r="H433" s="4"/>
      <c r="I433" s="4"/>
      <c r="J433" s="4"/>
    </row>
    <row r="434" ht="12.0" customHeight="1">
      <c r="C434" s="4"/>
      <c r="D434" s="4"/>
      <c r="E434" s="4"/>
      <c r="H434" s="4"/>
      <c r="I434" s="4"/>
      <c r="J434" s="4"/>
    </row>
    <row r="435" ht="12.0" customHeight="1">
      <c r="C435" s="4"/>
      <c r="D435" s="4"/>
      <c r="E435" s="4"/>
      <c r="H435" s="4"/>
      <c r="I435" s="4"/>
      <c r="J435" s="4"/>
    </row>
    <row r="436" ht="12.0" customHeight="1">
      <c r="C436" s="4"/>
      <c r="D436" s="4"/>
      <c r="E436" s="4"/>
      <c r="H436" s="4"/>
      <c r="I436" s="4"/>
      <c r="J436" s="4"/>
    </row>
    <row r="437" ht="12.0" customHeight="1">
      <c r="C437" s="4"/>
      <c r="D437" s="4"/>
      <c r="E437" s="4"/>
      <c r="H437" s="4"/>
      <c r="I437" s="4"/>
      <c r="J437" s="4"/>
    </row>
    <row r="438" ht="12.0" customHeight="1">
      <c r="C438" s="4"/>
      <c r="D438" s="4"/>
      <c r="E438" s="4"/>
      <c r="H438" s="4"/>
      <c r="I438" s="4"/>
      <c r="J438" s="4"/>
    </row>
    <row r="439" ht="12.0" customHeight="1">
      <c r="C439" s="4"/>
      <c r="D439" s="4"/>
      <c r="E439" s="4"/>
      <c r="H439" s="4"/>
      <c r="I439" s="4"/>
      <c r="J439" s="4"/>
    </row>
    <row r="440" ht="12.0" customHeight="1">
      <c r="C440" s="4"/>
      <c r="D440" s="4"/>
      <c r="E440" s="4"/>
      <c r="H440" s="4"/>
      <c r="I440" s="4"/>
      <c r="J440" s="4"/>
    </row>
    <row r="441" ht="12.0" customHeight="1">
      <c r="C441" s="4"/>
      <c r="D441" s="4"/>
      <c r="E441" s="4"/>
      <c r="H441" s="4"/>
      <c r="I441" s="4"/>
      <c r="J441" s="4"/>
    </row>
    <row r="442" ht="12.0" customHeight="1">
      <c r="C442" s="4"/>
      <c r="D442" s="4"/>
      <c r="E442" s="4"/>
      <c r="H442" s="4"/>
      <c r="I442" s="4"/>
      <c r="J442" s="4"/>
    </row>
    <row r="443" ht="12.0" customHeight="1">
      <c r="C443" s="4"/>
      <c r="D443" s="4"/>
      <c r="E443" s="4"/>
      <c r="H443" s="4"/>
      <c r="I443" s="4"/>
      <c r="J443" s="4"/>
    </row>
    <row r="444" ht="12.0" customHeight="1">
      <c r="C444" s="4"/>
      <c r="D444" s="4"/>
      <c r="E444" s="4"/>
      <c r="H444" s="4"/>
      <c r="I444" s="4"/>
      <c r="J444" s="4"/>
    </row>
    <row r="445" ht="12.0" customHeight="1">
      <c r="C445" s="4"/>
      <c r="D445" s="4"/>
      <c r="E445" s="4"/>
      <c r="H445" s="4"/>
      <c r="I445" s="4"/>
      <c r="J445" s="4"/>
    </row>
    <row r="446" ht="12.0" customHeight="1">
      <c r="C446" s="4"/>
      <c r="D446" s="4"/>
      <c r="E446" s="4"/>
      <c r="H446" s="4"/>
      <c r="I446" s="4"/>
      <c r="J446" s="4"/>
    </row>
    <row r="447" ht="12.0" customHeight="1">
      <c r="C447" s="4"/>
      <c r="D447" s="4"/>
      <c r="E447" s="4"/>
      <c r="H447" s="4"/>
      <c r="I447" s="4"/>
      <c r="J447" s="4"/>
    </row>
    <row r="448" ht="12.0" customHeight="1">
      <c r="C448" s="4"/>
      <c r="D448" s="4"/>
      <c r="E448" s="4"/>
      <c r="H448" s="4"/>
      <c r="I448" s="4"/>
      <c r="J448" s="4"/>
    </row>
    <row r="449" ht="12.0" customHeight="1">
      <c r="C449" s="4"/>
      <c r="D449" s="4"/>
      <c r="E449" s="4"/>
      <c r="H449" s="4"/>
      <c r="I449" s="4"/>
      <c r="J449" s="4"/>
    </row>
    <row r="450" ht="12.0" customHeight="1">
      <c r="C450" s="4"/>
      <c r="D450" s="4"/>
      <c r="E450" s="4"/>
      <c r="H450" s="4"/>
      <c r="I450" s="4"/>
      <c r="J450" s="4"/>
    </row>
    <row r="451" ht="12.0" customHeight="1">
      <c r="C451" s="4"/>
      <c r="D451" s="4"/>
      <c r="E451" s="4"/>
      <c r="H451" s="4"/>
      <c r="I451" s="4"/>
      <c r="J451" s="4"/>
    </row>
    <row r="452" ht="12.0" customHeight="1">
      <c r="C452" s="4"/>
      <c r="D452" s="4"/>
      <c r="E452" s="4"/>
      <c r="H452" s="4"/>
      <c r="I452" s="4"/>
      <c r="J452" s="4"/>
    </row>
    <row r="453" ht="12.0" customHeight="1">
      <c r="C453" s="4"/>
      <c r="D453" s="4"/>
      <c r="E453" s="4"/>
      <c r="H453" s="4"/>
      <c r="I453" s="4"/>
      <c r="J453" s="4"/>
    </row>
    <row r="454" ht="12.0" customHeight="1">
      <c r="C454" s="4"/>
      <c r="D454" s="4"/>
      <c r="E454" s="4"/>
      <c r="H454" s="4"/>
      <c r="I454" s="4"/>
      <c r="J454" s="4"/>
    </row>
    <row r="455" ht="12.0" customHeight="1">
      <c r="C455" s="4"/>
      <c r="D455" s="4"/>
      <c r="E455" s="4"/>
      <c r="H455" s="4"/>
      <c r="I455" s="4"/>
      <c r="J455" s="4"/>
    </row>
    <row r="456" ht="12.0" customHeight="1">
      <c r="C456" s="4"/>
      <c r="D456" s="4"/>
      <c r="E456" s="4"/>
      <c r="H456" s="4"/>
      <c r="I456" s="4"/>
      <c r="J456" s="4"/>
    </row>
    <row r="457" ht="12.0" customHeight="1">
      <c r="C457" s="4"/>
      <c r="D457" s="4"/>
      <c r="E457" s="4"/>
      <c r="H457" s="4"/>
      <c r="I457" s="4"/>
      <c r="J457" s="4"/>
    </row>
    <row r="458" ht="12.0" customHeight="1">
      <c r="C458" s="4"/>
      <c r="D458" s="4"/>
      <c r="E458" s="4"/>
      <c r="H458" s="4"/>
      <c r="I458" s="4"/>
      <c r="J458" s="4"/>
    </row>
    <row r="459" ht="12.0" customHeight="1">
      <c r="C459" s="4"/>
      <c r="D459" s="4"/>
      <c r="E459" s="4"/>
      <c r="H459" s="4"/>
      <c r="I459" s="4"/>
      <c r="J459" s="4"/>
    </row>
    <row r="460" ht="12.0" customHeight="1">
      <c r="C460" s="4"/>
      <c r="D460" s="4"/>
      <c r="E460" s="4"/>
      <c r="H460" s="4"/>
      <c r="I460" s="4"/>
      <c r="J460" s="4"/>
    </row>
    <row r="461" ht="12.0" customHeight="1">
      <c r="C461" s="4"/>
      <c r="D461" s="4"/>
      <c r="E461" s="4"/>
      <c r="H461" s="4"/>
      <c r="I461" s="4"/>
      <c r="J461" s="4"/>
    </row>
    <row r="462" ht="12.0" customHeight="1">
      <c r="C462" s="4"/>
      <c r="D462" s="4"/>
      <c r="E462" s="4"/>
      <c r="H462" s="4"/>
      <c r="I462" s="4"/>
      <c r="J462" s="4"/>
    </row>
    <row r="463" ht="12.0" customHeight="1">
      <c r="C463" s="4"/>
      <c r="D463" s="4"/>
      <c r="E463" s="4"/>
      <c r="H463" s="4"/>
      <c r="I463" s="4"/>
      <c r="J463" s="4"/>
    </row>
    <row r="464" ht="12.0" customHeight="1">
      <c r="C464" s="4"/>
      <c r="D464" s="4"/>
      <c r="E464" s="4"/>
      <c r="H464" s="4"/>
      <c r="I464" s="4"/>
      <c r="J464" s="4"/>
    </row>
    <row r="465" ht="12.0" customHeight="1">
      <c r="C465" s="4"/>
      <c r="D465" s="4"/>
      <c r="E465" s="4"/>
      <c r="H465" s="4"/>
      <c r="I465" s="4"/>
      <c r="J465" s="4"/>
    </row>
    <row r="466" ht="12.0" customHeight="1">
      <c r="C466" s="4"/>
      <c r="D466" s="4"/>
      <c r="E466" s="4"/>
      <c r="H466" s="4"/>
      <c r="I466" s="4"/>
      <c r="J466" s="4"/>
    </row>
    <row r="467" ht="12.0" customHeight="1">
      <c r="C467" s="4"/>
      <c r="D467" s="4"/>
      <c r="E467" s="4"/>
      <c r="H467" s="4"/>
      <c r="I467" s="4"/>
      <c r="J467" s="4"/>
    </row>
    <row r="468" ht="12.0" customHeight="1">
      <c r="C468" s="4"/>
      <c r="D468" s="4"/>
      <c r="E468" s="4"/>
      <c r="H468" s="4"/>
      <c r="I468" s="4"/>
      <c r="J468" s="4"/>
    </row>
    <row r="469" ht="12.0" customHeight="1">
      <c r="C469" s="4"/>
      <c r="D469" s="4"/>
      <c r="E469" s="4"/>
      <c r="H469" s="4"/>
      <c r="I469" s="4"/>
      <c r="J469" s="4"/>
    </row>
    <row r="470" ht="12.0" customHeight="1">
      <c r="C470" s="4"/>
      <c r="D470" s="4"/>
      <c r="E470" s="4"/>
      <c r="H470" s="4"/>
      <c r="I470" s="4"/>
      <c r="J470" s="4"/>
    </row>
    <row r="471" ht="12.0" customHeight="1">
      <c r="C471" s="4"/>
      <c r="D471" s="4"/>
      <c r="E471" s="4"/>
      <c r="H471" s="4"/>
      <c r="I471" s="4"/>
      <c r="J471" s="4"/>
    </row>
    <row r="472" ht="12.0" customHeight="1">
      <c r="C472" s="4"/>
      <c r="D472" s="4"/>
      <c r="E472" s="4"/>
      <c r="H472" s="4"/>
      <c r="I472" s="4"/>
      <c r="J472" s="4"/>
    </row>
    <row r="473" ht="12.0" customHeight="1">
      <c r="C473" s="4"/>
      <c r="D473" s="4"/>
      <c r="E473" s="4"/>
      <c r="H473" s="4"/>
      <c r="I473" s="4"/>
      <c r="J473" s="4"/>
    </row>
    <row r="474" ht="12.0" customHeight="1">
      <c r="C474" s="4"/>
      <c r="D474" s="4"/>
      <c r="E474" s="4"/>
      <c r="H474" s="4"/>
      <c r="I474" s="4"/>
      <c r="J474" s="4"/>
    </row>
    <row r="475" ht="12.0" customHeight="1">
      <c r="C475" s="4"/>
      <c r="D475" s="4"/>
      <c r="E475" s="4"/>
      <c r="H475" s="4"/>
      <c r="I475" s="4"/>
      <c r="J475" s="4"/>
    </row>
    <row r="476" ht="12.0" customHeight="1">
      <c r="C476" s="4"/>
      <c r="D476" s="4"/>
      <c r="E476" s="4"/>
      <c r="H476" s="4"/>
      <c r="I476" s="4"/>
      <c r="J476" s="4"/>
    </row>
    <row r="477" ht="12.0" customHeight="1">
      <c r="C477" s="4"/>
      <c r="D477" s="4"/>
      <c r="E477" s="4"/>
      <c r="H477" s="4"/>
      <c r="I477" s="4"/>
      <c r="J477" s="4"/>
    </row>
    <row r="478" ht="12.0" customHeight="1">
      <c r="C478" s="4"/>
      <c r="D478" s="4"/>
      <c r="E478" s="4"/>
      <c r="H478" s="4"/>
      <c r="I478" s="4"/>
      <c r="J478" s="4"/>
    </row>
    <row r="479" ht="12.0" customHeight="1">
      <c r="C479" s="4"/>
      <c r="D479" s="4"/>
      <c r="E479" s="4"/>
      <c r="H479" s="4"/>
      <c r="I479" s="4"/>
      <c r="J479" s="4"/>
    </row>
    <row r="480" ht="12.0" customHeight="1">
      <c r="C480" s="4"/>
      <c r="D480" s="4"/>
      <c r="E480" s="4"/>
      <c r="H480" s="4"/>
      <c r="I480" s="4"/>
      <c r="J480" s="4"/>
    </row>
    <row r="481" ht="12.0" customHeight="1">
      <c r="C481" s="4"/>
      <c r="D481" s="4"/>
      <c r="E481" s="4"/>
      <c r="H481" s="4"/>
      <c r="I481" s="4"/>
      <c r="J481" s="4"/>
    </row>
    <row r="482" ht="12.0" customHeight="1">
      <c r="C482" s="4"/>
      <c r="D482" s="4"/>
      <c r="E482" s="4"/>
      <c r="H482" s="4"/>
      <c r="I482" s="4"/>
      <c r="J482" s="4"/>
    </row>
    <row r="483" ht="12.0" customHeight="1">
      <c r="C483" s="4"/>
      <c r="D483" s="4"/>
      <c r="E483" s="4"/>
      <c r="H483" s="4"/>
      <c r="I483" s="4"/>
      <c r="J483" s="4"/>
    </row>
    <row r="484" ht="12.0" customHeight="1">
      <c r="C484" s="4"/>
      <c r="D484" s="4"/>
      <c r="E484" s="4"/>
      <c r="H484" s="4"/>
      <c r="I484" s="4"/>
      <c r="J484" s="4"/>
    </row>
    <row r="485" ht="12.0" customHeight="1">
      <c r="C485" s="4"/>
      <c r="D485" s="4"/>
      <c r="E485" s="4"/>
      <c r="H485" s="4"/>
      <c r="I485" s="4"/>
      <c r="J485" s="4"/>
    </row>
    <row r="486" ht="12.0" customHeight="1">
      <c r="C486" s="4"/>
      <c r="D486" s="4"/>
      <c r="E486" s="4"/>
      <c r="H486" s="4"/>
      <c r="I486" s="4"/>
      <c r="J486" s="4"/>
    </row>
    <row r="487" ht="12.0" customHeight="1">
      <c r="C487" s="4"/>
      <c r="D487" s="4"/>
      <c r="E487" s="4"/>
      <c r="H487" s="4"/>
      <c r="I487" s="4"/>
      <c r="J487" s="4"/>
    </row>
    <row r="488" ht="12.0" customHeight="1">
      <c r="C488" s="4"/>
      <c r="D488" s="4"/>
      <c r="E488" s="4"/>
      <c r="H488" s="4"/>
      <c r="I488" s="4"/>
      <c r="J488" s="4"/>
    </row>
    <row r="489" ht="12.0" customHeight="1">
      <c r="C489" s="4"/>
      <c r="D489" s="4"/>
      <c r="E489" s="4"/>
      <c r="H489" s="4"/>
      <c r="I489" s="4"/>
      <c r="J489" s="4"/>
    </row>
    <row r="490" ht="12.0" customHeight="1">
      <c r="C490" s="4"/>
      <c r="D490" s="4"/>
      <c r="E490" s="4"/>
      <c r="H490" s="4"/>
      <c r="I490" s="4"/>
      <c r="J490" s="4"/>
    </row>
    <row r="491" ht="12.0" customHeight="1">
      <c r="C491" s="4"/>
      <c r="D491" s="4"/>
      <c r="E491" s="4"/>
      <c r="H491" s="4"/>
      <c r="I491" s="4"/>
      <c r="J491" s="4"/>
    </row>
    <row r="492" ht="12.0" customHeight="1">
      <c r="C492" s="4"/>
      <c r="D492" s="4"/>
      <c r="E492" s="4"/>
      <c r="H492" s="4"/>
      <c r="I492" s="4"/>
      <c r="J492" s="4"/>
    </row>
    <row r="493" ht="12.0" customHeight="1">
      <c r="C493" s="4"/>
      <c r="D493" s="4"/>
      <c r="E493" s="4"/>
      <c r="H493" s="4"/>
      <c r="I493" s="4"/>
      <c r="J493" s="4"/>
    </row>
    <row r="494" ht="12.0" customHeight="1">
      <c r="C494" s="4"/>
      <c r="D494" s="4"/>
      <c r="E494" s="4"/>
      <c r="H494" s="4"/>
      <c r="I494" s="4"/>
      <c r="J494" s="4"/>
    </row>
    <row r="495" ht="12.0" customHeight="1">
      <c r="C495" s="4"/>
      <c r="D495" s="4"/>
      <c r="E495" s="4"/>
      <c r="H495" s="4"/>
      <c r="I495" s="4"/>
      <c r="J495" s="4"/>
    </row>
    <row r="496" ht="12.0" customHeight="1">
      <c r="C496" s="4"/>
      <c r="D496" s="4"/>
      <c r="E496" s="4"/>
      <c r="H496" s="4"/>
      <c r="I496" s="4"/>
      <c r="J496" s="4"/>
    </row>
    <row r="497" ht="12.0" customHeight="1">
      <c r="C497" s="4"/>
      <c r="D497" s="4"/>
      <c r="E497" s="4"/>
      <c r="H497" s="4"/>
      <c r="I497" s="4"/>
      <c r="J497" s="4"/>
    </row>
    <row r="498" ht="12.0" customHeight="1">
      <c r="C498" s="4"/>
      <c r="D498" s="4"/>
      <c r="E498" s="4"/>
      <c r="H498" s="4"/>
      <c r="I498" s="4"/>
      <c r="J498" s="4"/>
    </row>
    <row r="499" ht="12.0" customHeight="1">
      <c r="C499" s="4"/>
      <c r="D499" s="4"/>
      <c r="E499" s="4"/>
      <c r="H499" s="4"/>
      <c r="I499" s="4"/>
      <c r="J499" s="4"/>
    </row>
    <row r="500" ht="12.0" customHeight="1">
      <c r="C500" s="4"/>
      <c r="D500" s="4"/>
      <c r="E500" s="4"/>
      <c r="H500" s="4"/>
      <c r="I500" s="4"/>
      <c r="J500" s="4"/>
    </row>
    <row r="501" ht="12.0" customHeight="1">
      <c r="C501" s="4"/>
      <c r="D501" s="4"/>
      <c r="E501" s="4"/>
      <c r="H501" s="4"/>
      <c r="I501" s="4"/>
      <c r="J501" s="4"/>
    </row>
    <row r="502" ht="12.0" customHeight="1">
      <c r="C502" s="4"/>
      <c r="D502" s="4"/>
      <c r="E502" s="4"/>
      <c r="H502" s="4"/>
      <c r="I502" s="4"/>
      <c r="J502" s="4"/>
    </row>
    <row r="503" ht="12.0" customHeight="1">
      <c r="C503" s="4"/>
      <c r="D503" s="4"/>
      <c r="E503" s="4"/>
      <c r="H503" s="4"/>
      <c r="I503" s="4"/>
      <c r="J503" s="4"/>
    </row>
    <row r="504" ht="12.0" customHeight="1">
      <c r="C504" s="4"/>
      <c r="D504" s="4"/>
      <c r="E504" s="4"/>
      <c r="H504" s="4"/>
      <c r="I504" s="4"/>
      <c r="J504" s="4"/>
    </row>
    <row r="505" ht="12.0" customHeight="1">
      <c r="C505" s="4"/>
      <c r="D505" s="4"/>
      <c r="E505" s="4"/>
      <c r="H505" s="4"/>
      <c r="I505" s="4"/>
      <c r="J505" s="4"/>
    </row>
    <row r="506" ht="12.0" customHeight="1">
      <c r="C506" s="4"/>
      <c r="D506" s="4"/>
      <c r="E506" s="4"/>
      <c r="H506" s="4"/>
      <c r="I506" s="4"/>
      <c r="J506" s="4"/>
    </row>
    <row r="507" ht="12.0" customHeight="1">
      <c r="C507" s="4"/>
      <c r="D507" s="4"/>
      <c r="E507" s="4"/>
      <c r="H507" s="4"/>
      <c r="I507" s="4"/>
      <c r="J507" s="4"/>
    </row>
    <row r="508" ht="12.0" customHeight="1">
      <c r="C508" s="4"/>
      <c r="D508" s="4"/>
      <c r="E508" s="4"/>
      <c r="H508" s="4"/>
      <c r="I508" s="4"/>
      <c r="J508" s="4"/>
    </row>
    <row r="509" ht="12.0" customHeight="1">
      <c r="C509" s="4"/>
      <c r="D509" s="4"/>
      <c r="E509" s="4"/>
      <c r="H509" s="4"/>
      <c r="I509" s="4"/>
      <c r="J509" s="4"/>
    </row>
    <row r="510" ht="12.0" customHeight="1">
      <c r="C510" s="4"/>
      <c r="D510" s="4"/>
      <c r="E510" s="4"/>
      <c r="H510" s="4"/>
      <c r="I510" s="4"/>
      <c r="J510" s="4"/>
    </row>
    <row r="511" ht="12.0" customHeight="1">
      <c r="C511" s="4"/>
      <c r="D511" s="4"/>
      <c r="E511" s="4"/>
      <c r="H511" s="4"/>
      <c r="I511" s="4"/>
      <c r="J511" s="4"/>
    </row>
    <row r="512" ht="12.0" customHeight="1">
      <c r="C512" s="4"/>
      <c r="D512" s="4"/>
      <c r="E512" s="4"/>
      <c r="H512" s="4"/>
      <c r="I512" s="4"/>
      <c r="J512" s="4"/>
    </row>
    <row r="513" ht="12.0" customHeight="1">
      <c r="C513" s="4"/>
      <c r="D513" s="4"/>
      <c r="E513" s="4"/>
      <c r="H513" s="4"/>
      <c r="I513" s="4"/>
      <c r="J513" s="4"/>
    </row>
    <row r="514" ht="12.0" customHeight="1">
      <c r="C514" s="4"/>
      <c r="D514" s="4"/>
      <c r="E514" s="4"/>
      <c r="H514" s="4"/>
      <c r="I514" s="4"/>
      <c r="J514" s="4"/>
    </row>
    <row r="515" ht="12.0" customHeight="1">
      <c r="C515" s="4"/>
      <c r="D515" s="4"/>
      <c r="E515" s="4"/>
      <c r="H515" s="4"/>
      <c r="I515" s="4"/>
      <c r="J515" s="4"/>
    </row>
    <row r="516" ht="12.0" customHeight="1">
      <c r="C516" s="4"/>
      <c r="D516" s="4"/>
      <c r="E516" s="4"/>
      <c r="H516" s="4"/>
      <c r="I516" s="4"/>
      <c r="J516" s="4"/>
    </row>
    <row r="517" ht="12.0" customHeight="1">
      <c r="C517" s="4"/>
      <c r="D517" s="4"/>
      <c r="E517" s="4"/>
      <c r="H517" s="4"/>
      <c r="I517" s="4"/>
      <c r="J517" s="4"/>
    </row>
    <row r="518" ht="12.0" customHeight="1">
      <c r="C518" s="4"/>
      <c r="D518" s="4"/>
      <c r="E518" s="4"/>
      <c r="H518" s="4"/>
      <c r="I518" s="4"/>
      <c r="J518" s="4"/>
    </row>
    <row r="519" ht="12.0" customHeight="1">
      <c r="C519" s="4"/>
      <c r="D519" s="4"/>
      <c r="E519" s="4"/>
      <c r="H519" s="4"/>
      <c r="I519" s="4"/>
      <c r="J519" s="4"/>
    </row>
    <row r="520" ht="12.0" customHeight="1">
      <c r="C520" s="4"/>
      <c r="D520" s="4"/>
      <c r="E520" s="4"/>
      <c r="H520" s="4"/>
      <c r="I520" s="4"/>
      <c r="J520" s="4"/>
    </row>
    <row r="521" ht="12.0" customHeight="1">
      <c r="C521" s="4"/>
      <c r="D521" s="4"/>
      <c r="E521" s="4"/>
      <c r="H521" s="4"/>
      <c r="I521" s="4"/>
      <c r="J521" s="4"/>
    </row>
    <row r="522" ht="12.0" customHeight="1">
      <c r="C522" s="4"/>
      <c r="D522" s="4"/>
      <c r="E522" s="4"/>
      <c r="H522" s="4"/>
      <c r="I522" s="4"/>
      <c r="J522" s="4"/>
    </row>
    <row r="523" ht="12.0" customHeight="1">
      <c r="C523" s="4"/>
      <c r="D523" s="4"/>
      <c r="E523" s="4"/>
      <c r="H523" s="4"/>
      <c r="I523" s="4"/>
      <c r="J523" s="4"/>
    </row>
    <row r="524" ht="12.0" customHeight="1">
      <c r="C524" s="4"/>
      <c r="D524" s="4"/>
      <c r="E524" s="4"/>
      <c r="H524" s="4"/>
      <c r="I524" s="4"/>
      <c r="J524" s="4"/>
    </row>
    <row r="525" ht="12.0" customHeight="1">
      <c r="C525" s="4"/>
      <c r="D525" s="4"/>
      <c r="E525" s="4"/>
      <c r="H525" s="4"/>
      <c r="I525" s="4"/>
      <c r="J525" s="4"/>
    </row>
    <row r="526" ht="12.0" customHeight="1">
      <c r="C526" s="4"/>
      <c r="D526" s="4"/>
      <c r="E526" s="4"/>
      <c r="H526" s="4"/>
      <c r="I526" s="4"/>
      <c r="J526" s="4"/>
    </row>
    <row r="527" ht="12.0" customHeight="1">
      <c r="C527" s="4"/>
      <c r="D527" s="4"/>
      <c r="E527" s="4"/>
      <c r="H527" s="4"/>
      <c r="I527" s="4"/>
      <c r="J527" s="4"/>
    </row>
    <row r="528" ht="12.0" customHeight="1">
      <c r="C528" s="4"/>
      <c r="D528" s="4"/>
      <c r="E528" s="4"/>
      <c r="H528" s="4"/>
      <c r="I528" s="4"/>
      <c r="J528" s="4"/>
    </row>
    <row r="529" ht="12.0" customHeight="1">
      <c r="C529" s="4"/>
      <c r="D529" s="4"/>
      <c r="E529" s="4"/>
      <c r="H529" s="4"/>
      <c r="I529" s="4"/>
      <c r="J529" s="4"/>
    </row>
    <row r="530" ht="12.0" customHeight="1">
      <c r="C530" s="4"/>
      <c r="D530" s="4"/>
      <c r="E530" s="4"/>
      <c r="H530" s="4"/>
      <c r="I530" s="4"/>
      <c r="J530" s="4"/>
    </row>
    <row r="531" ht="12.0" customHeight="1">
      <c r="C531" s="4"/>
      <c r="D531" s="4"/>
      <c r="E531" s="4"/>
      <c r="H531" s="4"/>
      <c r="I531" s="4"/>
      <c r="J531" s="4"/>
    </row>
    <row r="532" ht="12.0" customHeight="1">
      <c r="C532" s="4"/>
      <c r="D532" s="4"/>
      <c r="E532" s="4"/>
      <c r="H532" s="4"/>
      <c r="I532" s="4"/>
      <c r="J532" s="4"/>
    </row>
    <row r="533" ht="12.0" customHeight="1">
      <c r="C533" s="4"/>
      <c r="D533" s="4"/>
      <c r="E533" s="4"/>
      <c r="H533" s="4"/>
      <c r="I533" s="4"/>
      <c r="J533" s="4"/>
    </row>
    <row r="534" ht="12.0" customHeight="1">
      <c r="C534" s="4"/>
      <c r="D534" s="4"/>
      <c r="E534" s="4"/>
      <c r="H534" s="4"/>
      <c r="I534" s="4"/>
      <c r="J534" s="4"/>
    </row>
    <row r="535" ht="12.0" customHeight="1">
      <c r="C535" s="4"/>
      <c r="D535" s="4"/>
      <c r="E535" s="4"/>
      <c r="H535" s="4"/>
      <c r="I535" s="4"/>
      <c r="J535" s="4"/>
    </row>
    <row r="536" ht="12.0" customHeight="1">
      <c r="C536" s="4"/>
      <c r="D536" s="4"/>
      <c r="E536" s="4"/>
      <c r="H536" s="4"/>
      <c r="I536" s="4"/>
      <c r="J536" s="4"/>
    </row>
    <row r="537" ht="12.0" customHeight="1">
      <c r="C537" s="4"/>
      <c r="D537" s="4"/>
      <c r="E537" s="4"/>
      <c r="H537" s="4"/>
      <c r="I537" s="4"/>
      <c r="J537" s="4"/>
    </row>
    <row r="538" ht="12.0" customHeight="1">
      <c r="C538" s="4"/>
      <c r="D538" s="4"/>
      <c r="E538" s="4"/>
      <c r="H538" s="4"/>
      <c r="I538" s="4"/>
      <c r="J538" s="4"/>
    </row>
    <row r="539" ht="12.0" customHeight="1">
      <c r="C539" s="4"/>
      <c r="D539" s="4"/>
      <c r="E539" s="4"/>
      <c r="H539" s="4"/>
      <c r="I539" s="4"/>
      <c r="J539" s="4"/>
    </row>
    <row r="540" ht="12.0" customHeight="1">
      <c r="C540" s="4"/>
      <c r="D540" s="4"/>
      <c r="E540" s="4"/>
      <c r="H540" s="4"/>
      <c r="I540" s="4"/>
      <c r="J540" s="4"/>
    </row>
    <row r="541" ht="12.0" customHeight="1">
      <c r="C541" s="4"/>
      <c r="D541" s="4"/>
      <c r="E541" s="4"/>
      <c r="H541" s="4"/>
      <c r="I541" s="4"/>
      <c r="J541" s="4"/>
    </row>
    <row r="542" ht="12.0" customHeight="1">
      <c r="C542" s="4"/>
      <c r="D542" s="4"/>
      <c r="E542" s="4"/>
      <c r="H542" s="4"/>
      <c r="I542" s="4"/>
      <c r="J542" s="4"/>
    </row>
    <row r="543" ht="12.0" customHeight="1">
      <c r="C543" s="4"/>
      <c r="D543" s="4"/>
      <c r="E543" s="4"/>
      <c r="H543" s="4"/>
      <c r="I543" s="4"/>
      <c r="J543" s="4"/>
    </row>
    <row r="544" ht="12.0" customHeight="1">
      <c r="C544" s="4"/>
      <c r="D544" s="4"/>
      <c r="E544" s="4"/>
      <c r="H544" s="4"/>
      <c r="I544" s="4"/>
      <c r="J544" s="4"/>
    </row>
    <row r="545" ht="12.0" customHeight="1">
      <c r="C545" s="4"/>
      <c r="D545" s="4"/>
      <c r="E545" s="4"/>
      <c r="H545" s="4"/>
      <c r="I545" s="4"/>
      <c r="J545" s="4"/>
    </row>
    <row r="546" ht="12.0" customHeight="1">
      <c r="C546" s="4"/>
      <c r="D546" s="4"/>
      <c r="E546" s="4"/>
      <c r="H546" s="4"/>
      <c r="I546" s="4"/>
      <c r="J546" s="4"/>
    </row>
    <row r="547" ht="12.0" customHeight="1">
      <c r="C547" s="4"/>
      <c r="D547" s="4"/>
      <c r="E547" s="4"/>
      <c r="H547" s="4"/>
      <c r="I547" s="4"/>
      <c r="J547" s="4"/>
    </row>
    <row r="548" ht="12.0" customHeight="1">
      <c r="C548" s="4"/>
      <c r="D548" s="4"/>
      <c r="E548" s="4"/>
      <c r="H548" s="4"/>
      <c r="I548" s="4"/>
      <c r="J548" s="4"/>
    </row>
    <row r="549" ht="12.0" customHeight="1">
      <c r="C549" s="4"/>
      <c r="D549" s="4"/>
      <c r="E549" s="4"/>
      <c r="H549" s="4"/>
      <c r="I549" s="4"/>
      <c r="J549" s="4"/>
    </row>
    <row r="550" ht="12.0" customHeight="1">
      <c r="C550" s="4"/>
      <c r="D550" s="4"/>
      <c r="E550" s="4"/>
      <c r="H550" s="4"/>
      <c r="I550" s="4"/>
      <c r="J550" s="4"/>
    </row>
    <row r="551" ht="12.0" customHeight="1">
      <c r="C551" s="4"/>
      <c r="D551" s="4"/>
      <c r="E551" s="4"/>
      <c r="H551" s="4"/>
      <c r="I551" s="4"/>
      <c r="J551" s="4"/>
    </row>
    <row r="552" ht="12.0" customHeight="1">
      <c r="C552" s="4"/>
      <c r="D552" s="4"/>
      <c r="E552" s="4"/>
      <c r="H552" s="4"/>
      <c r="I552" s="4"/>
      <c r="J552" s="4"/>
    </row>
    <row r="553" ht="12.0" customHeight="1">
      <c r="C553" s="4"/>
      <c r="D553" s="4"/>
      <c r="E553" s="4"/>
      <c r="H553" s="4"/>
      <c r="I553" s="4"/>
      <c r="J553" s="4"/>
    </row>
    <row r="554" ht="12.0" customHeight="1">
      <c r="C554" s="4"/>
      <c r="D554" s="4"/>
      <c r="E554" s="4"/>
      <c r="H554" s="4"/>
      <c r="I554" s="4"/>
      <c r="J554" s="4"/>
    </row>
    <row r="555" ht="12.0" customHeight="1">
      <c r="C555" s="4"/>
      <c r="D555" s="4"/>
      <c r="E555" s="4"/>
      <c r="H555" s="4"/>
      <c r="I555" s="4"/>
      <c r="J555" s="4"/>
    </row>
    <row r="556" ht="12.0" customHeight="1">
      <c r="C556" s="4"/>
      <c r="D556" s="4"/>
      <c r="E556" s="4"/>
      <c r="H556" s="4"/>
      <c r="I556" s="4"/>
      <c r="J556" s="4"/>
    </row>
    <row r="557" ht="12.0" customHeight="1">
      <c r="C557" s="4"/>
      <c r="D557" s="4"/>
      <c r="E557" s="4"/>
      <c r="H557" s="4"/>
      <c r="I557" s="4"/>
      <c r="J557" s="4"/>
    </row>
    <row r="558" ht="12.0" customHeight="1">
      <c r="C558" s="4"/>
      <c r="D558" s="4"/>
      <c r="E558" s="4"/>
      <c r="H558" s="4"/>
      <c r="I558" s="4"/>
      <c r="J558" s="4"/>
    </row>
    <row r="559" ht="12.0" customHeight="1">
      <c r="C559" s="4"/>
      <c r="D559" s="4"/>
      <c r="E559" s="4"/>
      <c r="H559" s="4"/>
      <c r="I559" s="4"/>
      <c r="J559" s="4"/>
    </row>
    <row r="560" ht="12.0" customHeight="1">
      <c r="C560" s="4"/>
      <c r="D560" s="4"/>
      <c r="E560" s="4"/>
      <c r="H560" s="4"/>
      <c r="I560" s="4"/>
      <c r="J560" s="4"/>
    </row>
    <row r="561" ht="12.0" customHeight="1">
      <c r="C561" s="4"/>
      <c r="D561" s="4"/>
      <c r="E561" s="4"/>
      <c r="H561" s="4"/>
      <c r="I561" s="4"/>
      <c r="J561" s="4"/>
    </row>
    <row r="562" ht="12.0" customHeight="1">
      <c r="C562" s="4"/>
      <c r="D562" s="4"/>
      <c r="E562" s="4"/>
      <c r="H562" s="4"/>
      <c r="I562" s="4"/>
      <c r="J562" s="4"/>
    </row>
    <row r="563" ht="12.0" customHeight="1">
      <c r="C563" s="4"/>
      <c r="D563" s="4"/>
      <c r="E563" s="4"/>
      <c r="H563" s="4"/>
      <c r="I563" s="4"/>
      <c r="J563" s="4"/>
    </row>
    <row r="564" ht="12.0" customHeight="1">
      <c r="C564" s="4"/>
      <c r="D564" s="4"/>
      <c r="E564" s="4"/>
      <c r="H564" s="4"/>
      <c r="I564" s="4"/>
      <c r="J564" s="4"/>
    </row>
    <row r="565" ht="12.0" customHeight="1">
      <c r="C565" s="4"/>
      <c r="D565" s="4"/>
      <c r="E565" s="4"/>
      <c r="H565" s="4"/>
      <c r="I565" s="4"/>
      <c r="J565" s="4"/>
    </row>
    <row r="566" ht="12.0" customHeight="1">
      <c r="C566" s="4"/>
      <c r="D566" s="4"/>
      <c r="E566" s="4"/>
      <c r="H566" s="4"/>
      <c r="I566" s="4"/>
      <c r="J566" s="4"/>
    </row>
    <row r="567" ht="12.0" customHeight="1">
      <c r="C567" s="4"/>
      <c r="D567" s="4"/>
      <c r="E567" s="4"/>
      <c r="H567" s="4"/>
      <c r="I567" s="4"/>
      <c r="J567" s="4"/>
    </row>
    <row r="568" ht="12.0" customHeight="1">
      <c r="C568" s="4"/>
      <c r="D568" s="4"/>
      <c r="E568" s="4"/>
      <c r="H568" s="4"/>
      <c r="I568" s="4"/>
      <c r="J568" s="4"/>
    </row>
    <row r="569" ht="12.0" customHeight="1">
      <c r="C569" s="4"/>
      <c r="D569" s="4"/>
      <c r="E569" s="4"/>
      <c r="H569" s="4"/>
      <c r="I569" s="4"/>
      <c r="J569" s="4"/>
    </row>
    <row r="570" ht="12.0" customHeight="1">
      <c r="C570" s="4"/>
      <c r="D570" s="4"/>
      <c r="E570" s="4"/>
      <c r="H570" s="4"/>
      <c r="I570" s="4"/>
      <c r="J570" s="4"/>
    </row>
    <row r="571" ht="12.0" customHeight="1">
      <c r="C571" s="4"/>
      <c r="D571" s="4"/>
      <c r="E571" s="4"/>
      <c r="H571" s="4"/>
      <c r="I571" s="4"/>
      <c r="J571" s="4"/>
    </row>
    <row r="572" ht="12.0" customHeight="1">
      <c r="C572" s="4"/>
      <c r="D572" s="4"/>
      <c r="E572" s="4"/>
      <c r="H572" s="4"/>
      <c r="I572" s="4"/>
      <c r="J572" s="4"/>
    </row>
    <row r="573" ht="12.0" customHeight="1">
      <c r="C573" s="4"/>
      <c r="D573" s="4"/>
      <c r="E573" s="4"/>
      <c r="H573" s="4"/>
      <c r="I573" s="4"/>
      <c r="J573" s="4"/>
    </row>
    <row r="574" ht="12.0" customHeight="1">
      <c r="C574" s="4"/>
      <c r="D574" s="4"/>
      <c r="E574" s="4"/>
      <c r="H574" s="4"/>
      <c r="I574" s="4"/>
      <c r="J574" s="4"/>
    </row>
    <row r="575" ht="12.0" customHeight="1">
      <c r="C575" s="4"/>
      <c r="D575" s="4"/>
      <c r="E575" s="4"/>
      <c r="H575" s="4"/>
      <c r="I575" s="4"/>
      <c r="J575" s="4"/>
    </row>
    <row r="576" ht="12.0" customHeight="1">
      <c r="C576" s="4"/>
      <c r="D576" s="4"/>
      <c r="E576" s="4"/>
      <c r="H576" s="4"/>
      <c r="I576" s="4"/>
      <c r="J576" s="4"/>
    </row>
    <row r="577" ht="12.0" customHeight="1">
      <c r="C577" s="4"/>
      <c r="D577" s="4"/>
      <c r="E577" s="4"/>
      <c r="H577" s="4"/>
      <c r="I577" s="4"/>
      <c r="J577" s="4"/>
    </row>
    <row r="578" ht="12.0" customHeight="1">
      <c r="C578" s="4"/>
      <c r="D578" s="4"/>
      <c r="E578" s="4"/>
      <c r="H578" s="4"/>
      <c r="I578" s="4"/>
      <c r="J578" s="4"/>
    </row>
    <row r="579" ht="12.0" customHeight="1">
      <c r="C579" s="4"/>
      <c r="D579" s="4"/>
      <c r="E579" s="4"/>
      <c r="H579" s="4"/>
      <c r="I579" s="4"/>
      <c r="J579" s="4"/>
    </row>
    <row r="580" ht="12.0" customHeight="1">
      <c r="C580" s="4"/>
      <c r="D580" s="4"/>
      <c r="E580" s="4"/>
      <c r="H580" s="4"/>
      <c r="I580" s="4"/>
      <c r="J580" s="4"/>
    </row>
    <row r="581" ht="12.0" customHeight="1">
      <c r="C581" s="4"/>
      <c r="D581" s="4"/>
      <c r="E581" s="4"/>
      <c r="H581" s="4"/>
      <c r="I581" s="4"/>
      <c r="J581" s="4"/>
    </row>
    <row r="582" ht="12.0" customHeight="1">
      <c r="C582" s="4"/>
      <c r="D582" s="4"/>
      <c r="E582" s="4"/>
      <c r="H582" s="4"/>
      <c r="I582" s="4"/>
      <c r="J582" s="4"/>
    </row>
    <row r="583" ht="12.0" customHeight="1">
      <c r="C583" s="4"/>
      <c r="D583" s="4"/>
      <c r="E583" s="4"/>
      <c r="H583" s="4"/>
      <c r="I583" s="4"/>
      <c r="J583" s="4"/>
    </row>
    <row r="584" ht="12.0" customHeight="1">
      <c r="C584" s="4"/>
      <c r="D584" s="4"/>
      <c r="E584" s="4"/>
      <c r="H584" s="4"/>
      <c r="I584" s="4"/>
      <c r="J584" s="4"/>
    </row>
    <row r="585" ht="12.0" customHeight="1">
      <c r="C585" s="4"/>
      <c r="D585" s="4"/>
      <c r="E585" s="4"/>
      <c r="H585" s="4"/>
      <c r="I585" s="4"/>
      <c r="J585" s="4"/>
    </row>
    <row r="586" ht="12.0" customHeight="1">
      <c r="C586" s="4"/>
      <c r="D586" s="4"/>
      <c r="E586" s="4"/>
      <c r="H586" s="4"/>
      <c r="I586" s="4"/>
      <c r="J586" s="4"/>
    </row>
    <row r="587" ht="12.0" customHeight="1">
      <c r="C587" s="4"/>
      <c r="D587" s="4"/>
      <c r="E587" s="4"/>
      <c r="H587" s="4"/>
      <c r="I587" s="4"/>
      <c r="J587" s="4"/>
    </row>
    <row r="588" ht="12.0" customHeight="1">
      <c r="C588" s="4"/>
      <c r="D588" s="4"/>
      <c r="E588" s="4"/>
      <c r="H588" s="4"/>
      <c r="I588" s="4"/>
      <c r="J588" s="4"/>
    </row>
    <row r="589" ht="12.0" customHeight="1">
      <c r="C589" s="4"/>
      <c r="D589" s="4"/>
      <c r="E589" s="4"/>
      <c r="H589" s="4"/>
      <c r="I589" s="4"/>
      <c r="J589" s="4"/>
    </row>
    <row r="590" ht="12.0" customHeight="1">
      <c r="C590" s="4"/>
      <c r="D590" s="4"/>
      <c r="E590" s="4"/>
      <c r="H590" s="4"/>
      <c r="I590" s="4"/>
      <c r="J590" s="4"/>
    </row>
    <row r="591" ht="12.0" customHeight="1">
      <c r="C591" s="4"/>
      <c r="D591" s="4"/>
      <c r="E591" s="4"/>
      <c r="H591" s="4"/>
      <c r="I591" s="4"/>
      <c r="J591" s="4"/>
    </row>
    <row r="592" ht="12.0" customHeight="1">
      <c r="C592" s="4"/>
      <c r="D592" s="4"/>
      <c r="E592" s="4"/>
      <c r="H592" s="4"/>
      <c r="I592" s="4"/>
      <c r="J592" s="4"/>
    </row>
    <row r="593" ht="12.0" customHeight="1">
      <c r="C593" s="4"/>
      <c r="D593" s="4"/>
      <c r="E593" s="4"/>
      <c r="H593" s="4"/>
      <c r="I593" s="4"/>
      <c r="J593" s="4"/>
    </row>
    <row r="594" ht="12.0" customHeight="1">
      <c r="C594" s="4"/>
      <c r="D594" s="4"/>
      <c r="E594" s="4"/>
      <c r="H594" s="4"/>
      <c r="I594" s="4"/>
      <c r="J594" s="4"/>
    </row>
    <row r="595" ht="12.0" customHeight="1">
      <c r="C595" s="4"/>
      <c r="D595" s="4"/>
      <c r="E595" s="4"/>
      <c r="H595" s="4"/>
      <c r="I595" s="4"/>
      <c r="J595" s="4"/>
    </row>
    <row r="596" ht="12.0" customHeight="1">
      <c r="C596" s="4"/>
      <c r="D596" s="4"/>
      <c r="E596" s="4"/>
      <c r="H596" s="4"/>
      <c r="I596" s="4"/>
      <c r="J596" s="4"/>
    </row>
    <row r="597" ht="12.0" customHeight="1">
      <c r="C597" s="4"/>
      <c r="D597" s="4"/>
      <c r="E597" s="4"/>
      <c r="H597" s="4"/>
      <c r="I597" s="4"/>
      <c r="J597" s="4"/>
    </row>
    <row r="598" ht="12.0" customHeight="1">
      <c r="C598" s="4"/>
      <c r="D598" s="4"/>
      <c r="E598" s="4"/>
      <c r="H598" s="4"/>
      <c r="I598" s="4"/>
      <c r="J598" s="4"/>
    </row>
    <row r="599" ht="12.0" customHeight="1">
      <c r="C599" s="4"/>
      <c r="D599" s="4"/>
      <c r="E599" s="4"/>
      <c r="H599" s="4"/>
      <c r="I599" s="4"/>
      <c r="J599" s="4"/>
    </row>
    <row r="600" ht="12.0" customHeight="1">
      <c r="C600" s="4"/>
      <c r="D600" s="4"/>
      <c r="E600" s="4"/>
      <c r="H600" s="4"/>
      <c r="I600" s="4"/>
      <c r="J600" s="4"/>
    </row>
    <row r="601" ht="12.0" customHeight="1">
      <c r="C601" s="4"/>
      <c r="D601" s="4"/>
      <c r="E601" s="4"/>
      <c r="H601" s="4"/>
      <c r="I601" s="4"/>
      <c r="J601" s="4"/>
    </row>
    <row r="602" ht="12.0" customHeight="1">
      <c r="C602" s="4"/>
      <c r="D602" s="4"/>
      <c r="E602" s="4"/>
      <c r="H602" s="4"/>
      <c r="I602" s="4"/>
      <c r="J602" s="4"/>
    </row>
    <row r="603" ht="12.0" customHeight="1">
      <c r="C603" s="4"/>
      <c r="D603" s="4"/>
      <c r="E603" s="4"/>
      <c r="H603" s="4"/>
      <c r="I603" s="4"/>
      <c r="J603" s="4"/>
    </row>
    <row r="604" ht="12.0" customHeight="1">
      <c r="C604" s="4"/>
      <c r="D604" s="4"/>
      <c r="E604" s="4"/>
      <c r="H604" s="4"/>
      <c r="I604" s="4"/>
      <c r="J604" s="4"/>
    </row>
    <row r="605" ht="12.0" customHeight="1">
      <c r="C605" s="4"/>
      <c r="D605" s="4"/>
      <c r="E605" s="4"/>
      <c r="H605" s="4"/>
      <c r="I605" s="4"/>
      <c r="J605" s="4"/>
    </row>
    <row r="606" ht="12.0" customHeight="1">
      <c r="C606" s="4"/>
      <c r="D606" s="4"/>
      <c r="E606" s="4"/>
      <c r="H606" s="4"/>
      <c r="I606" s="4"/>
      <c r="J606" s="4"/>
    </row>
    <row r="607" ht="12.0" customHeight="1">
      <c r="C607" s="4"/>
      <c r="D607" s="4"/>
      <c r="E607" s="4"/>
      <c r="H607" s="4"/>
      <c r="I607" s="4"/>
      <c r="J607" s="4"/>
    </row>
    <row r="608" ht="12.0" customHeight="1">
      <c r="C608" s="4"/>
      <c r="D608" s="4"/>
      <c r="E608" s="4"/>
      <c r="H608" s="4"/>
      <c r="I608" s="4"/>
      <c r="J608" s="4"/>
    </row>
    <row r="609" ht="12.0" customHeight="1">
      <c r="C609" s="4"/>
      <c r="D609" s="4"/>
      <c r="E609" s="4"/>
      <c r="H609" s="4"/>
      <c r="I609" s="4"/>
      <c r="J609" s="4"/>
    </row>
    <row r="610" ht="12.0" customHeight="1">
      <c r="C610" s="4"/>
      <c r="D610" s="4"/>
      <c r="E610" s="4"/>
      <c r="H610" s="4"/>
      <c r="I610" s="4"/>
      <c r="J610" s="4"/>
    </row>
    <row r="611" ht="12.0" customHeight="1">
      <c r="C611" s="4"/>
      <c r="D611" s="4"/>
      <c r="E611" s="4"/>
      <c r="H611" s="4"/>
      <c r="I611" s="4"/>
      <c r="J611" s="4"/>
    </row>
    <row r="612" ht="12.0" customHeight="1">
      <c r="C612" s="4"/>
      <c r="D612" s="4"/>
      <c r="E612" s="4"/>
      <c r="H612" s="4"/>
      <c r="I612" s="4"/>
      <c r="J612" s="4"/>
    </row>
    <row r="613" ht="12.0" customHeight="1">
      <c r="C613" s="4"/>
      <c r="D613" s="4"/>
      <c r="E613" s="4"/>
      <c r="H613" s="4"/>
      <c r="I613" s="4"/>
      <c r="J613" s="4"/>
    </row>
    <row r="614" ht="12.0" customHeight="1">
      <c r="C614" s="4"/>
      <c r="D614" s="4"/>
      <c r="E614" s="4"/>
      <c r="H614" s="4"/>
      <c r="I614" s="4"/>
      <c r="J614" s="4"/>
    </row>
    <row r="615" ht="12.0" customHeight="1">
      <c r="C615" s="4"/>
      <c r="D615" s="4"/>
      <c r="E615" s="4"/>
      <c r="H615" s="4"/>
      <c r="I615" s="4"/>
      <c r="J615" s="4"/>
    </row>
    <row r="616" ht="12.0" customHeight="1">
      <c r="C616" s="4"/>
      <c r="D616" s="4"/>
      <c r="E616" s="4"/>
      <c r="H616" s="4"/>
      <c r="I616" s="4"/>
      <c r="J616" s="4"/>
    </row>
    <row r="617" ht="12.0" customHeight="1">
      <c r="C617" s="4"/>
      <c r="D617" s="4"/>
      <c r="E617" s="4"/>
      <c r="H617" s="4"/>
      <c r="I617" s="4"/>
      <c r="J617" s="4"/>
    </row>
    <row r="618" ht="12.0" customHeight="1">
      <c r="C618" s="4"/>
      <c r="D618" s="4"/>
      <c r="E618" s="4"/>
      <c r="H618" s="4"/>
      <c r="I618" s="4"/>
      <c r="J618" s="4"/>
    </row>
    <row r="619" ht="12.0" customHeight="1">
      <c r="C619" s="4"/>
      <c r="D619" s="4"/>
      <c r="E619" s="4"/>
      <c r="H619" s="4"/>
      <c r="I619" s="4"/>
      <c r="J619" s="4"/>
    </row>
    <row r="620" ht="12.0" customHeight="1">
      <c r="C620" s="4"/>
      <c r="D620" s="4"/>
      <c r="E620" s="4"/>
      <c r="H620" s="4"/>
      <c r="I620" s="4"/>
      <c r="J620" s="4"/>
    </row>
    <row r="621" ht="12.0" customHeight="1">
      <c r="C621" s="4"/>
      <c r="D621" s="4"/>
      <c r="E621" s="4"/>
      <c r="H621" s="4"/>
      <c r="I621" s="4"/>
      <c r="J621" s="4"/>
    </row>
    <row r="622" ht="12.0" customHeight="1">
      <c r="C622" s="4"/>
      <c r="D622" s="4"/>
      <c r="E622" s="4"/>
      <c r="H622" s="4"/>
      <c r="I622" s="4"/>
      <c r="J622" s="4"/>
    </row>
    <row r="623" ht="12.0" customHeight="1">
      <c r="C623" s="4"/>
      <c r="D623" s="4"/>
      <c r="E623" s="4"/>
      <c r="H623" s="4"/>
      <c r="I623" s="4"/>
      <c r="J623" s="4"/>
    </row>
    <row r="624" ht="12.0" customHeight="1">
      <c r="C624" s="4"/>
      <c r="D624" s="4"/>
      <c r="E624" s="4"/>
      <c r="H624" s="4"/>
      <c r="I624" s="4"/>
      <c r="J624" s="4"/>
    </row>
    <row r="625" ht="12.0" customHeight="1">
      <c r="C625" s="4"/>
      <c r="D625" s="4"/>
      <c r="E625" s="4"/>
      <c r="H625" s="4"/>
      <c r="I625" s="4"/>
      <c r="J625" s="4"/>
    </row>
    <row r="626" ht="12.0" customHeight="1">
      <c r="C626" s="4"/>
      <c r="D626" s="4"/>
      <c r="E626" s="4"/>
      <c r="H626" s="4"/>
      <c r="I626" s="4"/>
      <c r="J626" s="4"/>
    </row>
    <row r="627" ht="12.0" customHeight="1">
      <c r="C627" s="4"/>
      <c r="D627" s="4"/>
      <c r="E627" s="4"/>
      <c r="H627" s="4"/>
      <c r="I627" s="4"/>
      <c r="J627" s="4"/>
    </row>
    <row r="628" ht="12.0" customHeight="1">
      <c r="C628" s="4"/>
      <c r="D628" s="4"/>
      <c r="E628" s="4"/>
      <c r="H628" s="4"/>
      <c r="I628" s="4"/>
      <c r="J628" s="4"/>
    </row>
    <row r="629" ht="12.0" customHeight="1">
      <c r="C629" s="4"/>
      <c r="D629" s="4"/>
      <c r="E629" s="4"/>
      <c r="H629" s="4"/>
      <c r="I629" s="4"/>
      <c r="J629" s="4"/>
    </row>
    <row r="630" ht="12.0" customHeight="1">
      <c r="C630" s="4"/>
      <c r="D630" s="4"/>
      <c r="E630" s="4"/>
      <c r="H630" s="4"/>
      <c r="I630" s="4"/>
      <c r="J630" s="4"/>
    </row>
    <row r="631" ht="12.0" customHeight="1">
      <c r="C631" s="4"/>
      <c r="D631" s="4"/>
      <c r="E631" s="4"/>
      <c r="H631" s="4"/>
      <c r="I631" s="4"/>
      <c r="J631" s="4"/>
    </row>
    <row r="632" ht="12.0" customHeight="1">
      <c r="C632" s="4"/>
      <c r="D632" s="4"/>
      <c r="E632" s="4"/>
      <c r="H632" s="4"/>
      <c r="I632" s="4"/>
      <c r="J632" s="4"/>
    </row>
    <row r="633" ht="12.0" customHeight="1">
      <c r="C633" s="4"/>
      <c r="D633" s="4"/>
      <c r="E633" s="4"/>
      <c r="H633" s="4"/>
      <c r="I633" s="4"/>
      <c r="J633" s="4"/>
    </row>
    <row r="634" ht="12.0" customHeight="1">
      <c r="C634" s="4"/>
      <c r="D634" s="4"/>
      <c r="E634" s="4"/>
      <c r="H634" s="4"/>
      <c r="I634" s="4"/>
      <c r="J634" s="4"/>
    </row>
    <row r="635" ht="12.0" customHeight="1">
      <c r="C635" s="4"/>
      <c r="D635" s="4"/>
      <c r="E635" s="4"/>
      <c r="H635" s="4"/>
      <c r="I635" s="4"/>
      <c r="J635" s="4"/>
    </row>
    <row r="636" ht="12.0" customHeight="1">
      <c r="C636" s="4"/>
      <c r="D636" s="4"/>
      <c r="E636" s="4"/>
      <c r="H636" s="4"/>
      <c r="I636" s="4"/>
      <c r="J636" s="4"/>
    </row>
    <row r="637" ht="12.0" customHeight="1">
      <c r="C637" s="4"/>
      <c r="D637" s="4"/>
      <c r="E637" s="4"/>
      <c r="H637" s="4"/>
      <c r="I637" s="4"/>
      <c r="J637" s="4"/>
    </row>
    <row r="638" ht="12.0" customHeight="1">
      <c r="C638" s="4"/>
      <c r="D638" s="4"/>
      <c r="E638" s="4"/>
      <c r="H638" s="4"/>
      <c r="I638" s="4"/>
      <c r="J638" s="4"/>
    </row>
    <row r="639" ht="12.0" customHeight="1">
      <c r="C639" s="4"/>
      <c r="D639" s="4"/>
      <c r="E639" s="4"/>
      <c r="H639" s="4"/>
      <c r="I639" s="4"/>
      <c r="J639" s="4"/>
    </row>
    <row r="640" ht="12.0" customHeight="1">
      <c r="C640" s="4"/>
      <c r="D640" s="4"/>
      <c r="E640" s="4"/>
      <c r="H640" s="4"/>
      <c r="I640" s="4"/>
      <c r="J640" s="4"/>
    </row>
    <row r="641" ht="12.0" customHeight="1">
      <c r="C641" s="4"/>
      <c r="D641" s="4"/>
      <c r="E641" s="4"/>
      <c r="H641" s="4"/>
      <c r="I641" s="4"/>
      <c r="J641" s="4"/>
    </row>
    <row r="642" ht="12.0" customHeight="1">
      <c r="C642" s="4"/>
      <c r="D642" s="4"/>
      <c r="E642" s="4"/>
      <c r="H642" s="4"/>
      <c r="I642" s="4"/>
      <c r="J642" s="4"/>
    </row>
    <row r="643" ht="12.0" customHeight="1">
      <c r="C643" s="4"/>
      <c r="D643" s="4"/>
      <c r="E643" s="4"/>
      <c r="H643" s="4"/>
      <c r="I643" s="4"/>
      <c r="J643" s="4"/>
    </row>
    <row r="644" ht="12.0" customHeight="1">
      <c r="C644" s="4"/>
      <c r="D644" s="4"/>
      <c r="E644" s="4"/>
      <c r="H644" s="4"/>
      <c r="I644" s="4"/>
      <c r="J644" s="4"/>
    </row>
    <row r="645" ht="12.0" customHeight="1">
      <c r="C645" s="4"/>
      <c r="D645" s="4"/>
      <c r="E645" s="4"/>
      <c r="H645" s="4"/>
      <c r="I645" s="4"/>
      <c r="J645" s="4"/>
    </row>
    <row r="646" ht="12.0" customHeight="1">
      <c r="C646" s="4"/>
      <c r="D646" s="4"/>
      <c r="E646" s="4"/>
      <c r="H646" s="4"/>
      <c r="I646" s="4"/>
      <c r="J646" s="4"/>
    </row>
    <row r="647" ht="12.0" customHeight="1">
      <c r="C647" s="4"/>
      <c r="D647" s="4"/>
      <c r="E647" s="4"/>
      <c r="H647" s="4"/>
      <c r="I647" s="4"/>
      <c r="J647" s="4"/>
    </row>
    <row r="648" ht="12.0" customHeight="1">
      <c r="C648" s="4"/>
      <c r="D648" s="4"/>
      <c r="E648" s="4"/>
      <c r="H648" s="4"/>
      <c r="I648" s="4"/>
      <c r="J648" s="4"/>
    </row>
    <row r="649" ht="12.0" customHeight="1">
      <c r="C649" s="4"/>
      <c r="D649" s="4"/>
      <c r="E649" s="4"/>
      <c r="H649" s="4"/>
      <c r="I649" s="4"/>
      <c r="J649" s="4"/>
    </row>
    <row r="650" ht="12.0" customHeight="1">
      <c r="C650" s="4"/>
      <c r="D650" s="4"/>
      <c r="E650" s="4"/>
      <c r="H650" s="4"/>
      <c r="I650" s="4"/>
      <c r="J650" s="4"/>
    </row>
    <row r="651" ht="12.0" customHeight="1">
      <c r="C651" s="4"/>
      <c r="D651" s="4"/>
      <c r="E651" s="4"/>
      <c r="H651" s="4"/>
      <c r="I651" s="4"/>
      <c r="J651" s="4"/>
    </row>
    <row r="652" ht="12.0" customHeight="1">
      <c r="C652" s="4"/>
      <c r="D652" s="4"/>
      <c r="E652" s="4"/>
      <c r="H652" s="4"/>
      <c r="I652" s="4"/>
      <c r="J652" s="4"/>
    </row>
    <row r="653" ht="12.0" customHeight="1">
      <c r="C653" s="4"/>
      <c r="D653" s="4"/>
      <c r="E653" s="4"/>
      <c r="H653" s="4"/>
      <c r="I653" s="4"/>
      <c r="J653" s="4"/>
    </row>
    <row r="654" ht="12.0" customHeight="1">
      <c r="C654" s="4"/>
      <c r="D654" s="4"/>
      <c r="E654" s="4"/>
      <c r="H654" s="4"/>
      <c r="I654" s="4"/>
      <c r="J654" s="4"/>
    </row>
    <row r="655" ht="12.0" customHeight="1">
      <c r="C655" s="4"/>
      <c r="D655" s="4"/>
      <c r="E655" s="4"/>
      <c r="H655" s="4"/>
      <c r="I655" s="4"/>
      <c r="J655" s="4"/>
    </row>
    <row r="656" ht="12.0" customHeight="1">
      <c r="C656" s="4"/>
      <c r="D656" s="4"/>
      <c r="E656" s="4"/>
      <c r="H656" s="4"/>
      <c r="I656" s="4"/>
      <c r="J656" s="4"/>
    </row>
    <row r="657" ht="12.0" customHeight="1">
      <c r="C657" s="4"/>
      <c r="D657" s="4"/>
      <c r="E657" s="4"/>
      <c r="H657" s="4"/>
      <c r="I657" s="4"/>
      <c r="J657" s="4"/>
    </row>
    <row r="658" ht="12.0" customHeight="1">
      <c r="C658" s="4"/>
      <c r="D658" s="4"/>
      <c r="E658" s="4"/>
      <c r="H658" s="4"/>
      <c r="I658" s="4"/>
      <c r="J658" s="4"/>
    </row>
    <row r="659" ht="12.0" customHeight="1">
      <c r="C659" s="4"/>
      <c r="D659" s="4"/>
      <c r="E659" s="4"/>
      <c r="H659" s="4"/>
      <c r="I659" s="4"/>
      <c r="J659" s="4"/>
    </row>
    <row r="660" ht="12.0" customHeight="1">
      <c r="C660" s="4"/>
      <c r="D660" s="4"/>
      <c r="E660" s="4"/>
      <c r="H660" s="4"/>
      <c r="I660" s="4"/>
      <c r="J660" s="4"/>
    </row>
    <row r="661" ht="12.0" customHeight="1">
      <c r="C661" s="4"/>
      <c r="D661" s="4"/>
      <c r="E661" s="4"/>
      <c r="H661" s="4"/>
      <c r="I661" s="4"/>
      <c r="J661" s="4"/>
    </row>
    <row r="662" ht="12.0" customHeight="1">
      <c r="C662" s="4"/>
      <c r="D662" s="4"/>
      <c r="E662" s="4"/>
      <c r="H662" s="4"/>
      <c r="I662" s="4"/>
      <c r="J662" s="4"/>
    </row>
    <row r="663" ht="12.0" customHeight="1">
      <c r="C663" s="4"/>
      <c r="D663" s="4"/>
      <c r="E663" s="4"/>
      <c r="H663" s="4"/>
      <c r="I663" s="4"/>
      <c r="J663" s="4"/>
    </row>
    <row r="664" ht="12.0" customHeight="1">
      <c r="C664" s="4"/>
      <c r="D664" s="4"/>
      <c r="E664" s="4"/>
      <c r="H664" s="4"/>
      <c r="I664" s="4"/>
      <c r="J664" s="4"/>
    </row>
    <row r="665" ht="12.0" customHeight="1">
      <c r="C665" s="4"/>
      <c r="D665" s="4"/>
      <c r="E665" s="4"/>
      <c r="H665" s="4"/>
      <c r="I665" s="4"/>
      <c r="J665" s="4"/>
    </row>
    <row r="666" ht="12.0" customHeight="1">
      <c r="C666" s="4"/>
      <c r="D666" s="4"/>
      <c r="E666" s="4"/>
      <c r="H666" s="4"/>
      <c r="I666" s="4"/>
      <c r="J666" s="4"/>
    </row>
    <row r="667" ht="12.0" customHeight="1">
      <c r="C667" s="4"/>
      <c r="D667" s="4"/>
      <c r="E667" s="4"/>
      <c r="H667" s="4"/>
      <c r="I667" s="4"/>
      <c r="J667" s="4"/>
    </row>
    <row r="668" ht="12.0" customHeight="1">
      <c r="C668" s="4"/>
      <c r="D668" s="4"/>
      <c r="E668" s="4"/>
      <c r="H668" s="4"/>
      <c r="I668" s="4"/>
      <c r="J668" s="4"/>
    </row>
    <row r="669" ht="12.0" customHeight="1">
      <c r="C669" s="4"/>
      <c r="D669" s="4"/>
      <c r="E669" s="4"/>
      <c r="H669" s="4"/>
      <c r="I669" s="4"/>
      <c r="J669" s="4"/>
    </row>
    <row r="670" ht="12.0" customHeight="1">
      <c r="C670" s="4"/>
      <c r="D670" s="4"/>
      <c r="E670" s="4"/>
      <c r="H670" s="4"/>
      <c r="I670" s="4"/>
      <c r="J670" s="4"/>
    </row>
    <row r="671" ht="12.0" customHeight="1">
      <c r="C671" s="4"/>
      <c r="D671" s="4"/>
      <c r="E671" s="4"/>
      <c r="H671" s="4"/>
      <c r="I671" s="4"/>
      <c r="J671" s="4"/>
    </row>
    <row r="672" ht="12.0" customHeight="1">
      <c r="C672" s="4"/>
      <c r="D672" s="4"/>
      <c r="E672" s="4"/>
      <c r="H672" s="4"/>
      <c r="I672" s="4"/>
      <c r="J672" s="4"/>
    </row>
    <row r="673" ht="12.0" customHeight="1">
      <c r="C673" s="4"/>
      <c r="D673" s="4"/>
      <c r="E673" s="4"/>
      <c r="H673" s="4"/>
      <c r="I673" s="4"/>
      <c r="J673" s="4"/>
    </row>
    <row r="674" ht="12.0" customHeight="1">
      <c r="C674" s="4"/>
      <c r="D674" s="4"/>
      <c r="E674" s="4"/>
      <c r="H674" s="4"/>
      <c r="I674" s="4"/>
      <c r="J674" s="4"/>
    </row>
    <row r="675" ht="12.0" customHeight="1">
      <c r="C675" s="4"/>
      <c r="D675" s="4"/>
      <c r="E675" s="4"/>
      <c r="H675" s="4"/>
      <c r="I675" s="4"/>
      <c r="J675" s="4"/>
    </row>
    <row r="676" ht="12.0" customHeight="1">
      <c r="C676" s="4"/>
      <c r="D676" s="4"/>
      <c r="E676" s="4"/>
      <c r="H676" s="4"/>
      <c r="I676" s="4"/>
      <c r="J676" s="4"/>
    </row>
    <row r="677" ht="12.0" customHeight="1">
      <c r="C677" s="4"/>
      <c r="D677" s="4"/>
      <c r="E677" s="4"/>
      <c r="H677" s="4"/>
      <c r="I677" s="4"/>
      <c r="J677" s="4"/>
    </row>
    <row r="678" ht="12.0" customHeight="1">
      <c r="C678" s="4"/>
      <c r="D678" s="4"/>
      <c r="E678" s="4"/>
      <c r="H678" s="4"/>
      <c r="I678" s="4"/>
      <c r="J678" s="4"/>
    </row>
    <row r="679" ht="12.0" customHeight="1">
      <c r="C679" s="4"/>
      <c r="D679" s="4"/>
      <c r="E679" s="4"/>
      <c r="H679" s="4"/>
      <c r="I679" s="4"/>
      <c r="J679" s="4"/>
    </row>
    <row r="680" ht="12.0" customHeight="1">
      <c r="C680" s="4"/>
      <c r="D680" s="4"/>
      <c r="E680" s="4"/>
      <c r="H680" s="4"/>
      <c r="I680" s="4"/>
      <c r="J680" s="4"/>
    </row>
    <row r="681" ht="12.0" customHeight="1">
      <c r="C681" s="4"/>
      <c r="D681" s="4"/>
      <c r="E681" s="4"/>
      <c r="H681" s="4"/>
      <c r="I681" s="4"/>
      <c r="J681" s="4"/>
    </row>
    <row r="682" ht="12.0" customHeight="1">
      <c r="C682" s="4"/>
      <c r="D682" s="4"/>
      <c r="E682" s="4"/>
      <c r="H682" s="4"/>
      <c r="I682" s="4"/>
      <c r="J682" s="4"/>
    </row>
    <row r="683" ht="12.0" customHeight="1">
      <c r="C683" s="4"/>
      <c r="D683" s="4"/>
      <c r="E683" s="4"/>
      <c r="H683" s="4"/>
      <c r="I683" s="4"/>
      <c r="J683" s="4"/>
    </row>
    <row r="684" ht="12.0" customHeight="1">
      <c r="C684" s="4"/>
      <c r="D684" s="4"/>
      <c r="E684" s="4"/>
      <c r="H684" s="4"/>
      <c r="I684" s="4"/>
      <c r="J684" s="4"/>
    </row>
    <row r="685" ht="12.0" customHeight="1">
      <c r="C685" s="4"/>
      <c r="D685" s="4"/>
      <c r="E685" s="4"/>
      <c r="H685" s="4"/>
      <c r="I685" s="4"/>
      <c r="J685" s="4"/>
    </row>
    <row r="686" ht="12.0" customHeight="1">
      <c r="C686" s="4"/>
      <c r="D686" s="4"/>
      <c r="E686" s="4"/>
      <c r="H686" s="4"/>
      <c r="I686" s="4"/>
      <c r="J686" s="4"/>
    </row>
    <row r="687" ht="12.0" customHeight="1">
      <c r="C687" s="4"/>
      <c r="D687" s="4"/>
      <c r="E687" s="4"/>
      <c r="H687" s="4"/>
      <c r="I687" s="4"/>
      <c r="J687" s="4"/>
    </row>
    <row r="688" ht="12.0" customHeight="1">
      <c r="C688" s="4"/>
      <c r="D688" s="4"/>
      <c r="E688" s="4"/>
      <c r="H688" s="4"/>
      <c r="I688" s="4"/>
      <c r="J688" s="4"/>
    </row>
    <row r="689" ht="12.0" customHeight="1">
      <c r="C689" s="4"/>
      <c r="D689" s="4"/>
      <c r="E689" s="4"/>
      <c r="H689" s="4"/>
      <c r="I689" s="4"/>
      <c r="J689" s="4"/>
    </row>
    <row r="690" ht="12.0" customHeight="1">
      <c r="C690" s="4"/>
      <c r="D690" s="4"/>
      <c r="E690" s="4"/>
      <c r="H690" s="4"/>
      <c r="I690" s="4"/>
      <c r="J690" s="4"/>
    </row>
    <row r="691" ht="12.0" customHeight="1">
      <c r="C691" s="4"/>
      <c r="D691" s="4"/>
      <c r="E691" s="4"/>
      <c r="H691" s="4"/>
      <c r="I691" s="4"/>
      <c r="J691" s="4"/>
    </row>
    <row r="692" ht="12.0" customHeight="1">
      <c r="C692" s="4"/>
      <c r="D692" s="4"/>
      <c r="E692" s="4"/>
      <c r="H692" s="4"/>
      <c r="I692" s="4"/>
      <c r="J692" s="4"/>
    </row>
    <row r="693" ht="12.0" customHeight="1">
      <c r="C693" s="4"/>
      <c r="D693" s="4"/>
      <c r="E693" s="4"/>
      <c r="H693" s="4"/>
      <c r="I693" s="4"/>
      <c r="J693" s="4"/>
    </row>
    <row r="694" ht="12.0" customHeight="1">
      <c r="C694" s="4"/>
      <c r="D694" s="4"/>
      <c r="E694" s="4"/>
      <c r="H694" s="4"/>
      <c r="I694" s="4"/>
      <c r="J694" s="4"/>
    </row>
    <row r="695" ht="12.0" customHeight="1">
      <c r="C695" s="4"/>
      <c r="D695" s="4"/>
      <c r="E695" s="4"/>
      <c r="H695" s="4"/>
      <c r="I695" s="4"/>
      <c r="J695" s="4"/>
    </row>
    <row r="696" ht="12.0" customHeight="1">
      <c r="C696" s="4"/>
      <c r="D696" s="4"/>
      <c r="E696" s="4"/>
      <c r="H696" s="4"/>
      <c r="I696" s="4"/>
      <c r="J696" s="4"/>
    </row>
    <row r="697" ht="12.0" customHeight="1">
      <c r="C697" s="4"/>
      <c r="D697" s="4"/>
      <c r="E697" s="4"/>
      <c r="H697" s="4"/>
      <c r="I697" s="4"/>
      <c r="J697" s="4"/>
    </row>
    <row r="698" ht="12.0" customHeight="1">
      <c r="C698" s="4"/>
      <c r="D698" s="4"/>
      <c r="E698" s="4"/>
      <c r="H698" s="4"/>
      <c r="I698" s="4"/>
      <c r="J698" s="4"/>
    </row>
    <row r="699" ht="12.0" customHeight="1">
      <c r="C699" s="4"/>
      <c r="D699" s="4"/>
      <c r="E699" s="4"/>
      <c r="H699" s="4"/>
      <c r="I699" s="4"/>
      <c r="J699" s="4"/>
    </row>
    <row r="700" ht="12.0" customHeight="1">
      <c r="C700" s="4"/>
      <c r="D700" s="4"/>
      <c r="E700" s="4"/>
      <c r="H700" s="4"/>
      <c r="I700" s="4"/>
      <c r="J700" s="4"/>
    </row>
    <row r="701" ht="12.0" customHeight="1">
      <c r="C701" s="4"/>
      <c r="D701" s="4"/>
      <c r="E701" s="4"/>
      <c r="H701" s="4"/>
      <c r="I701" s="4"/>
      <c r="J701" s="4"/>
    </row>
    <row r="702" ht="12.0" customHeight="1">
      <c r="C702" s="4"/>
      <c r="D702" s="4"/>
      <c r="E702" s="4"/>
      <c r="H702" s="4"/>
      <c r="I702" s="4"/>
      <c r="J702" s="4"/>
    </row>
    <row r="703" ht="12.0" customHeight="1">
      <c r="C703" s="4"/>
      <c r="D703" s="4"/>
      <c r="E703" s="4"/>
      <c r="H703" s="4"/>
      <c r="I703" s="4"/>
      <c r="J703" s="4"/>
    </row>
    <row r="704" ht="12.0" customHeight="1">
      <c r="C704" s="4"/>
      <c r="D704" s="4"/>
      <c r="E704" s="4"/>
      <c r="H704" s="4"/>
      <c r="I704" s="4"/>
      <c r="J704" s="4"/>
    </row>
    <row r="705" ht="12.0" customHeight="1">
      <c r="C705" s="4"/>
      <c r="D705" s="4"/>
      <c r="E705" s="4"/>
      <c r="H705" s="4"/>
      <c r="I705" s="4"/>
      <c r="J705" s="4"/>
    </row>
    <row r="706" ht="12.0" customHeight="1">
      <c r="C706" s="4"/>
      <c r="D706" s="4"/>
      <c r="E706" s="4"/>
      <c r="H706" s="4"/>
      <c r="I706" s="4"/>
      <c r="J706" s="4"/>
    </row>
    <row r="707" ht="12.0" customHeight="1">
      <c r="C707" s="4"/>
      <c r="D707" s="4"/>
      <c r="E707" s="4"/>
      <c r="H707" s="4"/>
      <c r="I707" s="4"/>
      <c r="J707" s="4"/>
    </row>
    <row r="708" ht="12.0" customHeight="1">
      <c r="C708" s="4"/>
      <c r="D708" s="4"/>
      <c r="E708" s="4"/>
      <c r="H708" s="4"/>
      <c r="I708" s="4"/>
      <c r="J708" s="4"/>
    </row>
    <row r="709" ht="12.0" customHeight="1">
      <c r="C709" s="4"/>
      <c r="D709" s="4"/>
      <c r="E709" s="4"/>
      <c r="H709" s="4"/>
      <c r="I709" s="4"/>
      <c r="J709" s="4"/>
    </row>
    <row r="710" ht="12.0" customHeight="1">
      <c r="C710" s="4"/>
      <c r="D710" s="4"/>
      <c r="E710" s="4"/>
      <c r="H710" s="4"/>
      <c r="I710" s="4"/>
      <c r="J710" s="4"/>
    </row>
    <row r="711" ht="12.0" customHeight="1">
      <c r="C711" s="4"/>
      <c r="D711" s="4"/>
      <c r="E711" s="4"/>
      <c r="H711" s="4"/>
      <c r="I711" s="4"/>
      <c r="J711" s="4"/>
    </row>
    <row r="712" ht="12.0" customHeight="1">
      <c r="C712" s="4"/>
      <c r="D712" s="4"/>
      <c r="E712" s="4"/>
      <c r="H712" s="4"/>
      <c r="I712" s="4"/>
      <c r="J712" s="4"/>
    </row>
    <row r="713" ht="12.0" customHeight="1">
      <c r="C713" s="4"/>
      <c r="D713" s="4"/>
      <c r="E713" s="4"/>
      <c r="H713" s="4"/>
      <c r="I713" s="4"/>
      <c r="J713" s="4"/>
    </row>
    <row r="714" ht="12.0" customHeight="1">
      <c r="C714" s="4"/>
      <c r="D714" s="4"/>
      <c r="E714" s="4"/>
      <c r="H714" s="4"/>
      <c r="I714" s="4"/>
      <c r="J714" s="4"/>
    </row>
    <row r="715" ht="12.0" customHeight="1">
      <c r="C715" s="4"/>
      <c r="D715" s="4"/>
      <c r="E715" s="4"/>
      <c r="H715" s="4"/>
      <c r="I715" s="4"/>
      <c r="J715" s="4"/>
    </row>
    <row r="716" ht="12.0" customHeight="1">
      <c r="C716" s="4"/>
      <c r="D716" s="4"/>
      <c r="E716" s="4"/>
      <c r="H716" s="4"/>
      <c r="I716" s="4"/>
      <c r="J716" s="4"/>
    </row>
    <row r="717" ht="12.0" customHeight="1">
      <c r="C717" s="4"/>
      <c r="D717" s="4"/>
      <c r="E717" s="4"/>
      <c r="H717" s="4"/>
      <c r="I717" s="4"/>
      <c r="J717" s="4"/>
    </row>
    <row r="718" ht="12.0" customHeight="1">
      <c r="C718" s="4"/>
      <c r="D718" s="4"/>
      <c r="E718" s="4"/>
      <c r="H718" s="4"/>
      <c r="I718" s="4"/>
      <c r="J718" s="4"/>
    </row>
    <row r="719" ht="12.0" customHeight="1">
      <c r="C719" s="4"/>
      <c r="D719" s="4"/>
      <c r="E719" s="4"/>
      <c r="H719" s="4"/>
      <c r="I719" s="4"/>
      <c r="J719" s="4"/>
    </row>
    <row r="720" ht="12.0" customHeight="1">
      <c r="C720" s="4"/>
      <c r="D720" s="4"/>
      <c r="E720" s="4"/>
      <c r="H720" s="4"/>
      <c r="I720" s="4"/>
      <c r="J720" s="4"/>
    </row>
    <row r="721" ht="12.0" customHeight="1">
      <c r="C721" s="4"/>
      <c r="D721" s="4"/>
      <c r="E721" s="4"/>
      <c r="H721" s="4"/>
      <c r="I721" s="4"/>
      <c r="J721" s="4"/>
    </row>
    <row r="722" ht="12.0" customHeight="1">
      <c r="C722" s="4"/>
      <c r="D722" s="4"/>
      <c r="E722" s="4"/>
      <c r="H722" s="4"/>
      <c r="I722" s="4"/>
      <c r="J722" s="4"/>
    </row>
    <row r="723" ht="12.0" customHeight="1">
      <c r="C723" s="4"/>
      <c r="D723" s="4"/>
      <c r="E723" s="4"/>
      <c r="H723" s="4"/>
      <c r="I723" s="4"/>
      <c r="J723" s="4"/>
    </row>
    <row r="724" ht="12.0" customHeight="1">
      <c r="C724" s="4"/>
      <c r="D724" s="4"/>
      <c r="E724" s="4"/>
      <c r="H724" s="4"/>
      <c r="I724" s="4"/>
      <c r="J724" s="4"/>
    </row>
    <row r="725" ht="12.0" customHeight="1">
      <c r="C725" s="4"/>
      <c r="D725" s="4"/>
      <c r="E725" s="4"/>
      <c r="H725" s="4"/>
      <c r="I725" s="4"/>
      <c r="J725" s="4"/>
    </row>
    <row r="726" ht="12.0" customHeight="1">
      <c r="C726" s="4"/>
      <c r="D726" s="4"/>
      <c r="E726" s="4"/>
      <c r="H726" s="4"/>
      <c r="I726" s="4"/>
      <c r="J726" s="4"/>
    </row>
    <row r="727" ht="12.0" customHeight="1">
      <c r="C727" s="4"/>
      <c r="D727" s="4"/>
      <c r="E727" s="4"/>
      <c r="H727" s="4"/>
      <c r="I727" s="4"/>
      <c r="J727" s="4"/>
    </row>
    <row r="728" ht="12.0" customHeight="1">
      <c r="C728" s="4"/>
      <c r="D728" s="4"/>
      <c r="E728" s="4"/>
      <c r="H728" s="4"/>
      <c r="I728" s="4"/>
      <c r="J728" s="4"/>
    </row>
    <row r="729" ht="12.0" customHeight="1">
      <c r="C729" s="4"/>
      <c r="D729" s="4"/>
      <c r="E729" s="4"/>
      <c r="H729" s="4"/>
      <c r="I729" s="4"/>
      <c r="J729" s="4"/>
    </row>
    <row r="730" ht="12.0" customHeight="1">
      <c r="C730" s="4"/>
      <c r="D730" s="4"/>
      <c r="E730" s="4"/>
      <c r="H730" s="4"/>
      <c r="I730" s="4"/>
      <c r="J730" s="4"/>
    </row>
    <row r="731" ht="12.0" customHeight="1">
      <c r="C731" s="4"/>
      <c r="D731" s="4"/>
      <c r="E731" s="4"/>
      <c r="H731" s="4"/>
      <c r="I731" s="4"/>
      <c r="J731" s="4"/>
    </row>
    <row r="732" ht="12.0" customHeight="1">
      <c r="C732" s="4"/>
      <c r="D732" s="4"/>
      <c r="E732" s="4"/>
      <c r="H732" s="4"/>
      <c r="I732" s="4"/>
      <c r="J732" s="4"/>
    </row>
    <row r="733" ht="12.0" customHeight="1">
      <c r="C733" s="4"/>
      <c r="D733" s="4"/>
      <c r="E733" s="4"/>
      <c r="H733" s="4"/>
      <c r="I733" s="4"/>
      <c r="J733" s="4"/>
    </row>
    <row r="734" ht="12.0" customHeight="1">
      <c r="C734" s="4"/>
      <c r="D734" s="4"/>
      <c r="E734" s="4"/>
      <c r="H734" s="4"/>
      <c r="I734" s="4"/>
      <c r="J734" s="4"/>
    </row>
    <row r="735" ht="12.0" customHeight="1">
      <c r="C735" s="4"/>
      <c r="D735" s="4"/>
      <c r="E735" s="4"/>
      <c r="H735" s="4"/>
      <c r="I735" s="4"/>
      <c r="J735" s="4"/>
    </row>
    <row r="736" ht="12.0" customHeight="1">
      <c r="C736" s="4"/>
      <c r="D736" s="4"/>
      <c r="E736" s="4"/>
      <c r="H736" s="4"/>
      <c r="I736" s="4"/>
      <c r="J736" s="4"/>
    </row>
    <row r="737" ht="12.0" customHeight="1">
      <c r="C737" s="4"/>
      <c r="D737" s="4"/>
      <c r="E737" s="4"/>
      <c r="H737" s="4"/>
      <c r="I737" s="4"/>
      <c r="J737" s="4"/>
    </row>
    <row r="738" ht="12.0" customHeight="1">
      <c r="C738" s="4"/>
      <c r="D738" s="4"/>
      <c r="E738" s="4"/>
      <c r="H738" s="4"/>
      <c r="I738" s="4"/>
      <c r="J738" s="4"/>
    </row>
    <row r="739" ht="12.0" customHeight="1">
      <c r="C739" s="4"/>
      <c r="D739" s="4"/>
      <c r="E739" s="4"/>
      <c r="H739" s="4"/>
      <c r="I739" s="4"/>
      <c r="J739" s="4"/>
    </row>
    <row r="740" ht="12.0" customHeight="1">
      <c r="C740" s="4"/>
      <c r="D740" s="4"/>
      <c r="E740" s="4"/>
      <c r="H740" s="4"/>
      <c r="I740" s="4"/>
      <c r="J740" s="4"/>
    </row>
    <row r="741" ht="12.0" customHeight="1">
      <c r="C741" s="4"/>
      <c r="D741" s="4"/>
      <c r="E741" s="4"/>
      <c r="H741" s="4"/>
      <c r="I741" s="4"/>
      <c r="J741" s="4"/>
    </row>
    <row r="742" ht="12.0" customHeight="1">
      <c r="C742" s="4"/>
      <c r="D742" s="4"/>
      <c r="E742" s="4"/>
      <c r="H742" s="4"/>
      <c r="I742" s="4"/>
      <c r="J742" s="4"/>
    </row>
    <row r="743" ht="12.0" customHeight="1">
      <c r="C743" s="4"/>
      <c r="D743" s="4"/>
      <c r="E743" s="4"/>
      <c r="H743" s="4"/>
      <c r="I743" s="4"/>
      <c r="J743" s="4"/>
    </row>
    <row r="744" ht="12.0" customHeight="1">
      <c r="C744" s="4"/>
      <c r="D744" s="4"/>
      <c r="E744" s="4"/>
      <c r="H744" s="4"/>
      <c r="I744" s="4"/>
      <c r="J744" s="4"/>
    </row>
    <row r="745" ht="12.0" customHeight="1">
      <c r="C745" s="4"/>
      <c r="D745" s="4"/>
      <c r="E745" s="4"/>
      <c r="H745" s="4"/>
      <c r="I745" s="4"/>
      <c r="J745" s="4"/>
    </row>
    <row r="746" ht="12.0" customHeight="1">
      <c r="C746" s="4"/>
      <c r="D746" s="4"/>
      <c r="E746" s="4"/>
      <c r="H746" s="4"/>
      <c r="I746" s="4"/>
      <c r="J746" s="4"/>
    </row>
    <row r="747" ht="12.0" customHeight="1">
      <c r="C747" s="4"/>
      <c r="D747" s="4"/>
      <c r="E747" s="4"/>
      <c r="H747" s="4"/>
      <c r="I747" s="4"/>
      <c r="J747" s="4"/>
    </row>
    <row r="748" ht="12.0" customHeight="1">
      <c r="C748" s="4"/>
      <c r="D748" s="4"/>
      <c r="E748" s="4"/>
      <c r="H748" s="4"/>
      <c r="I748" s="4"/>
      <c r="J748" s="4"/>
    </row>
    <row r="749" ht="12.0" customHeight="1">
      <c r="C749" s="4"/>
      <c r="D749" s="4"/>
      <c r="E749" s="4"/>
      <c r="H749" s="4"/>
      <c r="I749" s="4"/>
      <c r="J749" s="4"/>
    </row>
    <row r="750" ht="12.0" customHeight="1">
      <c r="C750" s="4"/>
      <c r="D750" s="4"/>
      <c r="E750" s="4"/>
      <c r="H750" s="4"/>
      <c r="I750" s="4"/>
      <c r="J750" s="4"/>
    </row>
    <row r="751" ht="12.0" customHeight="1">
      <c r="C751" s="4"/>
      <c r="D751" s="4"/>
      <c r="E751" s="4"/>
      <c r="H751" s="4"/>
      <c r="I751" s="4"/>
      <c r="J751" s="4"/>
    </row>
    <row r="752" ht="12.0" customHeight="1">
      <c r="C752" s="4"/>
      <c r="D752" s="4"/>
      <c r="E752" s="4"/>
      <c r="H752" s="4"/>
      <c r="I752" s="4"/>
      <c r="J752" s="4"/>
    </row>
    <row r="753" ht="12.0" customHeight="1">
      <c r="C753" s="4"/>
      <c r="D753" s="4"/>
      <c r="E753" s="4"/>
      <c r="H753" s="4"/>
      <c r="I753" s="4"/>
      <c r="J753" s="4"/>
    </row>
    <row r="754" ht="12.0" customHeight="1">
      <c r="C754" s="4"/>
      <c r="D754" s="4"/>
      <c r="E754" s="4"/>
      <c r="H754" s="4"/>
      <c r="I754" s="4"/>
      <c r="J754" s="4"/>
    </row>
    <row r="755" ht="12.0" customHeight="1">
      <c r="C755" s="4"/>
      <c r="D755" s="4"/>
      <c r="E755" s="4"/>
      <c r="H755" s="4"/>
      <c r="I755" s="4"/>
      <c r="J755" s="4"/>
    </row>
    <row r="756" ht="12.0" customHeight="1">
      <c r="C756" s="4"/>
      <c r="D756" s="4"/>
      <c r="E756" s="4"/>
      <c r="H756" s="4"/>
      <c r="I756" s="4"/>
      <c r="J756" s="4"/>
    </row>
    <row r="757" ht="12.0" customHeight="1">
      <c r="C757" s="4"/>
      <c r="D757" s="4"/>
      <c r="E757" s="4"/>
      <c r="H757" s="4"/>
      <c r="I757" s="4"/>
      <c r="J757" s="4"/>
    </row>
    <row r="758" ht="12.0" customHeight="1">
      <c r="C758" s="4"/>
      <c r="D758" s="4"/>
      <c r="E758" s="4"/>
      <c r="H758" s="4"/>
      <c r="I758" s="4"/>
      <c r="J758" s="4"/>
    </row>
    <row r="759" ht="12.0" customHeight="1">
      <c r="C759" s="4"/>
      <c r="D759" s="4"/>
      <c r="E759" s="4"/>
      <c r="H759" s="4"/>
      <c r="I759" s="4"/>
      <c r="J759" s="4"/>
    </row>
    <row r="760" ht="12.0" customHeight="1">
      <c r="C760" s="4"/>
      <c r="D760" s="4"/>
      <c r="E760" s="4"/>
      <c r="H760" s="4"/>
      <c r="I760" s="4"/>
      <c r="J760" s="4"/>
    </row>
    <row r="761" ht="12.0" customHeight="1">
      <c r="C761" s="4"/>
      <c r="D761" s="4"/>
      <c r="E761" s="4"/>
      <c r="H761" s="4"/>
      <c r="I761" s="4"/>
      <c r="J761" s="4"/>
    </row>
    <row r="762" ht="12.0" customHeight="1">
      <c r="C762" s="4"/>
      <c r="D762" s="4"/>
      <c r="E762" s="4"/>
      <c r="H762" s="4"/>
      <c r="I762" s="4"/>
      <c r="J762" s="4"/>
    </row>
    <row r="763" ht="12.0" customHeight="1">
      <c r="C763" s="4"/>
      <c r="D763" s="4"/>
      <c r="E763" s="4"/>
      <c r="H763" s="4"/>
      <c r="I763" s="4"/>
      <c r="J763" s="4"/>
    </row>
    <row r="764" ht="12.0" customHeight="1">
      <c r="C764" s="4"/>
      <c r="D764" s="4"/>
      <c r="E764" s="4"/>
      <c r="H764" s="4"/>
      <c r="I764" s="4"/>
      <c r="J764" s="4"/>
    </row>
    <row r="765" ht="12.0" customHeight="1">
      <c r="C765" s="4"/>
      <c r="D765" s="4"/>
      <c r="E765" s="4"/>
      <c r="H765" s="4"/>
      <c r="I765" s="4"/>
      <c r="J765" s="4"/>
    </row>
    <row r="766" ht="12.0" customHeight="1">
      <c r="C766" s="4"/>
      <c r="D766" s="4"/>
      <c r="E766" s="4"/>
      <c r="H766" s="4"/>
      <c r="I766" s="4"/>
      <c r="J766" s="4"/>
    </row>
    <row r="767" ht="12.0" customHeight="1">
      <c r="C767" s="4"/>
      <c r="D767" s="4"/>
      <c r="E767" s="4"/>
      <c r="H767" s="4"/>
      <c r="I767" s="4"/>
      <c r="J767" s="4"/>
    </row>
    <row r="768" ht="12.0" customHeight="1">
      <c r="C768" s="4"/>
      <c r="D768" s="4"/>
      <c r="E768" s="4"/>
      <c r="H768" s="4"/>
      <c r="I768" s="4"/>
      <c r="J768" s="4"/>
    </row>
    <row r="769" ht="12.0" customHeight="1">
      <c r="C769" s="4"/>
      <c r="D769" s="4"/>
      <c r="E769" s="4"/>
      <c r="H769" s="4"/>
      <c r="I769" s="4"/>
      <c r="J769" s="4"/>
    </row>
    <row r="770" ht="12.0" customHeight="1">
      <c r="C770" s="4"/>
      <c r="D770" s="4"/>
      <c r="E770" s="4"/>
      <c r="H770" s="4"/>
      <c r="I770" s="4"/>
      <c r="J770" s="4"/>
    </row>
    <row r="771" ht="12.0" customHeight="1">
      <c r="C771" s="4"/>
      <c r="D771" s="4"/>
      <c r="E771" s="4"/>
      <c r="H771" s="4"/>
      <c r="I771" s="4"/>
      <c r="J771" s="4"/>
    </row>
    <row r="772" ht="12.0" customHeight="1">
      <c r="C772" s="4"/>
      <c r="D772" s="4"/>
      <c r="E772" s="4"/>
      <c r="H772" s="4"/>
      <c r="I772" s="4"/>
      <c r="J772" s="4"/>
    </row>
    <row r="773" ht="12.0" customHeight="1">
      <c r="C773" s="4"/>
      <c r="D773" s="4"/>
      <c r="E773" s="4"/>
      <c r="H773" s="4"/>
      <c r="I773" s="4"/>
      <c r="J773" s="4"/>
    </row>
    <row r="774" ht="12.0" customHeight="1">
      <c r="C774" s="4"/>
      <c r="D774" s="4"/>
      <c r="E774" s="4"/>
      <c r="H774" s="4"/>
      <c r="I774" s="4"/>
      <c r="J774" s="4"/>
    </row>
    <row r="775" ht="12.0" customHeight="1">
      <c r="C775" s="4"/>
      <c r="D775" s="4"/>
      <c r="E775" s="4"/>
      <c r="H775" s="4"/>
      <c r="I775" s="4"/>
      <c r="J775" s="4"/>
    </row>
    <row r="776" ht="12.0" customHeight="1">
      <c r="C776" s="4"/>
      <c r="D776" s="4"/>
      <c r="E776" s="4"/>
      <c r="H776" s="4"/>
      <c r="I776" s="4"/>
      <c r="J776" s="4"/>
    </row>
    <row r="777" ht="12.0" customHeight="1">
      <c r="C777" s="4"/>
      <c r="D777" s="4"/>
      <c r="E777" s="4"/>
      <c r="H777" s="4"/>
      <c r="I777" s="4"/>
      <c r="J777" s="4"/>
    </row>
    <row r="778" ht="12.0" customHeight="1">
      <c r="C778" s="4"/>
      <c r="D778" s="4"/>
      <c r="E778" s="4"/>
      <c r="H778" s="4"/>
      <c r="I778" s="4"/>
      <c r="J778" s="4"/>
    </row>
    <row r="779" ht="12.0" customHeight="1">
      <c r="C779" s="4"/>
      <c r="D779" s="4"/>
      <c r="E779" s="4"/>
      <c r="H779" s="4"/>
      <c r="I779" s="4"/>
      <c r="J779" s="4"/>
    </row>
    <row r="780" ht="12.0" customHeight="1">
      <c r="C780" s="4"/>
      <c r="D780" s="4"/>
      <c r="E780" s="4"/>
      <c r="H780" s="4"/>
      <c r="I780" s="4"/>
      <c r="J780" s="4"/>
    </row>
    <row r="781" ht="12.0" customHeight="1">
      <c r="C781" s="4"/>
      <c r="D781" s="4"/>
      <c r="E781" s="4"/>
      <c r="H781" s="4"/>
      <c r="I781" s="4"/>
      <c r="J781" s="4"/>
    </row>
    <row r="782" ht="12.0" customHeight="1">
      <c r="C782" s="4"/>
      <c r="D782" s="4"/>
      <c r="E782" s="4"/>
      <c r="H782" s="4"/>
      <c r="I782" s="4"/>
      <c r="J782" s="4"/>
    </row>
    <row r="783" ht="12.0" customHeight="1">
      <c r="C783" s="4"/>
      <c r="D783" s="4"/>
      <c r="E783" s="4"/>
      <c r="H783" s="4"/>
      <c r="I783" s="4"/>
      <c r="J783" s="4"/>
    </row>
    <row r="784" ht="12.0" customHeight="1">
      <c r="C784" s="4"/>
      <c r="D784" s="4"/>
      <c r="E784" s="4"/>
      <c r="H784" s="4"/>
      <c r="I784" s="4"/>
      <c r="J784" s="4"/>
    </row>
    <row r="785" ht="12.0" customHeight="1">
      <c r="C785" s="4"/>
      <c r="D785" s="4"/>
      <c r="E785" s="4"/>
      <c r="H785" s="4"/>
      <c r="I785" s="4"/>
      <c r="J785" s="4"/>
    </row>
    <row r="786" ht="12.0" customHeight="1">
      <c r="C786" s="4"/>
      <c r="D786" s="4"/>
      <c r="E786" s="4"/>
      <c r="H786" s="4"/>
      <c r="I786" s="4"/>
      <c r="J786" s="4"/>
    </row>
    <row r="787" ht="12.0" customHeight="1">
      <c r="C787" s="4"/>
      <c r="D787" s="4"/>
      <c r="E787" s="4"/>
      <c r="H787" s="4"/>
      <c r="I787" s="4"/>
      <c r="J787" s="4"/>
    </row>
    <row r="788" ht="12.0" customHeight="1">
      <c r="C788" s="4"/>
      <c r="D788" s="4"/>
      <c r="E788" s="4"/>
      <c r="H788" s="4"/>
      <c r="I788" s="4"/>
      <c r="J788" s="4"/>
    </row>
    <row r="789" ht="12.0" customHeight="1">
      <c r="C789" s="4"/>
      <c r="D789" s="4"/>
      <c r="E789" s="4"/>
      <c r="H789" s="4"/>
      <c r="I789" s="4"/>
      <c r="J789" s="4"/>
    </row>
    <row r="790" ht="12.0" customHeight="1">
      <c r="C790" s="4"/>
      <c r="D790" s="4"/>
      <c r="E790" s="4"/>
      <c r="H790" s="4"/>
      <c r="I790" s="4"/>
      <c r="J790" s="4"/>
    </row>
    <row r="791" ht="12.0" customHeight="1">
      <c r="C791" s="4"/>
      <c r="D791" s="4"/>
      <c r="E791" s="4"/>
      <c r="H791" s="4"/>
      <c r="I791" s="4"/>
      <c r="J791" s="4"/>
    </row>
    <row r="792" ht="12.0" customHeight="1">
      <c r="C792" s="4"/>
      <c r="D792" s="4"/>
      <c r="E792" s="4"/>
      <c r="H792" s="4"/>
      <c r="I792" s="4"/>
      <c r="J792" s="4"/>
    </row>
    <row r="793" ht="12.0" customHeight="1">
      <c r="C793" s="4"/>
      <c r="D793" s="4"/>
      <c r="E793" s="4"/>
      <c r="H793" s="4"/>
      <c r="I793" s="4"/>
      <c r="J793" s="4"/>
    </row>
    <row r="794" ht="12.0" customHeight="1">
      <c r="C794" s="4"/>
      <c r="D794" s="4"/>
      <c r="E794" s="4"/>
      <c r="H794" s="4"/>
      <c r="I794" s="4"/>
      <c r="J794" s="4"/>
    </row>
    <row r="795" ht="12.0" customHeight="1">
      <c r="C795" s="4"/>
      <c r="D795" s="4"/>
      <c r="E795" s="4"/>
      <c r="H795" s="4"/>
      <c r="I795" s="4"/>
      <c r="J795" s="4"/>
    </row>
    <row r="796" ht="12.0" customHeight="1">
      <c r="C796" s="4"/>
      <c r="D796" s="4"/>
      <c r="E796" s="4"/>
      <c r="H796" s="4"/>
      <c r="I796" s="4"/>
      <c r="J796" s="4"/>
    </row>
    <row r="797" ht="12.0" customHeight="1">
      <c r="C797" s="4"/>
      <c r="D797" s="4"/>
      <c r="E797" s="4"/>
      <c r="H797" s="4"/>
      <c r="I797" s="4"/>
      <c r="J797" s="4"/>
    </row>
    <row r="798" ht="12.0" customHeight="1">
      <c r="C798" s="4"/>
      <c r="D798" s="4"/>
      <c r="E798" s="4"/>
      <c r="H798" s="4"/>
      <c r="I798" s="4"/>
      <c r="J798" s="4"/>
    </row>
    <row r="799" ht="12.0" customHeight="1">
      <c r="C799" s="4"/>
      <c r="D799" s="4"/>
      <c r="E799" s="4"/>
      <c r="H799" s="4"/>
      <c r="I799" s="4"/>
      <c r="J799" s="4"/>
    </row>
    <row r="800" ht="12.0" customHeight="1">
      <c r="C800" s="4"/>
      <c r="D800" s="4"/>
      <c r="E800" s="4"/>
      <c r="H800" s="4"/>
      <c r="I800" s="4"/>
      <c r="J800" s="4"/>
    </row>
    <row r="801" ht="12.0" customHeight="1">
      <c r="C801" s="4"/>
      <c r="D801" s="4"/>
      <c r="E801" s="4"/>
      <c r="H801" s="4"/>
      <c r="I801" s="4"/>
      <c r="J801" s="4"/>
    </row>
    <row r="802" ht="12.0" customHeight="1">
      <c r="C802" s="4"/>
      <c r="D802" s="4"/>
      <c r="E802" s="4"/>
      <c r="H802" s="4"/>
      <c r="I802" s="4"/>
      <c r="J802" s="4"/>
    </row>
    <row r="803" ht="12.0" customHeight="1">
      <c r="C803" s="4"/>
      <c r="D803" s="4"/>
      <c r="E803" s="4"/>
      <c r="H803" s="4"/>
      <c r="I803" s="4"/>
      <c r="J803" s="4"/>
    </row>
    <row r="804" ht="12.0" customHeight="1">
      <c r="C804" s="4"/>
      <c r="D804" s="4"/>
      <c r="E804" s="4"/>
      <c r="H804" s="4"/>
      <c r="I804" s="4"/>
      <c r="J804" s="4"/>
    </row>
    <row r="805" ht="12.0" customHeight="1">
      <c r="C805" s="4"/>
      <c r="D805" s="4"/>
      <c r="E805" s="4"/>
      <c r="H805" s="4"/>
      <c r="I805" s="4"/>
      <c r="J805" s="4"/>
    </row>
    <row r="806" ht="12.0" customHeight="1">
      <c r="C806" s="4"/>
      <c r="D806" s="4"/>
      <c r="E806" s="4"/>
      <c r="H806" s="4"/>
      <c r="I806" s="4"/>
      <c r="J806" s="4"/>
    </row>
    <row r="807" ht="12.0" customHeight="1">
      <c r="C807" s="4"/>
      <c r="D807" s="4"/>
      <c r="E807" s="4"/>
      <c r="H807" s="4"/>
      <c r="I807" s="4"/>
      <c r="J807" s="4"/>
    </row>
    <row r="808" ht="12.0" customHeight="1">
      <c r="C808" s="4"/>
      <c r="D808" s="4"/>
      <c r="E808" s="4"/>
      <c r="H808" s="4"/>
      <c r="I808" s="4"/>
      <c r="J808" s="4"/>
    </row>
    <row r="809" ht="12.0" customHeight="1">
      <c r="C809" s="4"/>
      <c r="D809" s="4"/>
      <c r="E809" s="4"/>
      <c r="H809" s="4"/>
      <c r="I809" s="4"/>
      <c r="J809" s="4"/>
    </row>
    <row r="810" ht="12.0" customHeight="1">
      <c r="C810" s="4"/>
      <c r="D810" s="4"/>
      <c r="E810" s="4"/>
      <c r="H810" s="4"/>
      <c r="I810" s="4"/>
      <c r="J810" s="4"/>
    </row>
    <row r="811" ht="12.0" customHeight="1">
      <c r="C811" s="4"/>
      <c r="D811" s="4"/>
      <c r="E811" s="4"/>
      <c r="H811" s="4"/>
      <c r="I811" s="4"/>
      <c r="J811" s="4"/>
    </row>
    <row r="812" ht="12.0" customHeight="1">
      <c r="C812" s="4"/>
      <c r="D812" s="4"/>
      <c r="E812" s="4"/>
      <c r="H812" s="4"/>
      <c r="I812" s="4"/>
      <c r="J812" s="4"/>
    </row>
    <row r="813" ht="12.0" customHeight="1">
      <c r="C813" s="4"/>
      <c r="D813" s="4"/>
      <c r="E813" s="4"/>
      <c r="H813" s="4"/>
      <c r="I813" s="4"/>
      <c r="J813" s="4"/>
    </row>
    <row r="814" ht="12.0" customHeight="1">
      <c r="C814" s="4"/>
      <c r="D814" s="4"/>
      <c r="E814" s="4"/>
      <c r="H814" s="4"/>
      <c r="I814" s="4"/>
      <c r="J814" s="4"/>
    </row>
    <row r="815" ht="12.0" customHeight="1">
      <c r="C815" s="4"/>
      <c r="D815" s="4"/>
      <c r="E815" s="4"/>
      <c r="H815" s="4"/>
      <c r="I815" s="4"/>
      <c r="J815" s="4"/>
    </row>
    <row r="816" ht="12.0" customHeight="1">
      <c r="C816" s="4"/>
      <c r="D816" s="4"/>
      <c r="E816" s="4"/>
      <c r="H816" s="4"/>
      <c r="I816" s="4"/>
      <c r="J816" s="4"/>
    </row>
    <row r="817" ht="12.0" customHeight="1">
      <c r="C817" s="4"/>
      <c r="D817" s="4"/>
      <c r="E817" s="4"/>
      <c r="H817" s="4"/>
      <c r="I817" s="4"/>
      <c r="J817" s="4"/>
    </row>
    <row r="818" ht="12.0" customHeight="1">
      <c r="C818" s="4"/>
      <c r="D818" s="4"/>
      <c r="E818" s="4"/>
      <c r="H818" s="4"/>
      <c r="I818" s="4"/>
      <c r="J818" s="4"/>
    </row>
    <row r="819" ht="12.0" customHeight="1">
      <c r="C819" s="4"/>
      <c r="D819" s="4"/>
      <c r="E819" s="4"/>
      <c r="H819" s="4"/>
      <c r="I819" s="4"/>
      <c r="J819" s="4"/>
    </row>
    <row r="820" ht="12.0" customHeight="1">
      <c r="C820" s="4"/>
      <c r="D820" s="4"/>
      <c r="E820" s="4"/>
      <c r="H820" s="4"/>
      <c r="I820" s="4"/>
      <c r="J820" s="4"/>
    </row>
    <row r="821" ht="12.0" customHeight="1">
      <c r="C821" s="4"/>
      <c r="D821" s="4"/>
      <c r="E821" s="4"/>
      <c r="H821" s="4"/>
      <c r="I821" s="4"/>
      <c r="J821" s="4"/>
    </row>
    <row r="822" ht="12.0" customHeight="1">
      <c r="C822" s="4"/>
      <c r="D822" s="4"/>
      <c r="E822" s="4"/>
      <c r="H822" s="4"/>
      <c r="I822" s="4"/>
      <c r="J822" s="4"/>
    </row>
    <row r="823" ht="12.0" customHeight="1">
      <c r="C823" s="4"/>
      <c r="D823" s="4"/>
      <c r="E823" s="4"/>
      <c r="H823" s="4"/>
      <c r="I823" s="4"/>
      <c r="J823" s="4"/>
    </row>
    <row r="824" ht="12.0" customHeight="1">
      <c r="C824" s="4"/>
      <c r="D824" s="4"/>
      <c r="E824" s="4"/>
      <c r="H824" s="4"/>
      <c r="I824" s="4"/>
      <c r="J824" s="4"/>
    </row>
    <row r="825" ht="12.0" customHeight="1">
      <c r="C825" s="4"/>
      <c r="D825" s="4"/>
      <c r="E825" s="4"/>
      <c r="H825" s="4"/>
      <c r="I825" s="4"/>
      <c r="J825" s="4"/>
    </row>
    <row r="826" ht="12.0" customHeight="1">
      <c r="C826" s="4"/>
      <c r="D826" s="4"/>
      <c r="E826" s="4"/>
      <c r="H826" s="4"/>
      <c r="I826" s="4"/>
      <c r="J826" s="4"/>
    </row>
    <row r="827" ht="12.0" customHeight="1">
      <c r="C827" s="4"/>
      <c r="D827" s="4"/>
      <c r="E827" s="4"/>
      <c r="H827" s="4"/>
      <c r="I827" s="4"/>
      <c r="J827" s="4"/>
    </row>
    <row r="828" ht="12.0" customHeight="1">
      <c r="C828" s="4"/>
      <c r="D828" s="4"/>
      <c r="E828" s="4"/>
      <c r="H828" s="4"/>
      <c r="I828" s="4"/>
      <c r="J828" s="4"/>
    </row>
    <row r="829" ht="12.0" customHeight="1">
      <c r="C829" s="4"/>
      <c r="D829" s="4"/>
      <c r="E829" s="4"/>
      <c r="H829" s="4"/>
      <c r="I829" s="4"/>
      <c r="J829" s="4"/>
    </row>
    <row r="830" ht="12.0" customHeight="1">
      <c r="C830" s="4"/>
      <c r="D830" s="4"/>
      <c r="E830" s="4"/>
      <c r="H830" s="4"/>
      <c r="I830" s="4"/>
      <c r="J830" s="4"/>
    </row>
    <row r="831" ht="12.0" customHeight="1">
      <c r="C831" s="4"/>
      <c r="D831" s="4"/>
      <c r="E831" s="4"/>
      <c r="H831" s="4"/>
      <c r="I831" s="4"/>
      <c r="J831" s="4"/>
    </row>
    <row r="832" ht="12.0" customHeight="1">
      <c r="C832" s="4"/>
      <c r="D832" s="4"/>
      <c r="E832" s="4"/>
      <c r="H832" s="4"/>
      <c r="I832" s="4"/>
      <c r="J832" s="4"/>
    </row>
    <row r="833" ht="12.0" customHeight="1">
      <c r="C833" s="4"/>
      <c r="D833" s="4"/>
      <c r="E833" s="4"/>
      <c r="H833" s="4"/>
      <c r="I833" s="4"/>
      <c r="J833" s="4"/>
    </row>
    <row r="834" ht="12.0" customHeight="1">
      <c r="C834" s="4"/>
      <c r="D834" s="4"/>
      <c r="E834" s="4"/>
      <c r="H834" s="4"/>
      <c r="I834" s="4"/>
      <c r="J834" s="4"/>
    </row>
    <row r="835" ht="12.0" customHeight="1">
      <c r="C835" s="4"/>
      <c r="D835" s="4"/>
      <c r="E835" s="4"/>
      <c r="H835" s="4"/>
      <c r="I835" s="4"/>
      <c r="J835" s="4"/>
    </row>
    <row r="836" ht="12.0" customHeight="1">
      <c r="C836" s="4"/>
      <c r="D836" s="4"/>
      <c r="E836" s="4"/>
      <c r="H836" s="4"/>
      <c r="I836" s="4"/>
      <c r="J836" s="4"/>
    </row>
    <row r="837" ht="12.0" customHeight="1">
      <c r="C837" s="4"/>
      <c r="D837" s="4"/>
      <c r="E837" s="4"/>
      <c r="H837" s="4"/>
      <c r="I837" s="4"/>
      <c r="J837" s="4"/>
    </row>
    <row r="838" ht="12.0" customHeight="1">
      <c r="C838" s="4"/>
      <c r="D838" s="4"/>
      <c r="E838" s="4"/>
      <c r="H838" s="4"/>
      <c r="I838" s="4"/>
      <c r="J838" s="4"/>
    </row>
    <row r="839" ht="12.0" customHeight="1">
      <c r="C839" s="4"/>
      <c r="D839" s="4"/>
      <c r="E839" s="4"/>
      <c r="H839" s="4"/>
      <c r="I839" s="4"/>
      <c r="J839" s="4"/>
    </row>
    <row r="840" ht="12.0" customHeight="1">
      <c r="C840" s="4"/>
      <c r="D840" s="4"/>
      <c r="E840" s="4"/>
      <c r="H840" s="4"/>
      <c r="I840" s="4"/>
      <c r="J840" s="4"/>
    </row>
    <row r="841" ht="12.0" customHeight="1">
      <c r="C841" s="4"/>
      <c r="D841" s="4"/>
      <c r="E841" s="4"/>
      <c r="H841" s="4"/>
      <c r="I841" s="4"/>
      <c r="J841" s="4"/>
    </row>
    <row r="842" ht="12.0" customHeight="1">
      <c r="C842" s="4"/>
      <c r="D842" s="4"/>
      <c r="E842" s="4"/>
      <c r="H842" s="4"/>
      <c r="I842" s="4"/>
      <c r="J842" s="4"/>
    </row>
    <row r="843" ht="12.0" customHeight="1">
      <c r="C843" s="4"/>
      <c r="D843" s="4"/>
      <c r="E843" s="4"/>
      <c r="H843" s="4"/>
      <c r="I843" s="4"/>
      <c r="J843" s="4"/>
    </row>
    <row r="844" ht="12.0" customHeight="1">
      <c r="C844" s="4"/>
      <c r="D844" s="4"/>
      <c r="E844" s="4"/>
      <c r="H844" s="4"/>
      <c r="I844" s="4"/>
      <c r="J844" s="4"/>
    </row>
    <row r="845" ht="12.0" customHeight="1">
      <c r="C845" s="4"/>
      <c r="D845" s="4"/>
      <c r="E845" s="4"/>
      <c r="H845" s="4"/>
      <c r="I845" s="4"/>
      <c r="J845" s="4"/>
    </row>
    <row r="846" ht="12.0" customHeight="1">
      <c r="C846" s="4"/>
      <c r="D846" s="4"/>
      <c r="E846" s="4"/>
      <c r="H846" s="4"/>
      <c r="I846" s="4"/>
      <c r="J846" s="4"/>
    </row>
    <row r="847" ht="12.0" customHeight="1">
      <c r="C847" s="4"/>
      <c r="D847" s="4"/>
      <c r="E847" s="4"/>
      <c r="H847" s="4"/>
      <c r="I847" s="4"/>
      <c r="J847" s="4"/>
    </row>
    <row r="848" ht="12.0" customHeight="1">
      <c r="C848" s="4"/>
      <c r="D848" s="4"/>
      <c r="E848" s="4"/>
      <c r="H848" s="4"/>
      <c r="I848" s="4"/>
      <c r="J848" s="4"/>
    </row>
    <row r="849" ht="12.0" customHeight="1">
      <c r="C849" s="4"/>
      <c r="D849" s="4"/>
      <c r="E849" s="4"/>
      <c r="H849" s="4"/>
      <c r="I849" s="4"/>
      <c r="J849" s="4"/>
    </row>
    <row r="850" ht="12.0" customHeight="1">
      <c r="C850" s="4"/>
      <c r="D850" s="4"/>
      <c r="E850" s="4"/>
      <c r="H850" s="4"/>
      <c r="I850" s="4"/>
      <c r="J850" s="4"/>
    </row>
    <row r="851" ht="12.0" customHeight="1">
      <c r="C851" s="4"/>
      <c r="D851" s="4"/>
      <c r="E851" s="4"/>
      <c r="H851" s="4"/>
      <c r="I851" s="4"/>
      <c r="J851" s="4"/>
    </row>
    <row r="852" ht="12.0" customHeight="1">
      <c r="C852" s="4"/>
      <c r="D852" s="4"/>
      <c r="E852" s="4"/>
      <c r="H852" s="4"/>
      <c r="I852" s="4"/>
      <c r="J852" s="4"/>
    </row>
    <row r="853" ht="12.0" customHeight="1">
      <c r="C853" s="4"/>
      <c r="D853" s="4"/>
      <c r="E853" s="4"/>
      <c r="H853" s="4"/>
      <c r="I853" s="4"/>
      <c r="J853" s="4"/>
    </row>
    <row r="854" ht="12.0" customHeight="1">
      <c r="C854" s="4"/>
      <c r="D854" s="4"/>
      <c r="E854" s="4"/>
      <c r="H854" s="4"/>
      <c r="I854" s="4"/>
      <c r="J854" s="4"/>
    </row>
    <row r="855" ht="12.0" customHeight="1">
      <c r="C855" s="4"/>
      <c r="D855" s="4"/>
      <c r="E855" s="4"/>
      <c r="H855" s="4"/>
      <c r="I855" s="4"/>
      <c r="J855" s="4"/>
    </row>
    <row r="856" ht="12.0" customHeight="1">
      <c r="C856" s="4"/>
      <c r="D856" s="4"/>
      <c r="E856" s="4"/>
      <c r="H856" s="4"/>
      <c r="I856" s="4"/>
      <c r="J856" s="4"/>
    </row>
    <row r="857" ht="12.0" customHeight="1">
      <c r="C857" s="4"/>
      <c r="D857" s="4"/>
      <c r="E857" s="4"/>
      <c r="H857" s="4"/>
      <c r="I857" s="4"/>
      <c r="J857" s="4"/>
    </row>
    <row r="858" ht="12.0" customHeight="1">
      <c r="C858" s="4"/>
      <c r="D858" s="4"/>
      <c r="E858" s="4"/>
      <c r="H858" s="4"/>
      <c r="I858" s="4"/>
      <c r="J858" s="4"/>
    </row>
    <row r="859" ht="12.0" customHeight="1">
      <c r="C859" s="4"/>
      <c r="D859" s="4"/>
      <c r="E859" s="4"/>
      <c r="H859" s="4"/>
      <c r="I859" s="4"/>
      <c r="J859" s="4"/>
    </row>
    <row r="860" ht="12.0" customHeight="1">
      <c r="C860" s="4"/>
      <c r="D860" s="4"/>
      <c r="E860" s="4"/>
      <c r="H860" s="4"/>
      <c r="I860" s="4"/>
      <c r="J860" s="4"/>
    </row>
    <row r="861" ht="12.0" customHeight="1">
      <c r="C861" s="4"/>
      <c r="D861" s="4"/>
      <c r="E861" s="4"/>
      <c r="H861" s="4"/>
      <c r="I861" s="4"/>
      <c r="J861" s="4"/>
    </row>
    <row r="862" ht="12.0" customHeight="1">
      <c r="C862" s="4"/>
      <c r="D862" s="4"/>
      <c r="E862" s="4"/>
      <c r="H862" s="4"/>
      <c r="I862" s="4"/>
      <c r="J862" s="4"/>
    </row>
    <row r="863" ht="12.0" customHeight="1">
      <c r="C863" s="4"/>
      <c r="D863" s="4"/>
      <c r="E863" s="4"/>
      <c r="H863" s="4"/>
      <c r="I863" s="4"/>
      <c r="J863" s="4"/>
    </row>
    <row r="864" ht="12.0" customHeight="1">
      <c r="C864" s="4"/>
      <c r="D864" s="4"/>
      <c r="E864" s="4"/>
      <c r="H864" s="4"/>
      <c r="I864" s="4"/>
      <c r="J864" s="4"/>
    </row>
    <row r="865" ht="12.0" customHeight="1">
      <c r="C865" s="4"/>
      <c r="D865" s="4"/>
      <c r="E865" s="4"/>
      <c r="H865" s="4"/>
      <c r="I865" s="4"/>
      <c r="J865" s="4"/>
    </row>
    <row r="866" ht="12.0" customHeight="1">
      <c r="C866" s="4"/>
      <c r="D866" s="4"/>
      <c r="E866" s="4"/>
      <c r="H866" s="4"/>
      <c r="I866" s="4"/>
      <c r="J866" s="4"/>
    </row>
    <row r="867" ht="12.0" customHeight="1">
      <c r="C867" s="4"/>
      <c r="D867" s="4"/>
      <c r="E867" s="4"/>
      <c r="H867" s="4"/>
      <c r="I867" s="4"/>
      <c r="J867" s="4"/>
    </row>
    <row r="868" ht="12.0" customHeight="1">
      <c r="C868" s="4"/>
      <c r="D868" s="4"/>
      <c r="E868" s="4"/>
      <c r="H868" s="4"/>
      <c r="I868" s="4"/>
      <c r="J868" s="4"/>
    </row>
    <row r="869" ht="12.0" customHeight="1">
      <c r="C869" s="4"/>
      <c r="D869" s="4"/>
      <c r="E869" s="4"/>
      <c r="H869" s="4"/>
      <c r="I869" s="4"/>
      <c r="J869" s="4"/>
    </row>
    <row r="870" ht="12.0" customHeight="1">
      <c r="C870" s="4"/>
      <c r="D870" s="4"/>
      <c r="E870" s="4"/>
      <c r="H870" s="4"/>
      <c r="I870" s="4"/>
      <c r="J870" s="4"/>
    </row>
    <row r="871" ht="12.0" customHeight="1">
      <c r="C871" s="4"/>
      <c r="D871" s="4"/>
      <c r="E871" s="4"/>
      <c r="H871" s="4"/>
      <c r="I871" s="4"/>
      <c r="J871" s="4"/>
    </row>
    <row r="872" ht="12.0" customHeight="1">
      <c r="C872" s="4"/>
      <c r="D872" s="4"/>
      <c r="E872" s="4"/>
      <c r="H872" s="4"/>
      <c r="I872" s="4"/>
      <c r="J872" s="4"/>
    </row>
    <row r="873" ht="12.0" customHeight="1">
      <c r="C873" s="4"/>
      <c r="D873" s="4"/>
      <c r="E873" s="4"/>
      <c r="H873" s="4"/>
      <c r="I873" s="4"/>
      <c r="J873" s="4"/>
    </row>
    <row r="874" ht="12.0" customHeight="1">
      <c r="C874" s="4"/>
      <c r="D874" s="4"/>
      <c r="E874" s="4"/>
      <c r="H874" s="4"/>
      <c r="I874" s="4"/>
      <c r="J874" s="4"/>
    </row>
    <row r="875" ht="12.0" customHeight="1">
      <c r="C875" s="4"/>
      <c r="D875" s="4"/>
      <c r="E875" s="4"/>
      <c r="H875" s="4"/>
      <c r="I875" s="4"/>
      <c r="J875" s="4"/>
    </row>
    <row r="876" ht="12.0" customHeight="1">
      <c r="C876" s="4"/>
      <c r="D876" s="4"/>
      <c r="E876" s="4"/>
      <c r="H876" s="4"/>
      <c r="I876" s="4"/>
      <c r="J876" s="4"/>
    </row>
    <row r="877" ht="12.0" customHeight="1">
      <c r="C877" s="4"/>
      <c r="D877" s="4"/>
      <c r="E877" s="4"/>
      <c r="H877" s="4"/>
      <c r="I877" s="4"/>
      <c r="J877" s="4"/>
    </row>
    <row r="878" ht="12.0" customHeight="1">
      <c r="C878" s="4"/>
      <c r="D878" s="4"/>
      <c r="E878" s="4"/>
      <c r="H878" s="4"/>
      <c r="I878" s="4"/>
      <c r="J878" s="4"/>
    </row>
    <row r="879" ht="12.0" customHeight="1">
      <c r="C879" s="4"/>
      <c r="D879" s="4"/>
      <c r="E879" s="4"/>
      <c r="H879" s="4"/>
      <c r="I879" s="4"/>
      <c r="J879" s="4"/>
    </row>
    <row r="880" ht="12.0" customHeight="1">
      <c r="C880" s="4"/>
      <c r="D880" s="4"/>
      <c r="E880" s="4"/>
      <c r="H880" s="4"/>
      <c r="I880" s="4"/>
      <c r="J880" s="4"/>
    </row>
    <row r="881" ht="12.0" customHeight="1">
      <c r="C881" s="4"/>
      <c r="D881" s="4"/>
      <c r="E881" s="4"/>
      <c r="H881" s="4"/>
      <c r="I881" s="4"/>
      <c r="J881" s="4"/>
    </row>
    <row r="882" ht="12.0" customHeight="1">
      <c r="C882" s="4"/>
      <c r="D882" s="4"/>
      <c r="E882" s="4"/>
      <c r="H882" s="4"/>
      <c r="I882" s="4"/>
      <c r="J882" s="4"/>
    </row>
    <row r="883" ht="12.0" customHeight="1">
      <c r="C883" s="4"/>
      <c r="D883" s="4"/>
      <c r="E883" s="4"/>
      <c r="H883" s="4"/>
      <c r="I883" s="4"/>
      <c r="J883" s="4"/>
    </row>
    <row r="884" ht="12.0" customHeight="1">
      <c r="C884" s="4"/>
      <c r="D884" s="4"/>
      <c r="E884" s="4"/>
      <c r="H884" s="4"/>
      <c r="I884" s="4"/>
      <c r="J884" s="4"/>
    </row>
    <row r="885" ht="12.0" customHeight="1">
      <c r="C885" s="4"/>
      <c r="D885" s="4"/>
      <c r="E885" s="4"/>
      <c r="H885" s="4"/>
      <c r="I885" s="4"/>
      <c r="J885" s="4"/>
    </row>
    <row r="886" ht="12.0" customHeight="1">
      <c r="C886" s="4"/>
      <c r="D886" s="4"/>
      <c r="E886" s="4"/>
      <c r="H886" s="4"/>
      <c r="I886" s="4"/>
      <c r="J886" s="4"/>
    </row>
    <row r="887" ht="12.0" customHeight="1">
      <c r="C887" s="4"/>
      <c r="D887" s="4"/>
      <c r="E887" s="4"/>
      <c r="H887" s="4"/>
      <c r="I887" s="4"/>
      <c r="J887" s="4"/>
    </row>
    <row r="888" ht="12.0" customHeight="1">
      <c r="C888" s="4"/>
      <c r="D888" s="4"/>
      <c r="E888" s="4"/>
      <c r="H888" s="4"/>
      <c r="I888" s="4"/>
      <c r="J888" s="4"/>
    </row>
    <row r="889" ht="12.0" customHeight="1">
      <c r="C889" s="4"/>
      <c r="D889" s="4"/>
      <c r="E889" s="4"/>
      <c r="H889" s="4"/>
      <c r="I889" s="4"/>
      <c r="J889" s="4"/>
    </row>
    <row r="890" ht="12.0" customHeight="1">
      <c r="C890" s="4"/>
      <c r="D890" s="4"/>
      <c r="E890" s="4"/>
      <c r="H890" s="4"/>
      <c r="I890" s="4"/>
      <c r="J890" s="4"/>
    </row>
    <row r="891" ht="12.0" customHeight="1">
      <c r="C891" s="4"/>
      <c r="D891" s="4"/>
      <c r="E891" s="4"/>
      <c r="H891" s="4"/>
      <c r="I891" s="4"/>
      <c r="J891" s="4"/>
    </row>
    <row r="892" ht="12.0" customHeight="1">
      <c r="C892" s="4"/>
      <c r="D892" s="4"/>
      <c r="E892" s="4"/>
      <c r="H892" s="4"/>
      <c r="I892" s="4"/>
      <c r="J892" s="4"/>
    </row>
    <row r="893" ht="12.0" customHeight="1">
      <c r="C893" s="4"/>
      <c r="D893" s="4"/>
      <c r="E893" s="4"/>
      <c r="H893" s="4"/>
      <c r="I893" s="4"/>
      <c r="J893" s="4"/>
    </row>
    <row r="894" ht="12.0" customHeight="1">
      <c r="C894" s="4"/>
      <c r="D894" s="4"/>
      <c r="E894" s="4"/>
      <c r="H894" s="4"/>
      <c r="I894" s="4"/>
      <c r="J894" s="4"/>
    </row>
    <row r="895" ht="12.0" customHeight="1">
      <c r="C895" s="4"/>
      <c r="D895" s="4"/>
      <c r="E895" s="4"/>
      <c r="H895" s="4"/>
      <c r="I895" s="4"/>
      <c r="J895" s="4"/>
    </row>
    <row r="896" ht="12.0" customHeight="1">
      <c r="C896" s="4"/>
      <c r="D896" s="4"/>
      <c r="E896" s="4"/>
      <c r="H896" s="4"/>
      <c r="I896" s="4"/>
      <c r="J896" s="4"/>
    </row>
    <row r="897" ht="12.0" customHeight="1">
      <c r="C897" s="4"/>
      <c r="D897" s="4"/>
      <c r="E897" s="4"/>
      <c r="H897" s="4"/>
      <c r="I897" s="4"/>
      <c r="J897" s="4"/>
    </row>
    <row r="898" ht="12.0" customHeight="1">
      <c r="C898" s="4"/>
      <c r="D898" s="4"/>
      <c r="E898" s="4"/>
      <c r="H898" s="4"/>
      <c r="I898" s="4"/>
      <c r="J898" s="4"/>
    </row>
    <row r="899" ht="12.0" customHeight="1">
      <c r="C899" s="4"/>
      <c r="D899" s="4"/>
      <c r="E899" s="4"/>
      <c r="H899" s="4"/>
      <c r="I899" s="4"/>
      <c r="J899" s="4"/>
    </row>
    <row r="900" ht="12.0" customHeight="1">
      <c r="C900" s="4"/>
      <c r="D900" s="4"/>
      <c r="E900" s="4"/>
      <c r="H900" s="4"/>
      <c r="I900" s="4"/>
      <c r="J900" s="4"/>
    </row>
    <row r="901" ht="12.0" customHeight="1">
      <c r="C901" s="4"/>
      <c r="D901" s="4"/>
      <c r="E901" s="4"/>
      <c r="H901" s="4"/>
      <c r="I901" s="4"/>
      <c r="J901" s="4"/>
    </row>
    <row r="902" ht="12.0" customHeight="1">
      <c r="C902" s="4"/>
      <c r="D902" s="4"/>
      <c r="E902" s="4"/>
      <c r="H902" s="4"/>
      <c r="I902" s="4"/>
      <c r="J902" s="4"/>
    </row>
    <row r="903" ht="12.0" customHeight="1">
      <c r="C903" s="4"/>
      <c r="D903" s="4"/>
      <c r="E903" s="4"/>
      <c r="H903" s="4"/>
      <c r="I903" s="4"/>
      <c r="J903" s="4"/>
    </row>
    <row r="904" ht="12.0" customHeight="1">
      <c r="C904" s="4"/>
      <c r="D904" s="4"/>
      <c r="E904" s="4"/>
      <c r="H904" s="4"/>
      <c r="I904" s="4"/>
      <c r="J904" s="4"/>
    </row>
    <row r="905" ht="12.0" customHeight="1">
      <c r="C905" s="4"/>
      <c r="D905" s="4"/>
      <c r="E905" s="4"/>
      <c r="H905" s="4"/>
      <c r="I905" s="4"/>
      <c r="J905" s="4"/>
    </row>
    <row r="906" ht="12.0" customHeight="1">
      <c r="C906" s="4"/>
      <c r="D906" s="4"/>
      <c r="E906" s="4"/>
      <c r="H906" s="4"/>
      <c r="I906" s="4"/>
      <c r="J906" s="4"/>
    </row>
    <row r="907" ht="12.0" customHeight="1">
      <c r="C907" s="4"/>
      <c r="D907" s="4"/>
      <c r="E907" s="4"/>
      <c r="H907" s="4"/>
      <c r="I907" s="4"/>
      <c r="J907" s="4"/>
    </row>
    <row r="908" ht="12.0" customHeight="1">
      <c r="C908" s="4"/>
      <c r="D908" s="4"/>
      <c r="E908" s="4"/>
      <c r="H908" s="4"/>
      <c r="I908" s="4"/>
      <c r="J908" s="4"/>
    </row>
    <row r="909" ht="12.0" customHeight="1">
      <c r="C909" s="4"/>
      <c r="D909" s="4"/>
      <c r="E909" s="4"/>
      <c r="H909" s="4"/>
      <c r="I909" s="4"/>
      <c r="J909" s="4"/>
    </row>
    <row r="910" ht="12.0" customHeight="1">
      <c r="C910" s="4"/>
      <c r="D910" s="4"/>
      <c r="E910" s="4"/>
      <c r="H910" s="4"/>
      <c r="I910" s="4"/>
      <c r="J910" s="4"/>
    </row>
    <row r="911" ht="12.0" customHeight="1">
      <c r="C911" s="4"/>
      <c r="D911" s="4"/>
      <c r="E911" s="4"/>
      <c r="H911" s="4"/>
      <c r="I911" s="4"/>
      <c r="J911" s="4"/>
    </row>
    <row r="912" ht="12.0" customHeight="1">
      <c r="C912" s="4"/>
      <c r="D912" s="4"/>
      <c r="E912" s="4"/>
      <c r="H912" s="4"/>
      <c r="I912" s="4"/>
      <c r="J912" s="4"/>
    </row>
    <row r="913" ht="12.0" customHeight="1">
      <c r="C913" s="4"/>
      <c r="D913" s="4"/>
      <c r="E913" s="4"/>
      <c r="H913" s="4"/>
      <c r="I913" s="4"/>
      <c r="J913" s="4"/>
    </row>
    <row r="914" ht="12.0" customHeight="1">
      <c r="C914" s="4"/>
      <c r="D914" s="4"/>
      <c r="E914" s="4"/>
      <c r="H914" s="4"/>
      <c r="I914" s="4"/>
      <c r="J914" s="4"/>
    </row>
    <row r="915" ht="12.0" customHeight="1">
      <c r="C915" s="4"/>
      <c r="D915" s="4"/>
      <c r="E915" s="4"/>
      <c r="H915" s="4"/>
      <c r="I915" s="4"/>
      <c r="J915" s="4"/>
    </row>
    <row r="916" ht="12.0" customHeight="1">
      <c r="C916" s="4"/>
      <c r="D916" s="4"/>
      <c r="E916" s="4"/>
      <c r="H916" s="4"/>
      <c r="I916" s="4"/>
      <c r="J916" s="4"/>
    </row>
    <row r="917" ht="12.0" customHeight="1">
      <c r="C917" s="4"/>
      <c r="D917" s="4"/>
      <c r="E917" s="4"/>
      <c r="H917" s="4"/>
      <c r="I917" s="4"/>
      <c r="J917" s="4"/>
    </row>
    <row r="918" ht="12.0" customHeight="1">
      <c r="C918" s="4"/>
      <c r="D918" s="4"/>
      <c r="E918" s="4"/>
      <c r="H918" s="4"/>
      <c r="I918" s="4"/>
      <c r="J918" s="4"/>
    </row>
    <row r="919" ht="12.0" customHeight="1">
      <c r="C919" s="4"/>
      <c r="D919" s="4"/>
      <c r="E919" s="4"/>
      <c r="H919" s="4"/>
      <c r="I919" s="4"/>
      <c r="J919" s="4"/>
    </row>
    <row r="920" ht="12.0" customHeight="1">
      <c r="C920" s="4"/>
      <c r="D920" s="4"/>
      <c r="E920" s="4"/>
      <c r="H920" s="4"/>
      <c r="I920" s="4"/>
      <c r="J920" s="4"/>
    </row>
    <row r="921" ht="12.0" customHeight="1">
      <c r="C921" s="4"/>
      <c r="D921" s="4"/>
      <c r="E921" s="4"/>
      <c r="H921" s="4"/>
      <c r="I921" s="4"/>
      <c r="J921" s="4"/>
    </row>
    <row r="922" ht="12.0" customHeight="1">
      <c r="C922" s="4"/>
      <c r="D922" s="4"/>
      <c r="E922" s="4"/>
      <c r="H922" s="4"/>
      <c r="I922" s="4"/>
      <c r="J922" s="4"/>
    </row>
    <row r="923" ht="12.0" customHeight="1">
      <c r="C923" s="4"/>
      <c r="D923" s="4"/>
      <c r="E923" s="4"/>
      <c r="H923" s="4"/>
      <c r="I923" s="4"/>
      <c r="J923" s="4"/>
    </row>
    <row r="924" ht="12.0" customHeight="1">
      <c r="C924" s="4"/>
      <c r="D924" s="4"/>
      <c r="E924" s="4"/>
      <c r="H924" s="4"/>
      <c r="I924" s="4"/>
      <c r="J924" s="4"/>
    </row>
    <row r="925" ht="12.0" customHeight="1">
      <c r="C925" s="4"/>
      <c r="D925" s="4"/>
      <c r="E925" s="4"/>
      <c r="H925" s="4"/>
      <c r="I925" s="4"/>
      <c r="J925" s="4"/>
    </row>
    <row r="926" ht="12.0" customHeight="1">
      <c r="C926" s="4"/>
      <c r="D926" s="4"/>
      <c r="E926" s="4"/>
      <c r="H926" s="4"/>
      <c r="I926" s="4"/>
      <c r="J926" s="4"/>
    </row>
    <row r="927" ht="12.0" customHeight="1">
      <c r="C927" s="4"/>
      <c r="D927" s="4"/>
      <c r="E927" s="4"/>
      <c r="H927" s="4"/>
      <c r="I927" s="4"/>
      <c r="J927" s="4"/>
    </row>
    <row r="928" ht="12.0" customHeight="1">
      <c r="C928" s="4"/>
      <c r="D928" s="4"/>
      <c r="E928" s="4"/>
      <c r="H928" s="4"/>
      <c r="I928" s="4"/>
      <c r="J928" s="4"/>
    </row>
    <row r="929" ht="12.0" customHeight="1">
      <c r="C929" s="4"/>
      <c r="D929" s="4"/>
      <c r="E929" s="4"/>
      <c r="H929" s="4"/>
      <c r="I929" s="4"/>
      <c r="J929" s="4"/>
    </row>
    <row r="930" ht="12.0" customHeight="1">
      <c r="C930" s="4"/>
      <c r="D930" s="4"/>
      <c r="E930" s="4"/>
      <c r="H930" s="4"/>
      <c r="I930" s="4"/>
      <c r="J930" s="4"/>
    </row>
    <row r="931" ht="12.0" customHeight="1">
      <c r="C931" s="4"/>
      <c r="D931" s="4"/>
      <c r="E931" s="4"/>
      <c r="H931" s="4"/>
      <c r="I931" s="4"/>
      <c r="J931" s="4"/>
    </row>
    <row r="932" ht="12.0" customHeight="1">
      <c r="C932" s="4"/>
      <c r="D932" s="4"/>
      <c r="E932" s="4"/>
      <c r="H932" s="4"/>
      <c r="I932" s="4"/>
      <c r="J932" s="4"/>
    </row>
    <row r="933" ht="12.0" customHeight="1">
      <c r="C933" s="4"/>
      <c r="D933" s="4"/>
      <c r="E933" s="4"/>
      <c r="H933" s="4"/>
      <c r="I933" s="4"/>
      <c r="J933" s="4"/>
    </row>
    <row r="934" ht="12.0" customHeight="1">
      <c r="C934" s="4"/>
      <c r="D934" s="4"/>
      <c r="E934" s="4"/>
      <c r="H934" s="4"/>
      <c r="I934" s="4"/>
      <c r="J934" s="4"/>
    </row>
    <row r="935" ht="12.0" customHeight="1">
      <c r="C935" s="4"/>
      <c r="D935" s="4"/>
      <c r="E935" s="4"/>
      <c r="H935" s="4"/>
      <c r="I935" s="4"/>
      <c r="J935" s="4"/>
    </row>
    <row r="936" ht="12.0" customHeight="1">
      <c r="C936" s="4"/>
      <c r="D936" s="4"/>
      <c r="E936" s="4"/>
      <c r="H936" s="4"/>
      <c r="I936" s="4"/>
      <c r="J936" s="4"/>
    </row>
    <row r="937" ht="12.0" customHeight="1">
      <c r="C937" s="4"/>
      <c r="D937" s="4"/>
      <c r="E937" s="4"/>
      <c r="H937" s="4"/>
      <c r="I937" s="4"/>
      <c r="J937" s="4"/>
    </row>
    <row r="938" ht="12.0" customHeight="1">
      <c r="C938" s="4"/>
      <c r="D938" s="4"/>
      <c r="E938" s="4"/>
      <c r="H938" s="4"/>
      <c r="I938" s="4"/>
      <c r="J938" s="4"/>
    </row>
    <row r="939" ht="12.0" customHeight="1">
      <c r="C939" s="4"/>
      <c r="D939" s="4"/>
      <c r="E939" s="4"/>
      <c r="H939" s="4"/>
      <c r="I939" s="4"/>
      <c r="J939" s="4"/>
    </row>
    <row r="940" ht="12.0" customHeight="1">
      <c r="C940" s="4"/>
      <c r="D940" s="4"/>
      <c r="E940" s="4"/>
      <c r="H940" s="4"/>
      <c r="I940" s="4"/>
      <c r="J940" s="4"/>
    </row>
    <row r="941" ht="12.0" customHeight="1">
      <c r="C941" s="4"/>
      <c r="D941" s="4"/>
      <c r="E941" s="4"/>
      <c r="H941" s="4"/>
      <c r="I941" s="4"/>
      <c r="J941" s="4"/>
    </row>
    <row r="942" ht="12.0" customHeight="1">
      <c r="C942" s="4"/>
      <c r="D942" s="4"/>
      <c r="E942" s="4"/>
      <c r="H942" s="4"/>
      <c r="I942" s="4"/>
      <c r="J942" s="4"/>
    </row>
    <row r="943" ht="12.0" customHeight="1">
      <c r="C943" s="4"/>
      <c r="D943" s="4"/>
      <c r="E943" s="4"/>
      <c r="H943" s="4"/>
      <c r="I943" s="4"/>
      <c r="J943" s="4"/>
    </row>
    <row r="944" ht="12.0" customHeight="1">
      <c r="C944" s="4"/>
      <c r="D944" s="4"/>
      <c r="E944" s="4"/>
      <c r="H944" s="4"/>
      <c r="I944" s="4"/>
      <c r="J944" s="4"/>
    </row>
    <row r="945" ht="12.0" customHeight="1">
      <c r="C945" s="4"/>
      <c r="D945" s="4"/>
      <c r="E945" s="4"/>
      <c r="H945" s="4"/>
      <c r="I945" s="4"/>
      <c r="J945" s="4"/>
    </row>
    <row r="946" ht="12.0" customHeight="1">
      <c r="C946" s="4"/>
      <c r="D946" s="4"/>
      <c r="E946" s="4"/>
      <c r="H946" s="4"/>
      <c r="I946" s="4"/>
      <c r="J946" s="4"/>
    </row>
    <row r="947" ht="12.0" customHeight="1">
      <c r="C947" s="4"/>
      <c r="D947" s="4"/>
      <c r="E947" s="4"/>
      <c r="H947" s="4"/>
      <c r="I947" s="4"/>
      <c r="J947" s="4"/>
    </row>
    <row r="948" ht="12.0" customHeight="1">
      <c r="C948" s="4"/>
      <c r="D948" s="4"/>
      <c r="E948" s="4"/>
      <c r="H948" s="4"/>
      <c r="I948" s="4"/>
      <c r="J948" s="4"/>
    </row>
    <row r="949" ht="12.0" customHeight="1">
      <c r="C949" s="4"/>
      <c r="D949" s="4"/>
      <c r="E949" s="4"/>
      <c r="H949" s="4"/>
      <c r="I949" s="4"/>
      <c r="J949" s="4"/>
    </row>
    <row r="950" ht="12.0" customHeight="1">
      <c r="C950" s="4"/>
      <c r="D950" s="4"/>
      <c r="E950" s="4"/>
      <c r="H950" s="4"/>
      <c r="I950" s="4"/>
      <c r="J950" s="4"/>
    </row>
    <row r="951" ht="12.0" customHeight="1">
      <c r="C951" s="4"/>
      <c r="D951" s="4"/>
      <c r="E951" s="4"/>
      <c r="H951" s="4"/>
      <c r="I951" s="4"/>
      <c r="J951" s="4"/>
    </row>
    <row r="952" ht="12.0" customHeight="1">
      <c r="C952" s="4"/>
      <c r="D952" s="4"/>
      <c r="E952" s="4"/>
      <c r="H952" s="4"/>
      <c r="I952" s="4"/>
      <c r="J952" s="4"/>
    </row>
    <row r="953" ht="12.0" customHeight="1">
      <c r="C953" s="4"/>
      <c r="D953" s="4"/>
      <c r="E953" s="4"/>
      <c r="H953" s="4"/>
      <c r="I953" s="4"/>
      <c r="J953" s="4"/>
    </row>
    <row r="954" ht="12.0" customHeight="1">
      <c r="C954" s="4"/>
      <c r="D954" s="4"/>
      <c r="E954" s="4"/>
      <c r="H954" s="4"/>
      <c r="I954" s="4"/>
      <c r="J954" s="4"/>
    </row>
    <row r="955" ht="12.0" customHeight="1">
      <c r="C955" s="4"/>
      <c r="D955" s="4"/>
      <c r="E955" s="4"/>
      <c r="H955" s="4"/>
      <c r="I955" s="4"/>
      <c r="J955" s="4"/>
    </row>
    <row r="956" ht="12.0" customHeight="1">
      <c r="C956" s="4"/>
      <c r="D956" s="4"/>
      <c r="E956" s="4"/>
      <c r="H956" s="4"/>
      <c r="I956" s="4"/>
      <c r="J956" s="4"/>
    </row>
    <row r="957" ht="12.0" customHeight="1">
      <c r="C957" s="4"/>
      <c r="D957" s="4"/>
      <c r="E957" s="4"/>
      <c r="H957" s="4"/>
      <c r="I957" s="4"/>
      <c r="J957" s="4"/>
    </row>
    <row r="958" ht="12.0" customHeight="1">
      <c r="C958" s="4"/>
      <c r="D958" s="4"/>
      <c r="E958" s="4"/>
      <c r="H958" s="4"/>
      <c r="I958" s="4"/>
      <c r="J958" s="4"/>
    </row>
    <row r="959" ht="12.0" customHeight="1">
      <c r="C959" s="4"/>
      <c r="D959" s="4"/>
      <c r="E959" s="4"/>
      <c r="H959" s="4"/>
      <c r="I959" s="4"/>
      <c r="J959" s="4"/>
    </row>
    <row r="960" ht="12.0" customHeight="1">
      <c r="C960" s="4"/>
      <c r="D960" s="4"/>
      <c r="E960" s="4"/>
      <c r="H960" s="4"/>
      <c r="I960" s="4"/>
      <c r="J960" s="4"/>
    </row>
    <row r="961" ht="12.0" customHeight="1">
      <c r="C961" s="4"/>
      <c r="D961" s="4"/>
      <c r="E961" s="4"/>
      <c r="H961" s="4"/>
      <c r="I961" s="4"/>
      <c r="J961" s="4"/>
    </row>
    <row r="962" ht="12.0" customHeight="1">
      <c r="C962" s="4"/>
      <c r="D962" s="4"/>
      <c r="E962" s="4"/>
      <c r="H962" s="4"/>
      <c r="I962" s="4"/>
      <c r="J962" s="4"/>
    </row>
    <row r="963" ht="12.0" customHeight="1">
      <c r="C963" s="4"/>
      <c r="D963" s="4"/>
      <c r="E963" s="4"/>
      <c r="H963" s="4"/>
      <c r="I963" s="4"/>
      <c r="J963" s="4"/>
    </row>
    <row r="964" ht="12.0" customHeight="1">
      <c r="C964" s="4"/>
      <c r="D964" s="4"/>
      <c r="E964" s="4"/>
      <c r="H964" s="4"/>
      <c r="I964" s="4"/>
      <c r="J964" s="4"/>
    </row>
    <row r="965" ht="12.0" customHeight="1">
      <c r="C965" s="4"/>
      <c r="D965" s="4"/>
      <c r="E965" s="4"/>
      <c r="H965" s="4"/>
      <c r="I965" s="4"/>
      <c r="J965" s="4"/>
    </row>
    <row r="966" ht="12.0" customHeight="1">
      <c r="C966" s="4"/>
      <c r="D966" s="4"/>
      <c r="E966" s="4"/>
      <c r="H966" s="4"/>
      <c r="I966" s="4"/>
      <c r="J966" s="4"/>
    </row>
    <row r="967" ht="12.0" customHeight="1">
      <c r="C967" s="4"/>
      <c r="D967" s="4"/>
      <c r="E967" s="4"/>
      <c r="H967" s="4"/>
      <c r="I967" s="4"/>
      <c r="J967" s="4"/>
    </row>
    <row r="968" ht="12.0" customHeight="1">
      <c r="C968" s="4"/>
      <c r="D968" s="4"/>
      <c r="E968" s="4"/>
      <c r="H968" s="4"/>
      <c r="I968" s="4"/>
      <c r="J968" s="4"/>
    </row>
    <row r="969" ht="12.0" customHeight="1">
      <c r="C969" s="4"/>
      <c r="D969" s="4"/>
      <c r="E969" s="4"/>
      <c r="H969" s="4"/>
      <c r="I969" s="4"/>
      <c r="J969" s="4"/>
    </row>
    <row r="970" ht="12.0" customHeight="1">
      <c r="C970" s="4"/>
      <c r="D970" s="4"/>
      <c r="E970" s="4"/>
      <c r="H970" s="4"/>
      <c r="I970" s="4"/>
      <c r="J970" s="4"/>
    </row>
    <row r="971" ht="12.0" customHeight="1">
      <c r="C971" s="4"/>
      <c r="D971" s="4"/>
      <c r="E971" s="4"/>
      <c r="H971" s="4"/>
      <c r="I971" s="4"/>
      <c r="J971" s="4"/>
    </row>
    <row r="972" ht="12.0" customHeight="1">
      <c r="C972" s="4"/>
      <c r="D972" s="4"/>
      <c r="E972" s="4"/>
      <c r="H972" s="4"/>
      <c r="I972" s="4"/>
      <c r="J972" s="4"/>
    </row>
    <row r="973" ht="12.0" customHeight="1">
      <c r="C973" s="4"/>
      <c r="D973" s="4"/>
      <c r="E973" s="4"/>
      <c r="H973" s="4"/>
      <c r="I973" s="4"/>
      <c r="J973" s="4"/>
    </row>
    <row r="974" ht="12.0" customHeight="1">
      <c r="C974" s="4"/>
      <c r="D974" s="4"/>
      <c r="E974" s="4"/>
      <c r="H974" s="4"/>
      <c r="I974" s="4"/>
      <c r="J974" s="4"/>
    </row>
    <row r="975" ht="12.0" customHeight="1">
      <c r="C975" s="4"/>
      <c r="D975" s="4"/>
      <c r="E975" s="4"/>
      <c r="H975" s="4"/>
      <c r="I975" s="4"/>
      <c r="J975" s="4"/>
    </row>
    <row r="976" ht="12.0" customHeight="1">
      <c r="C976" s="4"/>
      <c r="D976" s="4"/>
      <c r="E976" s="4"/>
      <c r="H976" s="4"/>
      <c r="I976" s="4"/>
      <c r="J976" s="4"/>
    </row>
    <row r="977" ht="12.0" customHeight="1">
      <c r="C977" s="4"/>
      <c r="D977" s="4"/>
      <c r="E977" s="4"/>
      <c r="H977" s="4"/>
      <c r="I977" s="4"/>
      <c r="J977" s="4"/>
    </row>
    <row r="978" ht="12.0" customHeight="1">
      <c r="C978" s="4"/>
      <c r="D978" s="4"/>
      <c r="E978" s="4"/>
      <c r="H978" s="4"/>
      <c r="I978" s="4"/>
      <c r="J978" s="4"/>
    </row>
    <row r="979" ht="12.0" customHeight="1">
      <c r="C979" s="4"/>
      <c r="D979" s="4"/>
      <c r="E979" s="4"/>
      <c r="H979" s="4"/>
      <c r="I979" s="4"/>
      <c r="J979" s="4"/>
    </row>
    <row r="980" ht="12.0" customHeight="1">
      <c r="C980" s="4"/>
      <c r="D980" s="4"/>
      <c r="E980" s="4"/>
      <c r="H980" s="4"/>
      <c r="I980" s="4"/>
      <c r="J980" s="4"/>
    </row>
    <row r="981" ht="12.0" customHeight="1">
      <c r="C981" s="4"/>
      <c r="D981" s="4"/>
      <c r="E981" s="4"/>
      <c r="H981" s="4"/>
      <c r="I981" s="4"/>
      <c r="J981" s="4"/>
    </row>
    <row r="982" ht="12.0" customHeight="1">
      <c r="C982" s="4"/>
      <c r="D982" s="4"/>
      <c r="E982" s="4"/>
      <c r="H982" s="4"/>
      <c r="I982" s="4"/>
      <c r="J982" s="4"/>
    </row>
    <row r="983" ht="12.0" customHeight="1">
      <c r="C983" s="4"/>
      <c r="D983" s="4"/>
      <c r="E983" s="4"/>
      <c r="H983" s="4"/>
      <c r="I983" s="4"/>
      <c r="J983" s="4"/>
    </row>
    <row r="984" ht="12.0" customHeight="1">
      <c r="C984" s="4"/>
      <c r="D984" s="4"/>
      <c r="E984" s="4"/>
      <c r="H984" s="4"/>
      <c r="I984" s="4"/>
      <c r="J984" s="4"/>
    </row>
    <row r="985" ht="12.0" customHeight="1">
      <c r="C985" s="4"/>
      <c r="D985" s="4"/>
      <c r="E985" s="4"/>
      <c r="H985" s="4"/>
      <c r="I985" s="4"/>
      <c r="J985" s="4"/>
    </row>
    <row r="986" ht="12.0" customHeight="1">
      <c r="C986" s="4"/>
      <c r="D986" s="4"/>
      <c r="E986" s="4"/>
      <c r="H986" s="4"/>
      <c r="I986" s="4"/>
      <c r="J986" s="4"/>
    </row>
    <row r="987" ht="12.0" customHeight="1">
      <c r="C987" s="4"/>
      <c r="D987" s="4"/>
      <c r="E987" s="4"/>
      <c r="H987" s="4"/>
      <c r="I987" s="4"/>
      <c r="J987" s="4"/>
    </row>
    <row r="988" ht="12.0" customHeight="1">
      <c r="C988" s="4"/>
      <c r="D988" s="4"/>
      <c r="E988" s="4"/>
      <c r="H988" s="4"/>
      <c r="I988" s="4"/>
      <c r="J988" s="4"/>
    </row>
    <row r="989" ht="12.0" customHeight="1">
      <c r="C989" s="4"/>
      <c r="D989" s="4"/>
      <c r="E989" s="4"/>
      <c r="H989" s="4"/>
      <c r="I989" s="4"/>
      <c r="J989" s="4"/>
    </row>
    <row r="990" ht="12.0" customHeight="1">
      <c r="C990" s="4"/>
      <c r="D990" s="4"/>
      <c r="E990" s="4"/>
      <c r="H990" s="4"/>
      <c r="I990" s="4"/>
      <c r="J990" s="4"/>
    </row>
    <row r="991" ht="12.0" customHeight="1">
      <c r="C991" s="4"/>
      <c r="D991" s="4"/>
      <c r="E991" s="4"/>
      <c r="H991" s="4"/>
      <c r="I991" s="4"/>
      <c r="J991" s="4"/>
    </row>
    <row r="992" ht="12.0" customHeight="1">
      <c r="C992" s="4"/>
      <c r="D992" s="4"/>
      <c r="E992" s="4"/>
      <c r="H992" s="4"/>
      <c r="I992" s="4"/>
      <c r="J992" s="4"/>
    </row>
    <row r="993" ht="12.0" customHeight="1">
      <c r="C993" s="4"/>
      <c r="D993" s="4"/>
      <c r="E993" s="4"/>
      <c r="H993" s="4"/>
      <c r="I993" s="4"/>
      <c r="J993" s="4"/>
    </row>
    <row r="994" ht="12.0" customHeight="1">
      <c r="C994" s="4"/>
      <c r="D994" s="4"/>
      <c r="E994" s="4"/>
      <c r="H994" s="4"/>
      <c r="I994" s="4"/>
      <c r="J994" s="4"/>
    </row>
    <row r="995" ht="12.0" customHeight="1">
      <c r="C995" s="4"/>
      <c r="D995" s="4"/>
      <c r="E995" s="4"/>
      <c r="H995" s="4"/>
      <c r="I995" s="4"/>
      <c r="J995" s="4"/>
    </row>
    <row r="996" ht="12.0" customHeight="1">
      <c r="C996" s="4"/>
      <c r="D996" s="4"/>
      <c r="E996" s="4"/>
      <c r="H996" s="4"/>
      <c r="I996" s="4"/>
      <c r="J996" s="4"/>
    </row>
    <row r="997" ht="12.0" customHeight="1">
      <c r="C997" s="4"/>
      <c r="D997" s="4"/>
      <c r="E997" s="4"/>
      <c r="H997" s="4"/>
      <c r="I997" s="4"/>
      <c r="J997" s="4"/>
    </row>
    <row r="998" ht="12.0" customHeight="1">
      <c r="C998" s="4"/>
      <c r="D998" s="4"/>
      <c r="E998" s="4"/>
      <c r="H998" s="4"/>
      <c r="I998" s="4"/>
      <c r="J998" s="4"/>
    </row>
    <row r="999" ht="12.0" customHeight="1">
      <c r="C999" s="4"/>
      <c r="D999" s="4"/>
      <c r="E999" s="4"/>
      <c r="H999" s="4"/>
      <c r="I999" s="4"/>
      <c r="J999" s="4"/>
    </row>
    <row r="1000" ht="12.0" customHeight="1">
      <c r="C1000" s="4"/>
      <c r="D1000" s="4"/>
      <c r="E1000" s="4"/>
      <c r="H1000" s="4"/>
      <c r="I1000" s="4"/>
      <c r="J1000" s="4"/>
    </row>
  </sheetData>
  <mergeCells count="4">
    <mergeCell ref="D2:E2"/>
    <mergeCell ref="I2:J2"/>
    <mergeCell ref="D4:E4"/>
    <mergeCell ref="I4:J4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2.14"/>
    <col customWidth="1" min="3" max="3" width="15.0"/>
    <col customWidth="1" min="4" max="4" width="14.14"/>
    <col customWidth="1" min="5" max="5" width="11.14"/>
    <col customWidth="1" min="6" max="7" width="13.86"/>
    <col customWidth="1" min="8" max="8" width="3.0"/>
    <col customWidth="1" min="9" max="9" width="12.14"/>
    <col customWidth="1" min="10" max="10" width="15.0"/>
    <col customWidth="1" min="11" max="11" width="13.14"/>
    <col customWidth="1" min="12" max="12" width="11.14"/>
    <col customWidth="1" min="13" max="13" width="9.0"/>
    <col customWidth="1" min="14" max="14" width="11.0"/>
    <col customWidth="1" min="15" max="15" width="12.14"/>
    <col customWidth="1" min="16" max="16" width="9.0"/>
    <col customWidth="1" min="17" max="17" width="12.14"/>
    <col customWidth="1" min="18" max="18" width="15.0"/>
    <col customWidth="1" min="19" max="19" width="13.14"/>
    <col customWidth="1" min="20" max="20" width="11.14"/>
    <col customWidth="1" min="21" max="26" width="9.0"/>
  </cols>
  <sheetData>
    <row r="1" ht="12.0" customHeight="1">
      <c r="C1" s="4"/>
      <c r="D1" s="4"/>
      <c r="E1" s="4"/>
      <c r="F1" s="4"/>
      <c r="G1" s="4"/>
      <c r="J1" s="4"/>
      <c r="K1" s="4"/>
      <c r="L1" s="4"/>
      <c r="R1" s="4"/>
      <c r="S1" s="4"/>
      <c r="T1" s="4"/>
    </row>
    <row r="2" ht="12.0" customHeight="1">
      <c r="B2" s="248" t="s">
        <v>1004</v>
      </c>
      <c r="C2" s="249">
        <v>2.1315023939999998E8</v>
      </c>
      <c r="D2" s="250">
        <f>C2</f>
        <v>213150239.4</v>
      </c>
      <c r="E2" s="4"/>
      <c r="F2" s="4"/>
      <c r="G2" s="4"/>
      <c r="I2" s="248" t="s">
        <v>1004</v>
      </c>
      <c r="J2" s="251">
        <v>2.0531E8</v>
      </c>
      <c r="K2" s="250">
        <f>J2</f>
        <v>205310000</v>
      </c>
      <c r="L2" s="4"/>
      <c r="Q2" s="248" t="s">
        <v>1004</v>
      </c>
      <c r="R2" s="249">
        <v>2.18760351E8</v>
      </c>
      <c r="S2" s="250">
        <f>R2</f>
        <v>218760351</v>
      </c>
      <c r="T2" s="4"/>
    </row>
    <row r="3" ht="12.0" customHeight="1">
      <c r="B3" s="248" t="s">
        <v>1006</v>
      </c>
      <c r="C3" s="252">
        <v>0.05</v>
      </c>
      <c r="D3" s="171"/>
      <c r="E3" s="4"/>
      <c r="F3" s="59" t="s">
        <v>1055</v>
      </c>
      <c r="G3" s="59">
        <f>SUMIFS(C9:$C$368,$B$9:$B$368,"&lt;=72")</f>
        <v>66798018.36</v>
      </c>
      <c r="I3" s="248" t="s">
        <v>1006</v>
      </c>
      <c r="J3" s="252">
        <v>0.035</v>
      </c>
      <c r="K3" s="171"/>
      <c r="L3" s="4"/>
      <c r="Q3" s="248" t="s">
        <v>1006</v>
      </c>
      <c r="R3" s="252">
        <v>0.04</v>
      </c>
      <c r="S3" s="171"/>
      <c r="T3" s="4"/>
    </row>
    <row r="4" ht="12.0" customHeight="1">
      <c r="B4" s="248" t="s">
        <v>1008</v>
      </c>
      <c r="C4" s="253">
        <v>15.0</v>
      </c>
      <c r="D4" s="254">
        <f>C4*12</f>
        <v>180</v>
      </c>
      <c r="E4" s="4"/>
      <c r="F4" s="4" t="s">
        <v>1056</v>
      </c>
      <c r="G4" s="59">
        <f>SUMIFS(D9:$D$368,$B$9:$B$368,"&lt;=72")</f>
        <v>54563634.26</v>
      </c>
      <c r="I4" s="248" t="s">
        <v>1008</v>
      </c>
      <c r="J4" s="253">
        <v>30.0</v>
      </c>
      <c r="K4" s="254">
        <f>J4*12</f>
        <v>360</v>
      </c>
      <c r="L4" s="4"/>
      <c r="Q4" s="248" t="s">
        <v>1008</v>
      </c>
      <c r="R4" s="253">
        <v>15.0</v>
      </c>
      <c r="S4" s="254">
        <f>R4*12</f>
        <v>180</v>
      </c>
      <c r="T4" s="4"/>
    </row>
    <row r="5" ht="12.0" customHeight="1">
      <c r="B5" s="242" t="s">
        <v>1010</v>
      </c>
      <c r="C5" s="243">
        <f>E9*D4-C2</f>
        <v>90253892.14</v>
      </c>
      <c r="D5" s="4"/>
      <c r="E5" s="4"/>
      <c r="F5" s="59" t="s">
        <v>1057</v>
      </c>
      <c r="G5" s="59">
        <f>C2-SUMIFS(C9:$C$368,$B$9:$B$368,"&lt;=72")</f>
        <v>146352221</v>
      </c>
      <c r="I5" s="242" t="s">
        <v>1010</v>
      </c>
      <c r="J5" s="243">
        <f>L9*K4-J2</f>
        <v>126586113.5</v>
      </c>
      <c r="K5" s="4"/>
      <c r="L5" s="4"/>
      <c r="N5" s="242" t="s">
        <v>1010</v>
      </c>
      <c r="O5" s="243">
        <f>G4+J5</f>
        <v>181149747.7</v>
      </c>
      <c r="Q5" s="242" t="s">
        <v>1010</v>
      </c>
      <c r="R5" s="243">
        <f>T9*S4-R2</f>
        <v>72505551.43</v>
      </c>
      <c r="S5" s="4"/>
      <c r="T5" s="4"/>
    </row>
    <row r="6" ht="12.0" customHeight="1">
      <c r="B6" s="244" t="s">
        <v>1012</v>
      </c>
      <c r="C6" s="245">
        <f>E9</f>
        <v>1685578.509</v>
      </c>
      <c r="D6" s="4"/>
      <c r="E6" s="4"/>
      <c r="F6" s="4"/>
      <c r="G6" s="4"/>
      <c r="I6" s="244" t="s">
        <v>1012</v>
      </c>
      <c r="J6" s="245">
        <f>L9</f>
        <v>921933.6485</v>
      </c>
      <c r="K6" s="4"/>
      <c r="L6" s="4"/>
      <c r="N6" s="242" t="s">
        <v>1058</v>
      </c>
      <c r="O6" s="243">
        <f>C6</f>
        <v>1685578.509</v>
      </c>
      <c r="Q6" s="244" t="s">
        <v>1012</v>
      </c>
      <c r="R6" s="245">
        <f>T9</f>
        <v>1618143.902</v>
      </c>
      <c r="S6" s="4"/>
      <c r="T6" s="4"/>
    </row>
    <row r="7" ht="12.0" customHeight="1">
      <c r="C7" s="4"/>
      <c r="D7" s="4"/>
      <c r="E7" s="4"/>
      <c r="F7" s="4"/>
      <c r="G7" s="4"/>
      <c r="J7" s="4"/>
      <c r="K7" s="4"/>
      <c r="L7" s="4"/>
      <c r="R7" s="4"/>
      <c r="S7" s="4"/>
      <c r="T7" s="4"/>
    </row>
    <row r="8" ht="12.0" customHeight="1">
      <c r="B8" s="185" t="s">
        <v>1014</v>
      </c>
      <c r="C8" s="185" t="s">
        <v>1016</v>
      </c>
      <c r="D8" s="246" t="s">
        <v>1017</v>
      </c>
      <c r="E8" s="185" t="s">
        <v>1018</v>
      </c>
      <c r="F8" s="4"/>
      <c r="G8" s="4"/>
      <c r="I8" s="185" t="s">
        <v>1014</v>
      </c>
      <c r="J8" s="185" t="s">
        <v>1016</v>
      </c>
      <c r="K8" s="246" t="s">
        <v>1017</v>
      </c>
      <c r="L8" s="185" t="s">
        <v>1018</v>
      </c>
      <c r="Q8" s="185" t="s">
        <v>1014</v>
      </c>
      <c r="R8" s="185" t="s">
        <v>1016</v>
      </c>
      <c r="S8" s="246" t="s">
        <v>1017</v>
      </c>
      <c r="T8" s="185" t="s">
        <v>1018</v>
      </c>
    </row>
    <row r="9" ht="12.0" customHeight="1">
      <c r="B9" s="222">
        <v>1.0</v>
      </c>
      <c r="C9" s="222">
        <f t="shared" ref="C9:C368" si="1">IFERROR(ABS(PPMT($C$3/12,$B9,$D$4,$C$2)),0)</f>
        <v>797452.5111</v>
      </c>
      <c r="D9" s="222">
        <f t="shared" ref="D9:D368" si="2">IF(C9&gt;0,E9-C9,0)</f>
        <v>888125.9975</v>
      </c>
      <c r="E9" s="222">
        <f t="shared" ref="E9:E368" si="3">IF(C9&gt;0,$C$2*$C$3/12*(1+$C$3/12)^$D$4/((1+$C$3/12)^$D$4-1),0)</f>
        <v>1685578.509</v>
      </c>
      <c r="F9" s="4"/>
      <c r="G9" s="4"/>
      <c r="I9" s="222">
        <v>1.0</v>
      </c>
      <c r="J9" s="222">
        <f t="shared" ref="J9:J26" si="4">IFERROR(ABS(PPMT($J$3/12,$I9,$K$4,$J$2)),0)</f>
        <v>323112.8152</v>
      </c>
      <c r="K9" s="222">
        <f t="shared" ref="K9:K26" si="5">IF(J9&gt;0,L9-J9,0)</f>
        <v>598820.8333</v>
      </c>
      <c r="L9" s="222">
        <f t="shared" ref="L9:L26" si="6">IF(J9&gt;0,$J$2*$J$3/12*(1+$J$3/12)^$K$4/((1+$J$3/12)^$K$4-1),0)</f>
        <v>921933.6485</v>
      </c>
      <c r="Q9" s="222">
        <v>1.0</v>
      </c>
      <c r="R9" s="222">
        <f t="shared" ref="R9:R26" si="7">IFERROR(ABS(PPMT($R$3/12,$Q9,$S$4,$R$2)),0)</f>
        <v>888942.7324</v>
      </c>
      <c r="S9" s="222">
        <f t="shared" ref="S9:S26" si="8">IF(R9&gt;0,T9-R9,0)</f>
        <v>729201.17</v>
      </c>
      <c r="T9" s="222">
        <f t="shared" ref="T9:T26" si="9">IF(R9&gt;0,$R$2*$R$3/12*(1+$R$3/12)^$S$4/((1+$R$3/12)^$S$4-1),0)</f>
        <v>1618143.902</v>
      </c>
    </row>
    <row r="10" ht="12.0" customHeight="1">
      <c r="B10" s="222">
        <v>2.0</v>
      </c>
      <c r="C10" s="222">
        <f t="shared" si="1"/>
        <v>800775.2299</v>
      </c>
      <c r="D10" s="222">
        <f t="shared" si="2"/>
        <v>884803.2787</v>
      </c>
      <c r="E10" s="222">
        <f t="shared" si="3"/>
        <v>1685578.509</v>
      </c>
      <c r="F10" s="4"/>
      <c r="G10" s="54"/>
      <c r="I10" s="222">
        <v>2.0</v>
      </c>
      <c r="J10" s="222">
        <f t="shared" si="4"/>
        <v>324055.2276</v>
      </c>
      <c r="K10" s="222">
        <f t="shared" si="5"/>
        <v>597878.421</v>
      </c>
      <c r="L10" s="222">
        <f t="shared" si="6"/>
        <v>921933.6485</v>
      </c>
      <c r="Q10" s="222">
        <v>2.0</v>
      </c>
      <c r="R10" s="222">
        <f t="shared" si="7"/>
        <v>891905.8748</v>
      </c>
      <c r="S10" s="222">
        <f t="shared" si="8"/>
        <v>726238.0276</v>
      </c>
      <c r="T10" s="222">
        <f t="shared" si="9"/>
        <v>1618143.902</v>
      </c>
    </row>
    <row r="11" ht="12.0" customHeight="1">
      <c r="B11" s="222">
        <v>3.0</v>
      </c>
      <c r="C11" s="222">
        <f t="shared" si="1"/>
        <v>804111.7933</v>
      </c>
      <c r="D11" s="222">
        <f t="shared" si="2"/>
        <v>881466.7152</v>
      </c>
      <c r="E11" s="222">
        <f t="shared" si="3"/>
        <v>1685578.509</v>
      </c>
      <c r="F11" s="4"/>
      <c r="G11" s="4"/>
      <c r="I11" s="222">
        <v>3.0</v>
      </c>
      <c r="J11" s="222">
        <f t="shared" si="4"/>
        <v>325000.3887</v>
      </c>
      <c r="K11" s="222">
        <f t="shared" si="5"/>
        <v>596933.2599</v>
      </c>
      <c r="L11" s="222">
        <f t="shared" si="6"/>
        <v>921933.6485</v>
      </c>
      <c r="Q11" s="222">
        <v>3.0</v>
      </c>
      <c r="R11" s="222">
        <f t="shared" si="7"/>
        <v>894878.8944</v>
      </c>
      <c r="S11" s="222">
        <f t="shared" si="8"/>
        <v>723265.008</v>
      </c>
      <c r="T11" s="222">
        <f t="shared" si="9"/>
        <v>1618143.902</v>
      </c>
    </row>
    <row r="12" ht="12.0" customHeight="1">
      <c r="B12" s="222">
        <v>4.0</v>
      </c>
      <c r="C12" s="222">
        <f t="shared" si="1"/>
        <v>807462.2591</v>
      </c>
      <c r="D12" s="222">
        <f t="shared" si="2"/>
        <v>878116.2494</v>
      </c>
      <c r="E12" s="222">
        <f t="shared" si="3"/>
        <v>1685578.509</v>
      </c>
      <c r="F12" s="4"/>
      <c r="G12" s="4"/>
      <c r="I12" s="222">
        <v>4.0</v>
      </c>
      <c r="J12" s="222">
        <f t="shared" si="4"/>
        <v>325948.3065</v>
      </c>
      <c r="K12" s="222">
        <f t="shared" si="5"/>
        <v>595985.3421</v>
      </c>
      <c r="L12" s="222">
        <f t="shared" si="6"/>
        <v>921933.6485</v>
      </c>
      <c r="Q12" s="222">
        <v>4.0</v>
      </c>
      <c r="R12" s="222">
        <f t="shared" si="7"/>
        <v>897861.824</v>
      </c>
      <c r="S12" s="222">
        <f t="shared" si="8"/>
        <v>720282.0783</v>
      </c>
      <c r="T12" s="222">
        <f t="shared" si="9"/>
        <v>1618143.902</v>
      </c>
    </row>
    <row r="13" ht="12.0" customHeight="1">
      <c r="B13" s="222">
        <v>5.0</v>
      </c>
      <c r="C13" s="222">
        <f t="shared" si="1"/>
        <v>810826.6852</v>
      </c>
      <c r="D13" s="222">
        <f t="shared" si="2"/>
        <v>874751.8234</v>
      </c>
      <c r="E13" s="222">
        <f t="shared" si="3"/>
        <v>1685578.509</v>
      </c>
      <c r="F13" s="4"/>
      <c r="G13" s="4"/>
      <c r="I13" s="222">
        <v>5.0</v>
      </c>
      <c r="J13" s="222">
        <f t="shared" si="4"/>
        <v>326898.989</v>
      </c>
      <c r="K13" s="222">
        <f t="shared" si="5"/>
        <v>595034.6595</v>
      </c>
      <c r="L13" s="222">
        <f t="shared" si="6"/>
        <v>921933.6485</v>
      </c>
      <c r="Q13" s="222">
        <v>5.0</v>
      </c>
      <c r="R13" s="222">
        <f t="shared" si="7"/>
        <v>900854.6968</v>
      </c>
      <c r="S13" s="222">
        <f t="shared" si="8"/>
        <v>717289.2056</v>
      </c>
      <c r="T13" s="222">
        <f t="shared" si="9"/>
        <v>1618143.902</v>
      </c>
    </row>
    <row r="14" ht="12.0" customHeight="1">
      <c r="B14" s="222">
        <v>6.0</v>
      </c>
      <c r="C14" s="222">
        <f t="shared" si="1"/>
        <v>814205.1297</v>
      </c>
      <c r="D14" s="222">
        <f t="shared" si="2"/>
        <v>871373.3788</v>
      </c>
      <c r="E14" s="222">
        <f t="shared" si="3"/>
        <v>1685578.509</v>
      </c>
      <c r="F14" s="4"/>
      <c r="G14" s="4"/>
      <c r="I14" s="222">
        <v>6.0</v>
      </c>
      <c r="J14" s="222">
        <f t="shared" si="4"/>
        <v>327852.4444</v>
      </c>
      <c r="K14" s="222">
        <f t="shared" si="5"/>
        <v>594081.2041</v>
      </c>
      <c r="L14" s="222">
        <f t="shared" si="6"/>
        <v>921933.6485</v>
      </c>
      <c r="Q14" s="222">
        <v>6.0</v>
      </c>
      <c r="R14" s="222">
        <f t="shared" si="7"/>
        <v>903857.5458</v>
      </c>
      <c r="S14" s="222">
        <f t="shared" si="8"/>
        <v>714286.3566</v>
      </c>
      <c r="T14" s="222">
        <f t="shared" si="9"/>
        <v>1618143.902</v>
      </c>
    </row>
    <row r="15" ht="12.0" customHeight="1">
      <c r="B15" s="222">
        <v>7.0</v>
      </c>
      <c r="C15" s="222">
        <f t="shared" si="1"/>
        <v>817597.6511</v>
      </c>
      <c r="D15" s="222">
        <f t="shared" si="2"/>
        <v>867980.8575</v>
      </c>
      <c r="E15" s="222">
        <f t="shared" si="3"/>
        <v>1685578.509</v>
      </c>
      <c r="F15" s="4"/>
      <c r="G15" s="4"/>
      <c r="I15" s="222">
        <v>12.0</v>
      </c>
      <c r="J15" s="222">
        <f t="shared" si="4"/>
        <v>333631.8606</v>
      </c>
      <c r="K15" s="222">
        <f t="shared" si="5"/>
        <v>588301.788</v>
      </c>
      <c r="L15" s="222">
        <f t="shared" si="6"/>
        <v>921933.6485</v>
      </c>
      <c r="Q15" s="222">
        <v>12.0</v>
      </c>
      <c r="R15" s="222">
        <f t="shared" si="7"/>
        <v>922086.0108</v>
      </c>
      <c r="S15" s="222">
        <f t="shared" si="8"/>
        <v>696057.8916</v>
      </c>
      <c r="T15" s="222">
        <f t="shared" si="9"/>
        <v>1618143.902</v>
      </c>
    </row>
    <row r="16" ht="12.0" customHeight="1">
      <c r="B16" s="222">
        <v>8.0</v>
      </c>
      <c r="C16" s="222">
        <f t="shared" si="1"/>
        <v>821004.308</v>
      </c>
      <c r="D16" s="222">
        <f t="shared" si="2"/>
        <v>864574.2006</v>
      </c>
      <c r="E16" s="222">
        <f t="shared" si="3"/>
        <v>1685578.509</v>
      </c>
      <c r="F16" s="4"/>
      <c r="G16" s="4"/>
      <c r="I16" s="222">
        <f>12*2</f>
        <v>24</v>
      </c>
      <c r="J16" s="222">
        <f t="shared" si="4"/>
        <v>345498.1293</v>
      </c>
      <c r="K16" s="222">
        <f t="shared" si="5"/>
        <v>576435.5193</v>
      </c>
      <c r="L16" s="222">
        <f t="shared" si="6"/>
        <v>921933.6485</v>
      </c>
      <c r="Q16" s="222">
        <f>12*2</f>
        <v>24</v>
      </c>
      <c r="R16" s="222">
        <f t="shared" si="7"/>
        <v>959653.2176</v>
      </c>
      <c r="S16" s="222">
        <f t="shared" si="8"/>
        <v>658490.6848</v>
      </c>
      <c r="T16" s="222">
        <f t="shared" si="9"/>
        <v>1618143.902</v>
      </c>
    </row>
    <row r="17" ht="12.0" customHeight="1">
      <c r="B17" s="222">
        <v>9.0</v>
      </c>
      <c r="C17" s="222">
        <f t="shared" si="1"/>
        <v>824425.1593</v>
      </c>
      <c r="D17" s="222">
        <f t="shared" si="2"/>
        <v>861153.3493</v>
      </c>
      <c r="E17" s="222">
        <f t="shared" si="3"/>
        <v>1685578.509</v>
      </c>
      <c r="F17" s="4"/>
      <c r="G17" s="4"/>
      <c r="I17" s="222">
        <f>12*3</f>
        <v>36</v>
      </c>
      <c r="J17" s="222">
        <f t="shared" si="4"/>
        <v>357786.445</v>
      </c>
      <c r="K17" s="222">
        <f t="shared" si="5"/>
        <v>564147.2036</v>
      </c>
      <c r="L17" s="222">
        <f t="shared" si="6"/>
        <v>921933.6485</v>
      </c>
      <c r="Q17" s="222">
        <f>12*3</f>
        <v>36</v>
      </c>
      <c r="R17" s="222">
        <f t="shared" si="7"/>
        <v>998750.9704</v>
      </c>
      <c r="S17" s="222">
        <f t="shared" si="8"/>
        <v>619392.932</v>
      </c>
      <c r="T17" s="222">
        <f t="shared" si="9"/>
        <v>1618143.902</v>
      </c>
    </row>
    <row r="18" ht="12.0" customHeight="1">
      <c r="B18" s="222">
        <v>10.0</v>
      </c>
      <c r="C18" s="222">
        <f t="shared" si="1"/>
        <v>827860.2641</v>
      </c>
      <c r="D18" s="222">
        <f t="shared" si="2"/>
        <v>857718.2445</v>
      </c>
      <c r="E18" s="222">
        <f t="shared" si="3"/>
        <v>1685578.509</v>
      </c>
      <c r="F18" s="4"/>
      <c r="G18" s="4"/>
      <c r="I18" s="222">
        <f>12*4</f>
        <v>48</v>
      </c>
      <c r="J18" s="222">
        <f t="shared" si="4"/>
        <v>370511.8186</v>
      </c>
      <c r="K18" s="222">
        <f t="shared" si="5"/>
        <v>551421.8299</v>
      </c>
      <c r="L18" s="222">
        <f t="shared" si="6"/>
        <v>921933.6485</v>
      </c>
      <c r="Q18" s="222">
        <f>12*4</f>
        <v>48</v>
      </c>
      <c r="R18" s="222">
        <f t="shared" si="7"/>
        <v>1039441.626</v>
      </c>
      <c r="S18" s="222">
        <f t="shared" si="8"/>
        <v>578702.2765</v>
      </c>
      <c r="T18" s="222">
        <f t="shared" si="9"/>
        <v>1618143.902</v>
      </c>
    </row>
    <row r="19" ht="12.0" customHeight="1">
      <c r="B19" s="222">
        <v>11.0</v>
      </c>
      <c r="C19" s="222">
        <f t="shared" si="1"/>
        <v>831309.6819</v>
      </c>
      <c r="D19" s="222">
        <f t="shared" si="2"/>
        <v>854268.8267</v>
      </c>
      <c r="E19" s="222">
        <f t="shared" si="3"/>
        <v>1685578.509</v>
      </c>
      <c r="F19" s="4"/>
      <c r="G19" s="4"/>
      <c r="I19" s="222">
        <f>12*5</f>
        <v>60</v>
      </c>
      <c r="J19" s="222">
        <f t="shared" si="4"/>
        <v>383689.795</v>
      </c>
      <c r="K19" s="222">
        <f t="shared" si="5"/>
        <v>538243.8535</v>
      </c>
      <c r="L19" s="222">
        <f t="shared" si="6"/>
        <v>921933.6485</v>
      </c>
      <c r="Q19" s="222">
        <f>12*5</f>
        <v>60</v>
      </c>
      <c r="R19" s="222">
        <f t="shared" si="7"/>
        <v>1081790.081</v>
      </c>
      <c r="S19" s="222">
        <f t="shared" si="8"/>
        <v>536353.8209</v>
      </c>
      <c r="T19" s="222">
        <f t="shared" si="9"/>
        <v>1618143.902</v>
      </c>
    </row>
    <row r="20" ht="12.0" customHeight="1">
      <c r="B20" s="222">
        <v>12.0</v>
      </c>
      <c r="C20" s="222">
        <f t="shared" si="1"/>
        <v>834773.4722</v>
      </c>
      <c r="D20" s="222">
        <f t="shared" si="2"/>
        <v>850805.0364</v>
      </c>
      <c r="E20" s="222">
        <f t="shared" si="3"/>
        <v>1685578.509</v>
      </c>
      <c r="F20" s="4"/>
      <c r="G20" s="4"/>
      <c r="I20" s="222">
        <f>12*6</f>
        <v>72</v>
      </c>
      <c r="J20" s="222">
        <f t="shared" si="4"/>
        <v>397336.4719</v>
      </c>
      <c r="K20" s="222">
        <f t="shared" si="5"/>
        <v>524597.1766</v>
      </c>
      <c r="L20" s="222">
        <f t="shared" si="6"/>
        <v>921933.6485</v>
      </c>
      <c r="Q20" s="222">
        <f>12*6</f>
        <v>72</v>
      </c>
      <c r="R20" s="222">
        <f t="shared" si="7"/>
        <v>1125863.879</v>
      </c>
      <c r="S20" s="222">
        <f t="shared" si="8"/>
        <v>492280.0238</v>
      </c>
      <c r="T20" s="222">
        <f t="shared" si="9"/>
        <v>1618143.902</v>
      </c>
    </row>
    <row r="21" ht="12.0" customHeight="1">
      <c r="B21" s="222">
        <v>13.0</v>
      </c>
      <c r="C21" s="222">
        <f t="shared" si="1"/>
        <v>838251.695</v>
      </c>
      <c r="D21" s="222">
        <f t="shared" si="2"/>
        <v>847326.8136</v>
      </c>
      <c r="E21" s="222">
        <f t="shared" si="3"/>
        <v>1685578.509</v>
      </c>
      <c r="F21" s="4"/>
      <c r="G21" s="4"/>
      <c r="I21" s="222">
        <f>12*7</f>
        <v>84</v>
      </c>
      <c r="J21" s="222">
        <f t="shared" si="4"/>
        <v>411468.5195</v>
      </c>
      <c r="K21" s="222">
        <f t="shared" si="5"/>
        <v>510465.129</v>
      </c>
      <c r="L21" s="222">
        <f t="shared" si="6"/>
        <v>921933.6485</v>
      </c>
      <c r="Q21" s="222">
        <f>12*7</f>
        <v>84</v>
      </c>
      <c r="R21" s="222">
        <f t="shared" si="7"/>
        <v>1171733.31</v>
      </c>
      <c r="S21" s="222">
        <f t="shared" si="8"/>
        <v>446410.5923</v>
      </c>
      <c r="T21" s="222">
        <f t="shared" si="9"/>
        <v>1618143.902</v>
      </c>
    </row>
    <row r="22" ht="12.0" customHeight="1">
      <c r="B22" s="222">
        <v>14.0</v>
      </c>
      <c r="C22" s="222">
        <f t="shared" si="1"/>
        <v>841744.4104</v>
      </c>
      <c r="D22" s="222">
        <f t="shared" si="2"/>
        <v>843834.0982</v>
      </c>
      <c r="E22" s="222">
        <f t="shared" si="3"/>
        <v>1685578.509</v>
      </c>
      <c r="F22" s="4"/>
      <c r="G22" s="4"/>
      <c r="I22" s="222">
        <f>12*8</f>
        <v>96</v>
      </c>
      <c r="J22" s="222">
        <f t="shared" si="4"/>
        <v>426103.201</v>
      </c>
      <c r="K22" s="222">
        <f t="shared" si="5"/>
        <v>495830.4475</v>
      </c>
      <c r="L22" s="222">
        <f t="shared" si="6"/>
        <v>921933.6485</v>
      </c>
      <c r="Q22" s="222">
        <f>12*8</f>
        <v>96</v>
      </c>
      <c r="R22" s="222">
        <f t="shared" si="7"/>
        <v>1219471.533</v>
      </c>
      <c r="S22" s="222">
        <f t="shared" si="8"/>
        <v>398672.3694</v>
      </c>
      <c r="T22" s="222">
        <f t="shared" si="9"/>
        <v>1618143.902</v>
      </c>
    </row>
    <row r="23" ht="12.0" customHeight="1">
      <c r="B23" s="222">
        <v>15.0</v>
      </c>
      <c r="C23" s="222">
        <f t="shared" si="1"/>
        <v>845251.6788</v>
      </c>
      <c r="D23" s="222">
        <f t="shared" si="2"/>
        <v>840326.8298</v>
      </c>
      <c r="E23" s="222">
        <f t="shared" si="3"/>
        <v>1685578.509</v>
      </c>
      <c r="F23" s="4"/>
      <c r="G23" s="4"/>
      <c r="I23" s="222">
        <f>12*9</f>
        <v>108</v>
      </c>
      <c r="J23" s="222">
        <f t="shared" si="4"/>
        <v>441258.3935</v>
      </c>
      <c r="K23" s="222">
        <f t="shared" si="5"/>
        <v>480675.255</v>
      </c>
      <c r="L23" s="222">
        <f t="shared" si="6"/>
        <v>921933.6485</v>
      </c>
      <c r="Q23" s="222">
        <f>12*9</f>
        <v>108</v>
      </c>
      <c r="R23" s="222">
        <f t="shared" si="7"/>
        <v>1269154.685</v>
      </c>
      <c r="S23" s="222">
        <f t="shared" si="8"/>
        <v>348989.2176</v>
      </c>
      <c r="T23" s="222">
        <f t="shared" si="9"/>
        <v>1618143.902</v>
      </c>
    </row>
    <row r="24" ht="12.0" customHeight="1">
      <c r="B24" s="222">
        <v>16.0</v>
      </c>
      <c r="C24" s="222">
        <f t="shared" si="1"/>
        <v>848773.5608</v>
      </c>
      <c r="D24" s="222">
        <f t="shared" si="2"/>
        <v>836804.9478</v>
      </c>
      <c r="E24" s="222">
        <f t="shared" si="3"/>
        <v>1685578.509</v>
      </c>
      <c r="F24" s="4"/>
      <c r="G24" s="4"/>
      <c r="I24" s="222">
        <f>12*10</f>
        <v>120</v>
      </c>
      <c r="J24" s="222">
        <f t="shared" si="4"/>
        <v>456952.61</v>
      </c>
      <c r="K24" s="222">
        <f t="shared" si="5"/>
        <v>464981.0385</v>
      </c>
      <c r="L24" s="222">
        <f t="shared" si="6"/>
        <v>921933.6485</v>
      </c>
      <c r="Q24" s="222">
        <f>12*10</f>
        <v>120</v>
      </c>
      <c r="R24" s="222">
        <f t="shared" si="7"/>
        <v>1320862.005</v>
      </c>
      <c r="S24" s="222">
        <f t="shared" si="8"/>
        <v>297281.8975</v>
      </c>
      <c r="T24" s="222">
        <f t="shared" si="9"/>
        <v>1618143.902</v>
      </c>
    </row>
    <row r="25" ht="12.0" customHeight="1">
      <c r="B25" s="222">
        <v>17.0</v>
      </c>
      <c r="C25" s="222">
        <f t="shared" si="1"/>
        <v>852310.1173</v>
      </c>
      <c r="D25" s="222">
        <f t="shared" si="2"/>
        <v>833268.3913</v>
      </c>
      <c r="E25" s="222">
        <f t="shared" si="3"/>
        <v>1685578.509</v>
      </c>
      <c r="F25" s="4"/>
      <c r="G25" s="4"/>
      <c r="I25" s="222">
        <f>12*12</f>
        <v>144</v>
      </c>
      <c r="J25" s="222">
        <f t="shared" si="4"/>
        <v>490035.4827</v>
      </c>
      <c r="K25" s="222">
        <f t="shared" si="5"/>
        <v>431898.1658</v>
      </c>
      <c r="L25" s="222">
        <f t="shared" si="6"/>
        <v>921933.6485</v>
      </c>
      <c r="Q25" s="222">
        <f>12*12</f>
        <v>144</v>
      </c>
      <c r="R25" s="222">
        <f t="shared" si="7"/>
        <v>1430682.381</v>
      </c>
      <c r="S25" s="222">
        <f t="shared" si="8"/>
        <v>187461.5218</v>
      </c>
      <c r="T25" s="222">
        <f t="shared" si="9"/>
        <v>1618143.902</v>
      </c>
    </row>
    <row r="26" ht="12.0" customHeight="1">
      <c r="B26" s="222">
        <v>18.0</v>
      </c>
      <c r="C26" s="222">
        <f t="shared" si="1"/>
        <v>855861.4094</v>
      </c>
      <c r="D26" s="222">
        <f t="shared" si="2"/>
        <v>829717.0991</v>
      </c>
      <c r="E26" s="222">
        <f t="shared" si="3"/>
        <v>1685578.509</v>
      </c>
      <c r="F26" s="4"/>
      <c r="G26" s="4"/>
      <c r="I26" s="222">
        <f>12*15</f>
        <v>180</v>
      </c>
      <c r="J26" s="222">
        <f t="shared" si="4"/>
        <v>544204.4342</v>
      </c>
      <c r="K26" s="222">
        <f t="shared" si="5"/>
        <v>377729.2144</v>
      </c>
      <c r="L26" s="222">
        <f t="shared" si="6"/>
        <v>921933.6485</v>
      </c>
      <c r="Q26" s="222">
        <f>12*15</f>
        <v>180</v>
      </c>
      <c r="R26" s="222">
        <f t="shared" si="7"/>
        <v>1612768.009</v>
      </c>
      <c r="S26" s="222">
        <f t="shared" si="8"/>
        <v>5375.893363</v>
      </c>
      <c r="T26" s="222">
        <f t="shared" si="9"/>
        <v>1618143.902</v>
      </c>
    </row>
    <row r="27" ht="12.0" customHeight="1">
      <c r="B27" s="222">
        <v>19.0</v>
      </c>
      <c r="C27" s="222">
        <f t="shared" si="1"/>
        <v>859427.4986</v>
      </c>
      <c r="D27" s="222">
        <f t="shared" si="2"/>
        <v>826151.0099</v>
      </c>
      <c r="E27" s="222">
        <f t="shared" si="3"/>
        <v>1685578.509</v>
      </c>
      <c r="F27" s="4"/>
      <c r="G27" s="4"/>
      <c r="J27" s="4"/>
      <c r="K27" s="4"/>
      <c r="L27" s="4"/>
      <c r="R27" s="4"/>
      <c r="S27" s="4"/>
      <c r="T27" s="4"/>
    </row>
    <row r="28" ht="12.0" customHeight="1">
      <c r="B28" s="222">
        <v>20.0</v>
      </c>
      <c r="C28" s="222">
        <f t="shared" si="1"/>
        <v>863008.4465</v>
      </c>
      <c r="D28" s="222">
        <f t="shared" si="2"/>
        <v>822570.062</v>
      </c>
      <c r="E28" s="222">
        <f t="shared" si="3"/>
        <v>1685578.509</v>
      </c>
      <c r="F28" s="4"/>
      <c r="G28" s="4"/>
      <c r="J28" s="4"/>
      <c r="K28" s="4"/>
      <c r="L28" s="4"/>
      <c r="R28" s="4"/>
      <c r="S28" s="4"/>
      <c r="T28" s="4"/>
    </row>
    <row r="29" ht="12.0" customHeight="1">
      <c r="B29" s="222">
        <v>21.0</v>
      </c>
      <c r="C29" s="222">
        <f t="shared" si="1"/>
        <v>866604.3151</v>
      </c>
      <c r="D29" s="222">
        <f t="shared" si="2"/>
        <v>818974.1935</v>
      </c>
      <c r="E29" s="222">
        <f t="shared" si="3"/>
        <v>1685578.509</v>
      </c>
      <c r="F29" s="4"/>
      <c r="G29" s="4"/>
      <c r="J29" s="4"/>
      <c r="K29" s="4"/>
      <c r="L29" s="4"/>
      <c r="R29" s="4"/>
      <c r="S29" s="4"/>
      <c r="T29" s="4"/>
    </row>
    <row r="30" ht="12.0" customHeight="1">
      <c r="B30" s="222">
        <v>22.0</v>
      </c>
      <c r="C30" s="222">
        <f t="shared" si="1"/>
        <v>870215.1664</v>
      </c>
      <c r="D30" s="222">
        <f t="shared" si="2"/>
        <v>815363.3422</v>
      </c>
      <c r="E30" s="222">
        <f t="shared" si="3"/>
        <v>1685578.509</v>
      </c>
      <c r="F30" s="4"/>
      <c r="G30" s="4"/>
      <c r="J30" s="4"/>
      <c r="K30" s="4"/>
      <c r="L30" s="4"/>
      <c r="R30" s="4"/>
      <c r="S30" s="4"/>
      <c r="T30" s="4"/>
    </row>
    <row r="31" ht="12.0" customHeight="1">
      <c r="B31" s="222">
        <v>23.0</v>
      </c>
      <c r="C31" s="222">
        <f t="shared" si="1"/>
        <v>873841.0629</v>
      </c>
      <c r="D31" s="222">
        <f t="shared" si="2"/>
        <v>811737.4457</v>
      </c>
      <c r="E31" s="222">
        <f t="shared" si="3"/>
        <v>1685578.509</v>
      </c>
      <c r="F31" s="4"/>
      <c r="G31" s="4"/>
      <c r="J31" s="4"/>
      <c r="K31" s="4"/>
      <c r="L31" s="4"/>
      <c r="R31" s="4"/>
      <c r="S31" s="4"/>
      <c r="T31" s="4"/>
    </row>
    <row r="32" ht="12.0" customHeight="1">
      <c r="B32" s="222">
        <v>24.0</v>
      </c>
      <c r="C32" s="222">
        <f t="shared" si="1"/>
        <v>877482.0673</v>
      </c>
      <c r="D32" s="222">
        <f t="shared" si="2"/>
        <v>808096.4412</v>
      </c>
      <c r="E32" s="222">
        <f t="shared" si="3"/>
        <v>1685578.509</v>
      </c>
      <c r="F32" s="4"/>
      <c r="G32" s="4"/>
      <c r="J32" s="4"/>
      <c r="K32" s="4"/>
      <c r="L32" s="4"/>
      <c r="R32" s="4"/>
      <c r="S32" s="4"/>
      <c r="T32" s="4"/>
    </row>
    <row r="33" ht="12.0" customHeight="1">
      <c r="B33" s="222">
        <v>25.0</v>
      </c>
      <c r="C33" s="222">
        <f t="shared" si="1"/>
        <v>881138.2426</v>
      </c>
      <c r="D33" s="222">
        <f t="shared" si="2"/>
        <v>804440.2659</v>
      </c>
      <c r="E33" s="222">
        <f t="shared" si="3"/>
        <v>1685578.509</v>
      </c>
      <c r="F33" s="4"/>
      <c r="G33" s="4"/>
      <c r="J33" s="4"/>
      <c r="K33" s="4"/>
      <c r="L33" s="4"/>
      <c r="R33" s="4"/>
      <c r="S33" s="4"/>
      <c r="T33" s="4"/>
    </row>
    <row r="34" ht="12.0" customHeight="1">
      <c r="B34" s="222">
        <v>26.0</v>
      </c>
      <c r="C34" s="222">
        <f t="shared" si="1"/>
        <v>884809.652</v>
      </c>
      <c r="D34" s="222">
        <f t="shared" si="2"/>
        <v>800768.8566</v>
      </c>
      <c r="E34" s="222">
        <f t="shared" si="3"/>
        <v>1685578.509</v>
      </c>
      <c r="F34" s="4"/>
      <c r="G34" s="4"/>
      <c r="J34" s="4"/>
      <c r="K34" s="4"/>
      <c r="L34" s="4"/>
      <c r="R34" s="4"/>
      <c r="S34" s="4"/>
      <c r="T34" s="4"/>
    </row>
    <row r="35" ht="12.0" customHeight="1">
      <c r="B35" s="222">
        <v>27.0</v>
      </c>
      <c r="C35" s="222">
        <f t="shared" si="1"/>
        <v>888496.3588</v>
      </c>
      <c r="D35" s="222">
        <f t="shared" si="2"/>
        <v>797082.1497</v>
      </c>
      <c r="E35" s="222">
        <f t="shared" si="3"/>
        <v>1685578.509</v>
      </c>
      <c r="F35" s="4"/>
      <c r="G35" s="4"/>
      <c r="J35" s="4"/>
      <c r="K35" s="4"/>
      <c r="L35" s="4"/>
      <c r="R35" s="4"/>
      <c r="S35" s="4"/>
      <c r="T35" s="4"/>
    </row>
    <row r="36" ht="12.0" customHeight="1">
      <c r="B36" s="222">
        <v>28.0</v>
      </c>
      <c r="C36" s="222">
        <f t="shared" si="1"/>
        <v>892198.427</v>
      </c>
      <c r="D36" s="222">
        <f t="shared" si="2"/>
        <v>793380.0816</v>
      </c>
      <c r="E36" s="222">
        <f t="shared" si="3"/>
        <v>1685578.509</v>
      </c>
      <c r="F36" s="4"/>
      <c r="G36" s="4"/>
      <c r="J36" s="4"/>
      <c r="K36" s="4"/>
      <c r="L36" s="4"/>
      <c r="R36" s="4"/>
      <c r="S36" s="4"/>
      <c r="T36" s="4"/>
    </row>
    <row r="37" ht="12.0" customHeight="1">
      <c r="B37" s="222">
        <v>29.0</v>
      </c>
      <c r="C37" s="222">
        <f t="shared" si="1"/>
        <v>895915.9204</v>
      </c>
      <c r="D37" s="222">
        <f t="shared" si="2"/>
        <v>789662.5881</v>
      </c>
      <c r="E37" s="222">
        <f t="shared" si="3"/>
        <v>1685578.509</v>
      </c>
      <c r="F37" s="4"/>
      <c r="G37" s="4"/>
      <c r="J37" s="4"/>
      <c r="K37" s="4"/>
      <c r="L37" s="4"/>
      <c r="R37" s="4"/>
      <c r="S37" s="4"/>
      <c r="T37" s="4"/>
    </row>
    <row r="38" ht="12.0" customHeight="1">
      <c r="B38" s="222">
        <v>30.0</v>
      </c>
      <c r="C38" s="222">
        <f t="shared" si="1"/>
        <v>899648.9035</v>
      </c>
      <c r="D38" s="222">
        <f t="shared" si="2"/>
        <v>785929.6051</v>
      </c>
      <c r="E38" s="222">
        <f t="shared" si="3"/>
        <v>1685578.509</v>
      </c>
      <c r="F38" s="4"/>
      <c r="G38" s="4"/>
      <c r="J38" s="4"/>
      <c r="K38" s="4"/>
      <c r="L38" s="4"/>
      <c r="R38" s="4"/>
      <c r="S38" s="4"/>
      <c r="T38" s="4"/>
    </row>
    <row r="39" ht="12.0" customHeight="1">
      <c r="B39" s="222">
        <v>31.0</v>
      </c>
      <c r="C39" s="222">
        <f t="shared" si="1"/>
        <v>903397.4405</v>
      </c>
      <c r="D39" s="222">
        <f t="shared" si="2"/>
        <v>782181.068</v>
      </c>
      <c r="E39" s="222">
        <f t="shared" si="3"/>
        <v>1685578.509</v>
      </c>
      <c r="F39" s="4"/>
      <c r="G39" s="4"/>
      <c r="J39" s="4"/>
      <c r="K39" s="4"/>
      <c r="L39" s="4"/>
      <c r="R39" s="4"/>
      <c r="S39" s="4"/>
      <c r="T39" s="4"/>
    </row>
    <row r="40" ht="12.0" customHeight="1">
      <c r="B40" s="222">
        <v>32.0</v>
      </c>
      <c r="C40" s="222">
        <f t="shared" si="1"/>
        <v>907161.5966</v>
      </c>
      <c r="D40" s="222">
        <f t="shared" si="2"/>
        <v>778416.912</v>
      </c>
      <c r="E40" s="222">
        <f t="shared" si="3"/>
        <v>1685578.509</v>
      </c>
      <c r="F40" s="4"/>
      <c r="G40" s="4"/>
      <c r="J40" s="4"/>
      <c r="K40" s="4"/>
      <c r="L40" s="4"/>
      <c r="R40" s="4"/>
      <c r="S40" s="4"/>
      <c r="T40" s="4"/>
    </row>
    <row r="41" ht="12.0" customHeight="1">
      <c r="B41" s="222">
        <v>33.0</v>
      </c>
      <c r="C41" s="222">
        <f t="shared" si="1"/>
        <v>910941.4365</v>
      </c>
      <c r="D41" s="222">
        <f t="shared" si="2"/>
        <v>774637.072</v>
      </c>
      <c r="E41" s="222">
        <f t="shared" si="3"/>
        <v>1685578.509</v>
      </c>
      <c r="F41" s="4"/>
      <c r="G41" s="4"/>
      <c r="J41" s="4"/>
      <c r="K41" s="4"/>
      <c r="L41" s="4"/>
      <c r="R41" s="4"/>
      <c r="S41" s="4"/>
      <c r="T41" s="4"/>
    </row>
    <row r="42" ht="12.0" customHeight="1">
      <c r="B42" s="222">
        <v>34.0</v>
      </c>
      <c r="C42" s="222">
        <f t="shared" si="1"/>
        <v>914737.0259</v>
      </c>
      <c r="D42" s="222">
        <f t="shared" si="2"/>
        <v>770841.4827</v>
      </c>
      <c r="E42" s="222">
        <f t="shared" si="3"/>
        <v>1685578.509</v>
      </c>
      <c r="F42" s="4"/>
      <c r="G42" s="4"/>
      <c r="J42" s="4"/>
      <c r="K42" s="4"/>
      <c r="L42" s="4"/>
      <c r="R42" s="4"/>
      <c r="S42" s="4"/>
      <c r="T42" s="4"/>
    </row>
    <row r="43" ht="12.0" customHeight="1">
      <c r="B43" s="222">
        <v>35.0</v>
      </c>
      <c r="C43" s="222">
        <f t="shared" si="1"/>
        <v>918548.4301</v>
      </c>
      <c r="D43" s="222">
        <f t="shared" si="2"/>
        <v>767030.0784</v>
      </c>
      <c r="E43" s="222">
        <f t="shared" si="3"/>
        <v>1685578.509</v>
      </c>
      <c r="F43" s="4"/>
      <c r="G43" s="4"/>
      <c r="J43" s="4"/>
      <c r="K43" s="4"/>
      <c r="L43" s="4"/>
      <c r="R43" s="4"/>
      <c r="S43" s="4"/>
      <c r="T43" s="4"/>
    </row>
    <row r="44" ht="12.0" customHeight="1">
      <c r="B44" s="222">
        <v>36.0</v>
      </c>
      <c r="C44" s="222">
        <f t="shared" si="1"/>
        <v>922375.7153</v>
      </c>
      <c r="D44" s="222">
        <f t="shared" si="2"/>
        <v>763202.7933</v>
      </c>
      <c r="E44" s="222">
        <f t="shared" si="3"/>
        <v>1685578.509</v>
      </c>
      <c r="F44" s="4"/>
      <c r="G44" s="4"/>
      <c r="J44" s="4"/>
      <c r="K44" s="4"/>
      <c r="L44" s="4"/>
      <c r="R44" s="4"/>
      <c r="S44" s="4"/>
      <c r="T44" s="4"/>
    </row>
    <row r="45" ht="12.0" customHeight="1">
      <c r="B45" s="222">
        <v>37.0</v>
      </c>
      <c r="C45" s="222">
        <f t="shared" si="1"/>
        <v>926218.9474</v>
      </c>
      <c r="D45" s="222">
        <f t="shared" si="2"/>
        <v>759359.5612</v>
      </c>
      <c r="E45" s="222">
        <f t="shared" si="3"/>
        <v>1685578.509</v>
      </c>
      <c r="F45" s="4"/>
      <c r="G45" s="4"/>
      <c r="J45" s="4"/>
      <c r="K45" s="4"/>
      <c r="L45" s="4"/>
      <c r="R45" s="4"/>
      <c r="S45" s="4"/>
      <c r="T45" s="4"/>
    </row>
    <row r="46" ht="12.0" customHeight="1">
      <c r="B46" s="222">
        <v>38.0</v>
      </c>
      <c r="C46" s="222">
        <f t="shared" si="1"/>
        <v>930078.193</v>
      </c>
      <c r="D46" s="222">
        <f t="shared" si="2"/>
        <v>755500.3155</v>
      </c>
      <c r="E46" s="222">
        <f t="shared" si="3"/>
        <v>1685578.509</v>
      </c>
      <c r="F46" s="4"/>
      <c r="G46" s="4"/>
      <c r="J46" s="4"/>
      <c r="K46" s="4"/>
      <c r="L46" s="4"/>
      <c r="R46" s="4"/>
      <c r="S46" s="4"/>
      <c r="T46" s="4"/>
    </row>
    <row r="47" ht="12.0" customHeight="1">
      <c r="B47" s="222">
        <v>39.0</v>
      </c>
      <c r="C47" s="222">
        <f t="shared" si="1"/>
        <v>933953.5188</v>
      </c>
      <c r="D47" s="222">
        <f t="shared" si="2"/>
        <v>751624.9897</v>
      </c>
      <c r="E47" s="222">
        <f t="shared" si="3"/>
        <v>1685578.509</v>
      </c>
      <c r="F47" s="4"/>
      <c r="G47" s="4"/>
      <c r="J47" s="4"/>
      <c r="K47" s="4"/>
      <c r="L47" s="4"/>
      <c r="R47" s="4"/>
      <c r="S47" s="4"/>
      <c r="T47" s="4"/>
    </row>
    <row r="48" ht="12.0" customHeight="1">
      <c r="B48" s="222">
        <v>40.0</v>
      </c>
      <c r="C48" s="222">
        <f t="shared" si="1"/>
        <v>937844.9918</v>
      </c>
      <c r="D48" s="222">
        <f t="shared" si="2"/>
        <v>747733.5167</v>
      </c>
      <c r="E48" s="222">
        <f t="shared" si="3"/>
        <v>1685578.509</v>
      </c>
      <c r="F48" s="4"/>
      <c r="G48" s="4"/>
      <c r="J48" s="4"/>
      <c r="K48" s="4"/>
      <c r="L48" s="4"/>
      <c r="R48" s="4"/>
      <c r="S48" s="4"/>
      <c r="T48" s="4"/>
    </row>
    <row r="49" ht="12.0" customHeight="1">
      <c r="B49" s="222">
        <v>41.0</v>
      </c>
      <c r="C49" s="222">
        <f t="shared" si="1"/>
        <v>941752.6793</v>
      </c>
      <c r="D49" s="222">
        <f t="shared" si="2"/>
        <v>743825.8293</v>
      </c>
      <c r="E49" s="222">
        <f t="shared" si="3"/>
        <v>1685578.509</v>
      </c>
      <c r="F49" s="4"/>
      <c r="G49" s="4"/>
      <c r="J49" s="4"/>
      <c r="K49" s="4"/>
      <c r="L49" s="4"/>
      <c r="R49" s="4"/>
      <c r="S49" s="4"/>
      <c r="T49" s="4"/>
    </row>
    <row r="50" ht="12.0" customHeight="1">
      <c r="B50" s="222">
        <v>42.0</v>
      </c>
      <c r="C50" s="222">
        <f t="shared" si="1"/>
        <v>945676.6488</v>
      </c>
      <c r="D50" s="222">
        <f t="shared" si="2"/>
        <v>739901.8598</v>
      </c>
      <c r="E50" s="222">
        <f t="shared" si="3"/>
        <v>1685578.509</v>
      </c>
      <c r="F50" s="4"/>
      <c r="G50" s="4"/>
      <c r="J50" s="4"/>
      <c r="K50" s="4"/>
      <c r="L50" s="4"/>
      <c r="R50" s="4"/>
      <c r="S50" s="4"/>
      <c r="T50" s="4"/>
    </row>
    <row r="51" ht="12.0" customHeight="1">
      <c r="B51" s="222">
        <v>43.0</v>
      </c>
      <c r="C51" s="222">
        <f t="shared" si="1"/>
        <v>949616.9681</v>
      </c>
      <c r="D51" s="222">
        <f t="shared" si="2"/>
        <v>735961.5404</v>
      </c>
      <c r="E51" s="222">
        <f t="shared" si="3"/>
        <v>1685578.509</v>
      </c>
      <c r="F51" s="4"/>
      <c r="G51" s="4"/>
      <c r="J51" s="4"/>
      <c r="K51" s="4"/>
      <c r="L51" s="4"/>
      <c r="R51" s="4"/>
      <c r="S51" s="4"/>
      <c r="T51" s="4"/>
    </row>
    <row r="52" ht="12.0" customHeight="1">
      <c r="B52" s="222">
        <v>44.0</v>
      </c>
      <c r="C52" s="222">
        <f t="shared" si="1"/>
        <v>953573.7055</v>
      </c>
      <c r="D52" s="222">
        <f t="shared" si="2"/>
        <v>732004.803</v>
      </c>
      <c r="E52" s="222">
        <f t="shared" si="3"/>
        <v>1685578.509</v>
      </c>
      <c r="F52" s="4"/>
      <c r="G52" s="4"/>
      <c r="J52" s="4"/>
      <c r="K52" s="4"/>
      <c r="L52" s="4"/>
      <c r="R52" s="4"/>
      <c r="S52" s="4"/>
      <c r="T52" s="4"/>
    </row>
    <row r="53" ht="12.0" customHeight="1">
      <c r="B53" s="222">
        <v>45.0</v>
      </c>
      <c r="C53" s="222">
        <f t="shared" si="1"/>
        <v>957546.9293</v>
      </c>
      <c r="D53" s="222">
        <f t="shared" si="2"/>
        <v>728031.5793</v>
      </c>
      <c r="E53" s="222">
        <f t="shared" si="3"/>
        <v>1685578.509</v>
      </c>
      <c r="F53" s="4"/>
      <c r="G53" s="4"/>
      <c r="J53" s="4"/>
      <c r="K53" s="4"/>
      <c r="L53" s="4"/>
      <c r="R53" s="4"/>
      <c r="S53" s="4"/>
      <c r="T53" s="4"/>
    </row>
    <row r="54" ht="12.0" customHeight="1">
      <c r="B54" s="222">
        <v>46.0</v>
      </c>
      <c r="C54" s="222">
        <f t="shared" si="1"/>
        <v>961536.7082</v>
      </c>
      <c r="D54" s="222">
        <f t="shared" si="2"/>
        <v>724041.8004</v>
      </c>
      <c r="E54" s="222">
        <f t="shared" si="3"/>
        <v>1685578.509</v>
      </c>
      <c r="F54" s="4"/>
      <c r="G54" s="4"/>
      <c r="J54" s="4"/>
      <c r="K54" s="4"/>
      <c r="L54" s="4"/>
      <c r="R54" s="4"/>
      <c r="S54" s="4"/>
      <c r="T54" s="4"/>
    </row>
    <row r="55" ht="12.0" customHeight="1">
      <c r="B55" s="222">
        <v>47.0</v>
      </c>
      <c r="C55" s="222">
        <f t="shared" si="1"/>
        <v>965543.1111</v>
      </c>
      <c r="D55" s="222">
        <f t="shared" si="2"/>
        <v>720035.3974</v>
      </c>
      <c r="E55" s="222">
        <f t="shared" si="3"/>
        <v>1685578.509</v>
      </c>
      <c r="F55" s="4"/>
      <c r="G55" s="4"/>
      <c r="J55" s="4"/>
      <c r="K55" s="4"/>
      <c r="L55" s="4"/>
      <c r="R55" s="4"/>
      <c r="S55" s="4"/>
      <c r="T55" s="4"/>
    </row>
    <row r="56" ht="12.0" customHeight="1">
      <c r="B56" s="222">
        <v>48.0</v>
      </c>
      <c r="C56" s="222">
        <f t="shared" si="1"/>
        <v>969566.2074</v>
      </c>
      <c r="D56" s="222">
        <f t="shared" si="2"/>
        <v>716012.3012</v>
      </c>
      <c r="E56" s="222">
        <f t="shared" si="3"/>
        <v>1685578.509</v>
      </c>
      <c r="F56" s="4"/>
      <c r="G56" s="4"/>
      <c r="J56" s="4"/>
      <c r="K56" s="4"/>
      <c r="L56" s="4"/>
      <c r="R56" s="4"/>
      <c r="S56" s="4"/>
      <c r="T56" s="4"/>
    </row>
    <row r="57" ht="12.0" customHeight="1">
      <c r="B57" s="222">
        <v>49.0</v>
      </c>
      <c r="C57" s="222">
        <f t="shared" si="1"/>
        <v>973606.0666</v>
      </c>
      <c r="D57" s="222">
        <f t="shared" si="2"/>
        <v>711972.442</v>
      </c>
      <c r="E57" s="222">
        <f t="shared" si="3"/>
        <v>1685578.509</v>
      </c>
      <c r="F57" s="4"/>
      <c r="G57" s="4"/>
      <c r="J57" s="4"/>
      <c r="K57" s="4"/>
      <c r="L57" s="4"/>
      <c r="R57" s="4"/>
      <c r="S57" s="4"/>
      <c r="T57" s="4"/>
    </row>
    <row r="58" ht="12.0" customHeight="1">
      <c r="B58" s="222">
        <v>50.0</v>
      </c>
      <c r="C58" s="222">
        <f t="shared" si="1"/>
        <v>977662.7586</v>
      </c>
      <c r="D58" s="222">
        <f t="shared" si="2"/>
        <v>707915.75</v>
      </c>
      <c r="E58" s="222">
        <f t="shared" si="3"/>
        <v>1685578.509</v>
      </c>
      <c r="F58" s="4"/>
      <c r="G58" s="4"/>
      <c r="J58" s="4"/>
      <c r="K58" s="4"/>
      <c r="L58" s="4"/>
      <c r="R58" s="4"/>
      <c r="S58" s="4"/>
      <c r="T58" s="4"/>
    </row>
    <row r="59" ht="12.0" customHeight="1">
      <c r="B59" s="222">
        <v>51.0</v>
      </c>
      <c r="C59" s="222">
        <f t="shared" si="1"/>
        <v>981736.3534</v>
      </c>
      <c r="D59" s="222">
        <f t="shared" si="2"/>
        <v>703842.1552</v>
      </c>
      <c r="E59" s="222">
        <f t="shared" si="3"/>
        <v>1685578.509</v>
      </c>
      <c r="F59" s="4"/>
      <c r="G59" s="4"/>
      <c r="J59" s="4"/>
      <c r="K59" s="4"/>
      <c r="L59" s="4"/>
      <c r="R59" s="4"/>
      <c r="S59" s="4"/>
      <c r="T59" s="4"/>
    </row>
    <row r="60" ht="12.0" customHeight="1">
      <c r="B60" s="222">
        <v>52.0</v>
      </c>
      <c r="C60" s="222">
        <f t="shared" si="1"/>
        <v>985826.9215</v>
      </c>
      <c r="D60" s="222">
        <f t="shared" si="2"/>
        <v>699751.587</v>
      </c>
      <c r="E60" s="222">
        <f t="shared" si="3"/>
        <v>1685578.509</v>
      </c>
      <c r="F60" s="4"/>
      <c r="G60" s="4"/>
      <c r="J60" s="4"/>
      <c r="K60" s="4"/>
      <c r="L60" s="4"/>
      <c r="R60" s="4"/>
      <c r="S60" s="4"/>
      <c r="T60" s="4"/>
    </row>
    <row r="61" ht="12.0" customHeight="1">
      <c r="B61" s="222">
        <v>53.0</v>
      </c>
      <c r="C61" s="222">
        <f t="shared" si="1"/>
        <v>989934.5337</v>
      </c>
      <c r="D61" s="222">
        <f t="shared" si="2"/>
        <v>695643.9749</v>
      </c>
      <c r="E61" s="222">
        <f t="shared" si="3"/>
        <v>1685578.509</v>
      </c>
      <c r="F61" s="4"/>
      <c r="G61" s="4"/>
      <c r="J61" s="4"/>
      <c r="K61" s="4"/>
      <c r="L61" s="4"/>
      <c r="R61" s="4"/>
      <c r="S61" s="4"/>
      <c r="T61" s="4"/>
    </row>
    <row r="62" ht="12.0" customHeight="1">
      <c r="B62" s="222">
        <v>54.0</v>
      </c>
      <c r="C62" s="222">
        <f t="shared" si="1"/>
        <v>994059.2609</v>
      </c>
      <c r="D62" s="222">
        <f t="shared" si="2"/>
        <v>691519.2476</v>
      </c>
      <c r="E62" s="222">
        <f t="shared" si="3"/>
        <v>1685578.509</v>
      </c>
      <c r="F62" s="4"/>
      <c r="G62" s="4"/>
      <c r="J62" s="4"/>
      <c r="K62" s="4"/>
      <c r="L62" s="4"/>
      <c r="R62" s="4"/>
      <c r="S62" s="4"/>
      <c r="T62" s="4"/>
    </row>
    <row r="63" ht="12.0" customHeight="1">
      <c r="B63" s="222">
        <v>55.0</v>
      </c>
      <c r="C63" s="222">
        <f t="shared" si="1"/>
        <v>998201.1745</v>
      </c>
      <c r="D63" s="222">
        <f t="shared" si="2"/>
        <v>687377.3341</v>
      </c>
      <c r="E63" s="222">
        <f t="shared" si="3"/>
        <v>1685578.509</v>
      </c>
      <c r="F63" s="4"/>
      <c r="G63" s="4"/>
      <c r="J63" s="4"/>
      <c r="K63" s="4"/>
      <c r="L63" s="4"/>
      <c r="R63" s="4"/>
      <c r="S63" s="4"/>
      <c r="T63" s="4"/>
    </row>
    <row r="64" ht="12.0" customHeight="1">
      <c r="B64" s="222">
        <v>56.0</v>
      </c>
      <c r="C64" s="222">
        <f t="shared" si="1"/>
        <v>1002360.346</v>
      </c>
      <c r="D64" s="222">
        <f t="shared" si="2"/>
        <v>683218.1625</v>
      </c>
      <c r="E64" s="222">
        <f t="shared" si="3"/>
        <v>1685578.509</v>
      </c>
      <c r="F64" s="4"/>
      <c r="G64" s="4"/>
      <c r="J64" s="4"/>
      <c r="K64" s="4"/>
      <c r="L64" s="4"/>
      <c r="R64" s="4"/>
      <c r="S64" s="4"/>
      <c r="T64" s="4"/>
    </row>
    <row r="65" ht="12.0" customHeight="1">
      <c r="B65" s="222">
        <v>57.0</v>
      </c>
      <c r="C65" s="222">
        <f t="shared" si="1"/>
        <v>1006536.848</v>
      </c>
      <c r="D65" s="222">
        <f t="shared" si="2"/>
        <v>679041.6611</v>
      </c>
      <c r="E65" s="222">
        <f t="shared" si="3"/>
        <v>1685578.509</v>
      </c>
      <c r="F65" s="4"/>
      <c r="G65" s="4"/>
      <c r="J65" s="4"/>
      <c r="K65" s="4"/>
      <c r="L65" s="4"/>
      <c r="R65" s="4"/>
      <c r="S65" s="4"/>
      <c r="T65" s="4"/>
    </row>
    <row r="66" ht="12.0" customHeight="1">
      <c r="B66" s="222">
        <v>58.0</v>
      </c>
      <c r="C66" s="222">
        <f t="shared" si="1"/>
        <v>1010730.751</v>
      </c>
      <c r="D66" s="222">
        <f t="shared" si="2"/>
        <v>674847.7575</v>
      </c>
      <c r="E66" s="222">
        <f t="shared" si="3"/>
        <v>1685578.509</v>
      </c>
      <c r="F66" s="4"/>
      <c r="G66" s="4"/>
      <c r="J66" s="4"/>
      <c r="K66" s="4"/>
      <c r="L66" s="4"/>
      <c r="R66" s="4"/>
      <c r="S66" s="4"/>
      <c r="T66" s="4"/>
    </row>
    <row r="67" ht="12.0" customHeight="1">
      <c r="B67" s="222">
        <v>59.0</v>
      </c>
      <c r="C67" s="222">
        <f t="shared" si="1"/>
        <v>1014942.129</v>
      </c>
      <c r="D67" s="222">
        <f t="shared" si="2"/>
        <v>670636.3794</v>
      </c>
      <c r="E67" s="222">
        <f t="shared" si="3"/>
        <v>1685578.509</v>
      </c>
      <c r="F67" s="4"/>
      <c r="G67" s="4"/>
      <c r="J67" s="4"/>
      <c r="K67" s="4"/>
      <c r="L67" s="4"/>
      <c r="R67" s="4"/>
      <c r="S67" s="4"/>
      <c r="T67" s="4"/>
    </row>
    <row r="68" ht="12.0" customHeight="1">
      <c r="B68" s="222">
        <v>60.0</v>
      </c>
      <c r="C68" s="222">
        <f t="shared" si="1"/>
        <v>1019171.055</v>
      </c>
      <c r="D68" s="222">
        <f t="shared" si="2"/>
        <v>666407.4539</v>
      </c>
      <c r="E68" s="222">
        <f t="shared" si="3"/>
        <v>1685578.509</v>
      </c>
      <c r="F68" s="4"/>
      <c r="G68" s="4"/>
      <c r="J68" s="4"/>
      <c r="K68" s="4"/>
      <c r="L68" s="4"/>
      <c r="R68" s="4"/>
      <c r="S68" s="4"/>
      <c r="T68" s="4"/>
    </row>
    <row r="69" ht="12.0" customHeight="1">
      <c r="B69" s="222">
        <v>61.0</v>
      </c>
      <c r="C69" s="222">
        <f t="shared" si="1"/>
        <v>1023417.601</v>
      </c>
      <c r="D69" s="222">
        <f t="shared" si="2"/>
        <v>662160.9078</v>
      </c>
      <c r="E69" s="222">
        <f t="shared" si="3"/>
        <v>1685578.509</v>
      </c>
      <c r="F69" s="4"/>
      <c r="G69" s="4"/>
      <c r="J69" s="4"/>
      <c r="K69" s="4"/>
      <c r="L69" s="4"/>
      <c r="R69" s="4"/>
      <c r="S69" s="4"/>
      <c r="T69" s="4"/>
    </row>
    <row r="70" ht="12.0" customHeight="1">
      <c r="B70" s="222">
        <v>62.0</v>
      </c>
      <c r="C70" s="222">
        <f t="shared" si="1"/>
        <v>1027681.841</v>
      </c>
      <c r="D70" s="222">
        <f t="shared" si="2"/>
        <v>657896.6678</v>
      </c>
      <c r="E70" s="222">
        <f t="shared" si="3"/>
        <v>1685578.509</v>
      </c>
      <c r="F70" s="4"/>
      <c r="G70" s="4"/>
      <c r="J70" s="4"/>
      <c r="K70" s="4"/>
      <c r="L70" s="4"/>
      <c r="R70" s="4"/>
      <c r="S70" s="4"/>
      <c r="T70" s="4"/>
    </row>
    <row r="71" ht="12.0" customHeight="1">
      <c r="B71" s="222">
        <v>63.0</v>
      </c>
      <c r="C71" s="222">
        <f t="shared" si="1"/>
        <v>1031963.848</v>
      </c>
      <c r="D71" s="222">
        <f t="shared" si="2"/>
        <v>653614.6601</v>
      </c>
      <c r="E71" s="222">
        <f t="shared" si="3"/>
        <v>1685578.509</v>
      </c>
      <c r="F71" s="4"/>
      <c r="G71" s="4"/>
      <c r="J71" s="4"/>
      <c r="K71" s="4"/>
      <c r="L71" s="4"/>
      <c r="R71" s="4"/>
      <c r="S71" s="4"/>
      <c r="T71" s="4"/>
    </row>
    <row r="72" ht="12.0" customHeight="1">
      <c r="B72" s="222">
        <v>64.0</v>
      </c>
      <c r="C72" s="222">
        <f t="shared" si="1"/>
        <v>1036263.698</v>
      </c>
      <c r="D72" s="222">
        <f t="shared" si="2"/>
        <v>649314.8108</v>
      </c>
      <c r="E72" s="222">
        <f t="shared" si="3"/>
        <v>1685578.509</v>
      </c>
      <c r="F72" s="4"/>
      <c r="G72" s="4"/>
      <c r="J72" s="4"/>
      <c r="K72" s="4"/>
      <c r="L72" s="4"/>
      <c r="R72" s="4"/>
      <c r="S72" s="4"/>
      <c r="T72" s="4"/>
    </row>
    <row r="73" ht="12.0" customHeight="1">
      <c r="B73" s="222">
        <v>65.0</v>
      </c>
      <c r="C73" s="222">
        <f t="shared" si="1"/>
        <v>1040581.463</v>
      </c>
      <c r="D73" s="222">
        <f t="shared" si="2"/>
        <v>644997.0453</v>
      </c>
      <c r="E73" s="222">
        <f t="shared" si="3"/>
        <v>1685578.509</v>
      </c>
      <c r="F73" s="4"/>
      <c r="G73" s="4"/>
      <c r="J73" s="4"/>
      <c r="K73" s="4"/>
      <c r="L73" s="4"/>
      <c r="R73" s="4"/>
      <c r="S73" s="4"/>
      <c r="T73" s="4"/>
    </row>
    <row r="74" ht="12.0" customHeight="1">
      <c r="B74" s="222">
        <v>66.0</v>
      </c>
      <c r="C74" s="222">
        <f t="shared" si="1"/>
        <v>1044917.219</v>
      </c>
      <c r="D74" s="222">
        <f t="shared" si="2"/>
        <v>640661.2893</v>
      </c>
      <c r="E74" s="222">
        <f t="shared" si="3"/>
        <v>1685578.509</v>
      </c>
      <c r="F74" s="4"/>
      <c r="G74" s="4"/>
      <c r="J74" s="4"/>
      <c r="K74" s="4"/>
      <c r="L74" s="4"/>
      <c r="R74" s="4"/>
      <c r="S74" s="4"/>
      <c r="T74" s="4"/>
    </row>
    <row r="75" ht="12.0" customHeight="1">
      <c r="B75" s="222">
        <v>67.0</v>
      </c>
      <c r="C75" s="222">
        <f t="shared" si="1"/>
        <v>1049271.041</v>
      </c>
      <c r="D75" s="222">
        <f t="shared" si="2"/>
        <v>636307.4675</v>
      </c>
      <c r="E75" s="222">
        <f t="shared" si="3"/>
        <v>1685578.509</v>
      </c>
      <c r="F75" s="4"/>
      <c r="G75" s="4"/>
      <c r="J75" s="4"/>
      <c r="K75" s="4"/>
      <c r="L75" s="4"/>
      <c r="R75" s="4"/>
      <c r="S75" s="4"/>
      <c r="T75" s="4"/>
    </row>
    <row r="76" ht="12.0" customHeight="1">
      <c r="B76" s="222">
        <v>68.0</v>
      </c>
      <c r="C76" s="222">
        <f t="shared" si="1"/>
        <v>1053643.004</v>
      </c>
      <c r="D76" s="222">
        <f t="shared" si="2"/>
        <v>631935.5048</v>
      </c>
      <c r="E76" s="222">
        <f t="shared" si="3"/>
        <v>1685578.509</v>
      </c>
      <c r="F76" s="4"/>
      <c r="G76" s="4"/>
      <c r="J76" s="4"/>
      <c r="K76" s="4"/>
      <c r="L76" s="4"/>
      <c r="R76" s="4"/>
      <c r="S76" s="4"/>
      <c r="T76" s="4"/>
    </row>
    <row r="77" ht="12.0" customHeight="1">
      <c r="B77" s="222">
        <v>69.0</v>
      </c>
      <c r="C77" s="222">
        <f t="shared" si="1"/>
        <v>1058033.183</v>
      </c>
      <c r="D77" s="222">
        <f t="shared" si="2"/>
        <v>627545.3257</v>
      </c>
      <c r="E77" s="222">
        <f t="shared" si="3"/>
        <v>1685578.509</v>
      </c>
      <c r="F77" s="4"/>
      <c r="G77" s="4"/>
      <c r="J77" s="4"/>
      <c r="K77" s="4"/>
      <c r="L77" s="4"/>
      <c r="R77" s="4"/>
      <c r="S77" s="4"/>
      <c r="T77" s="4"/>
    </row>
    <row r="78" ht="12.0" customHeight="1">
      <c r="B78" s="222">
        <v>70.0</v>
      </c>
      <c r="C78" s="222">
        <f t="shared" si="1"/>
        <v>1062441.655</v>
      </c>
      <c r="D78" s="222">
        <f t="shared" si="2"/>
        <v>623136.8541</v>
      </c>
      <c r="E78" s="222">
        <f t="shared" si="3"/>
        <v>1685578.509</v>
      </c>
      <c r="F78" s="4"/>
      <c r="G78" s="4"/>
      <c r="J78" s="4"/>
      <c r="K78" s="4"/>
      <c r="L78" s="4"/>
      <c r="R78" s="4"/>
      <c r="S78" s="4"/>
      <c r="T78" s="4"/>
    </row>
    <row r="79" ht="12.0" customHeight="1">
      <c r="B79" s="222">
        <v>71.0</v>
      </c>
      <c r="C79" s="222">
        <f t="shared" si="1"/>
        <v>1066868.495</v>
      </c>
      <c r="D79" s="222">
        <f t="shared" si="2"/>
        <v>618710.0138</v>
      </c>
      <c r="E79" s="222">
        <f t="shared" si="3"/>
        <v>1685578.509</v>
      </c>
      <c r="F79" s="4"/>
      <c r="G79" s="4"/>
      <c r="J79" s="4"/>
      <c r="K79" s="4"/>
      <c r="L79" s="4"/>
      <c r="R79" s="4"/>
      <c r="S79" s="4"/>
      <c r="T79" s="4"/>
    </row>
    <row r="80" ht="12.0" customHeight="1">
      <c r="B80" s="247">
        <v>72.0</v>
      </c>
      <c r="C80" s="247">
        <f t="shared" si="1"/>
        <v>1071313.78</v>
      </c>
      <c r="D80" s="247">
        <f t="shared" si="2"/>
        <v>614264.7284</v>
      </c>
      <c r="E80" s="247">
        <f t="shared" si="3"/>
        <v>1685578.509</v>
      </c>
      <c r="F80" s="4"/>
      <c r="G80" s="4"/>
      <c r="J80" s="4"/>
      <c r="K80" s="4"/>
      <c r="L80" s="4"/>
      <c r="R80" s="4"/>
      <c r="S80" s="4"/>
      <c r="T80" s="4"/>
    </row>
    <row r="81" ht="12.0" customHeight="1">
      <c r="B81" s="222">
        <v>73.0</v>
      </c>
      <c r="C81" s="222">
        <f t="shared" si="1"/>
        <v>1075777.588</v>
      </c>
      <c r="D81" s="222">
        <f t="shared" si="2"/>
        <v>609800.921</v>
      </c>
      <c r="E81" s="222">
        <f t="shared" si="3"/>
        <v>1685578.509</v>
      </c>
      <c r="F81" s="4"/>
      <c r="G81" s="4"/>
      <c r="J81" s="4"/>
      <c r="K81" s="4"/>
      <c r="L81" s="4"/>
      <c r="R81" s="4"/>
      <c r="S81" s="4"/>
      <c r="T81" s="4"/>
    </row>
    <row r="82" ht="12.0" customHeight="1">
      <c r="B82" s="222">
        <v>74.0</v>
      </c>
      <c r="C82" s="222">
        <f t="shared" si="1"/>
        <v>1080259.994</v>
      </c>
      <c r="D82" s="222">
        <f t="shared" si="2"/>
        <v>605318.5144</v>
      </c>
      <c r="E82" s="222">
        <f t="shared" si="3"/>
        <v>1685578.509</v>
      </c>
      <c r="F82" s="4"/>
      <c r="G82" s="4"/>
      <c r="J82" s="4"/>
      <c r="K82" s="4"/>
      <c r="L82" s="4"/>
      <c r="R82" s="4"/>
      <c r="S82" s="4"/>
      <c r="T82" s="4"/>
    </row>
    <row r="83" ht="12.0" customHeight="1">
      <c r="B83" s="222">
        <v>75.0</v>
      </c>
      <c r="C83" s="222">
        <f t="shared" si="1"/>
        <v>1084761.077</v>
      </c>
      <c r="D83" s="222">
        <f t="shared" si="2"/>
        <v>600817.4311</v>
      </c>
      <c r="E83" s="222">
        <f t="shared" si="3"/>
        <v>1685578.509</v>
      </c>
      <c r="F83" s="4"/>
      <c r="G83" s="4"/>
      <c r="J83" s="4"/>
      <c r="K83" s="4"/>
      <c r="L83" s="4"/>
      <c r="R83" s="4"/>
      <c r="S83" s="4"/>
      <c r="T83" s="4"/>
    </row>
    <row r="84" ht="12.0" customHeight="1">
      <c r="B84" s="222">
        <v>76.0</v>
      </c>
      <c r="C84" s="222">
        <f t="shared" si="1"/>
        <v>1089280.915</v>
      </c>
      <c r="D84" s="222">
        <f t="shared" si="2"/>
        <v>596297.5933</v>
      </c>
      <c r="E84" s="222">
        <f t="shared" si="3"/>
        <v>1685578.509</v>
      </c>
      <c r="F84" s="4"/>
      <c r="G84" s="4"/>
      <c r="J84" s="4"/>
      <c r="K84" s="4"/>
      <c r="L84" s="4"/>
      <c r="R84" s="4"/>
      <c r="S84" s="4"/>
      <c r="T84" s="4"/>
    </row>
    <row r="85" ht="12.0" customHeight="1">
      <c r="B85" s="222">
        <v>77.0</v>
      </c>
      <c r="C85" s="222">
        <f t="shared" si="1"/>
        <v>1093819.586</v>
      </c>
      <c r="D85" s="222">
        <f t="shared" si="2"/>
        <v>591758.9228</v>
      </c>
      <c r="E85" s="222">
        <f t="shared" si="3"/>
        <v>1685578.509</v>
      </c>
      <c r="F85" s="4"/>
      <c r="G85" s="4"/>
      <c r="J85" s="4"/>
      <c r="K85" s="4"/>
      <c r="L85" s="4"/>
      <c r="R85" s="4"/>
      <c r="S85" s="4"/>
      <c r="T85" s="4"/>
    </row>
    <row r="86" ht="12.0" customHeight="1">
      <c r="B86" s="222">
        <v>78.0</v>
      </c>
      <c r="C86" s="222">
        <f t="shared" si="1"/>
        <v>1098377.167</v>
      </c>
      <c r="D86" s="222">
        <f t="shared" si="2"/>
        <v>587201.3412</v>
      </c>
      <c r="E86" s="222">
        <f t="shared" si="3"/>
        <v>1685578.509</v>
      </c>
      <c r="F86" s="4"/>
      <c r="G86" s="4"/>
      <c r="J86" s="4"/>
      <c r="K86" s="4"/>
      <c r="L86" s="4"/>
      <c r="R86" s="4"/>
      <c r="S86" s="4"/>
      <c r="T86" s="4"/>
    </row>
    <row r="87" ht="12.0" customHeight="1">
      <c r="B87" s="222">
        <v>79.0</v>
      </c>
      <c r="C87" s="222">
        <f t="shared" si="1"/>
        <v>1102953.739</v>
      </c>
      <c r="D87" s="222">
        <f t="shared" si="2"/>
        <v>582624.7697</v>
      </c>
      <c r="E87" s="222">
        <f t="shared" si="3"/>
        <v>1685578.509</v>
      </c>
      <c r="F87" s="4"/>
      <c r="G87" s="4"/>
      <c r="J87" s="4"/>
      <c r="K87" s="4"/>
      <c r="L87" s="4"/>
      <c r="R87" s="4"/>
      <c r="S87" s="4"/>
      <c r="T87" s="4"/>
    </row>
    <row r="88" ht="12.0" customHeight="1">
      <c r="B88" s="222">
        <v>80.0</v>
      </c>
      <c r="C88" s="222">
        <f t="shared" si="1"/>
        <v>1107549.379</v>
      </c>
      <c r="D88" s="222">
        <f t="shared" si="2"/>
        <v>578029.1291</v>
      </c>
      <c r="E88" s="222">
        <f t="shared" si="3"/>
        <v>1685578.509</v>
      </c>
      <c r="F88" s="4"/>
      <c r="G88" s="4"/>
      <c r="J88" s="4"/>
      <c r="K88" s="4"/>
      <c r="L88" s="4"/>
      <c r="R88" s="4"/>
      <c r="S88" s="4"/>
      <c r="T88" s="4"/>
    </row>
    <row r="89" ht="12.0" customHeight="1">
      <c r="B89" s="222">
        <v>81.0</v>
      </c>
      <c r="C89" s="222">
        <f t="shared" si="1"/>
        <v>1112164.169</v>
      </c>
      <c r="D89" s="222">
        <f t="shared" si="2"/>
        <v>573414.34</v>
      </c>
      <c r="E89" s="222">
        <f t="shared" si="3"/>
        <v>1685578.509</v>
      </c>
      <c r="F89" s="4"/>
      <c r="G89" s="4"/>
      <c r="J89" s="4"/>
      <c r="K89" s="4"/>
      <c r="L89" s="4"/>
      <c r="R89" s="4"/>
      <c r="S89" s="4"/>
      <c r="T89" s="4"/>
    </row>
    <row r="90" ht="12.0" customHeight="1">
      <c r="B90" s="222">
        <v>82.0</v>
      </c>
      <c r="C90" s="222">
        <f t="shared" si="1"/>
        <v>1116798.186</v>
      </c>
      <c r="D90" s="222">
        <f t="shared" si="2"/>
        <v>568780.3226</v>
      </c>
      <c r="E90" s="222">
        <f t="shared" si="3"/>
        <v>1685578.509</v>
      </c>
      <c r="F90" s="4"/>
      <c r="G90" s="4"/>
      <c r="J90" s="4"/>
      <c r="K90" s="4"/>
      <c r="L90" s="4"/>
      <c r="R90" s="4"/>
      <c r="S90" s="4"/>
      <c r="T90" s="4"/>
    </row>
    <row r="91" ht="12.0" customHeight="1">
      <c r="B91" s="222">
        <v>83.0</v>
      </c>
      <c r="C91" s="222">
        <f t="shared" si="1"/>
        <v>1121451.512</v>
      </c>
      <c r="D91" s="222">
        <f t="shared" si="2"/>
        <v>564126.9968</v>
      </c>
      <c r="E91" s="222">
        <f t="shared" si="3"/>
        <v>1685578.509</v>
      </c>
      <c r="F91" s="4"/>
      <c r="G91" s="4"/>
      <c r="J91" s="4"/>
      <c r="K91" s="4"/>
      <c r="L91" s="4"/>
      <c r="R91" s="4"/>
      <c r="S91" s="4"/>
      <c r="T91" s="4"/>
    </row>
    <row r="92" ht="12.0" customHeight="1">
      <c r="B92" s="222">
        <v>84.0</v>
      </c>
      <c r="C92" s="222">
        <f t="shared" si="1"/>
        <v>1126124.226</v>
      </c>
      <c r="D92" s="222">
        <f t="shared" si="2"/>
        <v>559454.2822</v>
      </c>
      <c r="E92" s="222">
        <f t="shared" si="3"/>
        <v>1685578.509</v>
      </c>
      <c r="F92" s="4"/>
      <c r="G92" s="4"/>
      <c r="J92" s="4"/>
      <c r="K92" s="4"/>
      <c r="L92" s="4"/>
      <c r="R92" s="4"/>
      <c r="S92" s="4"/>
      <c r="T92" s="4"/>
    </row>
    <row r="93" ht="12.0" customHeight="1">
      <c r="B93" s="222">
        <v>85.0</v>
      </c>
      <c r="C93" s="222">
        <f t="shared" si="1"/>
        <v>1130816.411</v>
      </c>
      <c r="D93" s="222">
        <f t="shared" si="2"/>
        <v>554762.0979</v>
      </c>
      <c r="E93" s="222">
        <f t="shared" si="3"/>
        <v>1685578.509</v>
      </c>
      <c r="F93" s="4"/>
      <c r="G93" s="4"/>
      <c r="J93" s="4"/>
      <c r="K93" s="4"/>
      <c r="L93" s="4"/>
      <c r="R93" s="4"/>
      <c r="S93" s="4"/>
      <c r="T93" s="4"/>
    </row>
    <row r="94" ht="12.0" customHeight="1">
      <c r="B94" s="222">
        <v>86.0</v>
      </c>
      <c r="C94" s="222">
        <f t="shared" si="1"/>
        <v>1135528.146</v>
      </c>
      <c r="D94" s="222">
        <f t="shared" si="2"/>
        <v>550050.3629</v>
      </c>
      <c r="E94" s="222">
        <f t="shared" si="3"/>
        <v>1685578.509</v>
      </c>
      <c r="F94" s="4"/>
      <c r="G94" s="4"/>
      <c r="J94" s="4"/>
      <c r="K94" s="4"/>
      <c r="L94" s="4"/>
      <c r="R94" s="4"/>
      <c r="S94" s="4"/>
      <c r="T94" s="4"/>
    </row>
    <row r="95" ht="12.0" customHeight="1">
      <c r="B95" s="222">
        <v>87.0</v>
      </c>
      <c r="C95" s="222">
        <f t="shared" si="1"/>
        <v>1140259.513</v>
      </c>
      <c r="D95" s="222">
        <f t="shared" si="2"/>
        <v>545318.9956</v>
      </c>
      <c r="E95" s="222">
        <f t="shared" si="3"/>
        <v>1685578.509</v>
      </c>
      <c r="F95" s="4"/>
      <c r="G95" s="4"/>
      <c r="J95" s="4"/>
      <c r="K95" s="4"/>
      <c r="L95" s="4"/>
      <c r="R95" s="4"/>
      <c r="S95" s="4"/>
      <c r="T95" s="4"/>
    </row>
    <row r="96" ht="12.0" customHeight="1">
      <c r="B96" s="222">
        <v>88.0</v>
      </c>
      <c r="C96" s="222">
        <f t="shared" si="1"/>
        <v>1145010.594</v>
      </c>
      <c r="D96" s="222">
        <f t="shared" si="2"/>
        <v>540567.9143</v>
      </c>
      <c r="E96" s="222">
        <f t="shared" si="3"/>
        <v>1685578.509</v>
      </c>
      <c r="F96" s="4"/>
      <c r="G96" s="4"/>
      <c r="J96" s="4"/>
      <c r="K96" s="4"/>
      <c r="L96" s="4"/>
      <c r="R96" s="4"/>
      <c r="S96" s="4"/>
      <c r="T96" s="4"/>
    </row>
    <row r="97" ht="12.0" customHeight="1">
      <c r="B97" s="222">
        <v>89.0</v>
      </c>
      <c r="C97" s="222">
        <f t="shared" si="1"/>
        <v>1149781.472</v>
      </c>
      <c r="D97" s="222">
        <f t="shared" si="2"/>
        <v>535797.0368</v>
      </c>
      <c r="E97" s="222">
        <f t="shared" si="3"/>
        <v>1685578.509</v>
      </c>
      <c r="F97" s="4"/>
      <c r="G97" s="4"/>
      <c r="J97" s="4"/>
      <c r="K97" s="4"/>
      <c r="L97" s="4"/>
      <c r="R97" s="4"/>
      <c r="S97" s="4"/>
      <c r="T97" s="4"/>
    </row>
    <row r="98" ht="12.0" customHeight="1">
      <c r="B98" s="222">
        <v>90.0</v>
      </c>
      <c r="C98" s="222">
        <f t="shared" si="1"/>
        <v>1154572.228</v>
      </c>
      <c r="D98" s="222">
        <f t="shared" si="2"/>
        <v>531006.2807</v>
      </c>
      <c r="E98" s="222">
        <f t="shared" si="3"/>
        <v>1685578.509</v>
      </c>
      <c r="F98" s="4"/>
      <c r="G98" s="4"/>
      <c r="J98" s="4"/>
      <c r="K98" s="4"/>
      <c r="L98" s="4"/>
      <c r="R98" s="4"/>
      <c r="S98" s="4"/>
      <c r="T98" s="4"/>
    </row>
    <row r="99" ht="12.0" customHeight="1">
      <c r="B99" s="222">
        <v>91.0</v>
      </c>
      <c r="C99" s="222">
        <f t="shared" si="1"/>
        <v>1159382.945</v>
      </c>
      <c r="D99" s="222">
        <f t="shared" si="2"/>
        <v>526195.5631</v>
      </c>
      <c r="E99" s="222">
        <f t="shared" si="3"/>
        <v>1685578.509</v>
      </c>
      <c r="F99" s="4"/>
      <c r="G99" s="4"/>
      <c r="J99" s="4"/>
      <c r="K99" s="4"/>
      <c r="L99" s="4"/>
      <c r="R99" s="4"/>
      <c r="S99" s="4"/>
      <c r="T99" s="4"/>
    </row>
    <row r="100" ht="12.0" customHeight="1">
      <c r="B100" s="222">
        <v>92.0</v>
      </c>
      <c r="C100" s="222">
        <f t="shared" si="1"/>
        <v>1164213.708</v>
      </c>
      <c r="D100" s="222">
        <f t="shared" si="2"/>
        <v>521364.8008</v>
      </c>
      <c r="E100" s="222">
        <f t="shared" si="3"/>
        <v>1685578.509</v>
      </c>
      <c r="F100" s="4"/>
      <c r="G100" s="4"/>
      <c r="J100" s="4"/>
      <c r="K100" s="4"/>
      <c r="L100" s="4"/>
      <c r="R100" s="4"/>
      <c r="S100" s="4"/>
      <c r="T100" s="4"/>
    </row>
    <row r="101" ht="12.0" customHeight="1">
      <c r="B101" s="222">
        <v>93.0</v>
      </c>
      <c r="C101" s="222">
        <f t="shared" si="1"/>
        <v>1169064.598</v>
      </c>
      <c r="D101" s="222">
        <f t="shared" si="2"/>
        <v>516513.9104</v>
      </c>
      <c r="E101" s="222">
        <f t="shared" si="3"/>
        <v>1685578.509</v>
      </c>
      <c r="F101" s="4"/>
      <c r="G101" s="4"/>
      <c r="J101" s="4"/>
      <c r="K101" s="4"/>
      <c r="L101" s="4"/>
      <c r="R101" s="4"/>
      <c r="S101" s="4"/>
      <c r="T101" s="4"/>
    </row>
    <row r="102" ht="12.0" customHeight="1">
      <c r="B102" s="222">
        <v>94.0</v>
      </c>
      <c r="C102" s="222">
        <f t="shared" si="1"/>
        <v>1173935.701</v>
      </c>
      <c r="D102" s="222">
        <f t="shared" si="2"/>
        <v>511642.8079</v>
      </c>
      <c r="E102" s="222">
        <f t="shared" si="3"/>
        <v>1685578.509</v>
      </c>
      <c r="F102" s="4"/>
      <c r="G102" s="4"/>
      <c r="J102" s="4"/>
      <c r="K102" s="4"/>
      <c r="L102" s="4"/>
      <c r="R102" s="4"/>
      <c r="S102" s="4"/>
      <c r="T102" s="4"/>
    </row>
    <row r="103" ht="12.0" customHeight="1">
      <c r="B103" s="222">
        <v>95.0</v>
      </c>
      <c r="C103" s="222">
        <f t="shared" si="1"/>
        <v>1178827.099</v>
      </c>
      <c r="D103" s="222">
        <f t="shared" si="2"/>
        <v>506751.4091</v>
      </c>
      <c r="E103" s="222">
        <f t="shared" si="3"/>
        <v>1685578.509</v>
      </c>
      <c r="F103" s="4"/>
      <c r="G103" s="4"/>
      <c r="J103" s="4"/>
      <c r="K103" s="4"/>
      <c r="L103" s="4"/>
      <c r="R103" s="4"/>
      <c r="S103" s="4"/>
      <c r="T103" s="4"/>
    </row>
    <row r="104" ht="12.0" customHeight="1">
      <c r="B104" s="222">
        <v>96.0</v>
      </c>
      <c r="C104" s="222">
        <f t="shared" si="1"/>
        <v>1183738.879</v>
      </c>
      <c r="D104" s="222">
        <f t="shared" si="2"/>
        <v>501839.6295</v>
      </c>
      <c r="E104" s="222">
        <f t="shared" si="3"/>
        <v>1685578.509</v>
      </c>
      <c r="F104" s="4"/>
      <c r="G104" s="4"/>
      <c r="J104" s="4"/>
      <c r="K104" s="4"/>
      <c r="L104" s="4"/>
      <c r="R104" s="4"/>
      <c r="S104" s="4"/>
      <c r="T104" s="4"/>
    </row>
    <row r="105" ht="12.0" customHeight="1">
      <c r="B105" s="222">
        <v>97.0</v>
      </c>
      <c r="C105" s="222">
        <f t="shared" si="1"/>
        <v>1188671.124</v>
      </c>
      <c r="D105" s="222">
        <f t="shared" si="2"/>
        <v>496907.3842</v>
      </c>
      <c r="E105" s="222">
        <f t="shared" si="3"/>
        <v>1685578.509</v>
      </c>
      <c r="F105" s="4"/>
      <c r="G105" s="4"/>
      <c r="J105" s="4"/>
      <c r="K105" s="4"/>
      <c r="L105" s="4"/>
      <c r="R105" s="4"/>
      <c r="S105" s="4"/>
      <c r="T105" s="4"/>
    </row>
    <row r="106" ht="12.0" customHeight="1">
      <c r="B106" s="222">
        <v>98.0</v>
      </c>
      <c r="C106" s="222">
        <f t="shared" si="1"/>
        <v>1193623.921</v>
      </c>
      <c r="D106" s="222">
        <f t="shared" si="2"/>
        <v>491954.5879</v>
      </c>
      <c r="E106" s="222">
        <f t="shared" si="3"/>
        <v>1685578.509</v>
      </c>
      <c r="F106" s="4"/>
      <c r="G106" s="4"/>
      <c r="J106" s="4"/>
      <c r="K106" s="4"/>
      <c r="L106" s="4"/>
      <c r="R106" s="4"/>
      <c r="S106" s="4"/>
      <c r="T106" s="4"/>
    </row>
    <row r="107" ht="12.0" customHeight="1">
      <c r="B107" s="222">
        <v>99.0</v>
      </c>
      <c r="C107" s="222">
        <f t="shared" si="1"/>
        <v>1198597.354</v>
      </c>
      <c r="D107" s="222">
        <f t="shared" si="2"/>
        <v>486981.1549</v>
      </c>
      <c r="E107" s="222">
        <f t="shared" si="3"/>
        <v>1685578.509</v>
      </c>
      <c r="F107" s="4"/>
      <c r="G107" s="4"/>
      <c r="J107" s="4"/>
      <c r="K107" s="4"/>
      <c r="L107" s="4"/>
      <c r="R107" s="4"/>
      <c r="S107" s="4"/>
      <c r="T107" s="4"/>
    </row>
    <row r="108" ht="12.0" customHeight="1">
      <c r="B108" s="222">
        <v>100.0</v>
      </c>
      <c r="C108" s="222">
        <f t="shared" si="1"/>
        <v>1203591.509</v>
      </c>
      <c r="D108" s="222">
        <f t="shared" si="2"/>
        <v>481986.9992</v>
      </c>
      <c r="E108" s="222">
        <f t="shared" si="3"/>
        <v>1685578.509</v>
      </c>
      <c r="F108" s="4"/>
      <c r="G108" s="4"/>
      <c r="J108" s="4"/>
      <c r="K108" s="4"/>
      <c r="L108" s="4"/>
      <c r="R108" s="4"/>
      <c r="S108" s="4"/>
      <c r="T108" s="4"/>
    </row>
    <row r="109" ht="12.0" customHeight="1">
      <c r="B109" s="222">
        <v>101.0</v>
      </c>
      <c r="C109" s="222">
        <f t="shared" si="1"/>
        <v>1208606.474</v>
      </c>
      <c r="D109" s="222">
        <f t="shared" si="2"/>
        <v>476972.0346</v>
      </c>
      <c r="E109" s="222">
        <f t="shared" si="3"/>
        <v>1685578.509</v>
      </c>
      <c r="F109" s="4"/>
      <c r="G109" s="4"/>
      <c r="J109" s="4"/>
      <c r="K109" s="4"/>
      <c r="L109" s="4"/>
      <c r="R109" s="4"/>
      <c r="S109" s="4"/>
      <c r="T109" s="4"/>
    </row>
    <row r="110" ht="12.0" customHeight="1">
      <c r="B110" s="222">
        <v>102.0</v>
      </c>
      <c r="C110" s="222">
        <f t="shared" si="1"/>
        <v>1213642.334</v>
      </c>
      <c r="D110" s="222">
        <f t="shared" si="2"/>
        <v>471936.1743</v>
      </c>
      <c r="E110" s="222">
        <f t="shared" si="3"/>
        <v>1685578.509</v>
      </c>
      <c r="F110" s="4"/>
      <c r="G110" s="4"/>
      <c r="J110" s="4"/>
      <c r="K110" s="4"/>
      <c r="L110" s="4"/>
      <c r="R110" s="4"/>
      <c r="S110" s="4"/>
      <c r="T110" s="4"/>
    </row>
    <row r="111" ht="12.0" customHeight="1">
      <c r="B111" s="222">
        <v>103.0</v>
      </c>
      <c r="C111" s="222">
        <f t="shared" si="1"/>
        <v>1218699.177</v>
      </c>
      <c r="D111" s="222">
        <f t="shared" si="2"/>
        <v>466879.3312</v>
      </c>
      <c r="E111" s="222">
        <f t="shared" si="3"/>
        <v>1685578.509</v>
      </c>
      <c r="F111" s="4"/>
      <c r="G111" s="4"/>
      <c r="J111" s="4"/>
      <c r="K111" s="4"/>
      <c r="L111" s="4"/>
      <c r="R111" s="4"/>
      <c r="S111" s="4"/>
      <c r="T111" s="4"/>
    </row>
    <row r="112" ht="12.0" customHeight="1">
      <c r="B112" s="222">
        <v>104.0</v>
      </c>
      <c r="C112" s="222">
        <f t="shared" si="1"/>
        <v>1223777.091</v>
      </c>
      <c r="D112" s="222">
        <f t="shared" si="2"/>
        <v>461801.418</v>
      </c>
      <c r="E112" s="222">
        <f t="shared" si="3"/>
        <v>1685578.509</v>
      </c>
      <c r="F112" s="4"/>
      <c r="G112" s="4"/>
      <c r="J112" s="4"/>
      <c r="K112" s="4"/>
      <c r="L112" s="4"/>
      <c r="R112" s="4"/>
      <c r="S112" s="4"/>
      <c r="T112" s="4"/>
    </row>
    <row r="113" ht="12.0" customHeight="1">
      <c r="B113" s="222">
        <v>105.0</v>
      </c>
      <c r="C113" s="222">
        <f t="shared" si="1"/>
        <v>1228876.162</v>
      </c>
      <c r="D113" s="222">
        <f t="shared" si="2"/>
        <v>456702.3468</v>
      </c>
      <c r="E113" s="222">
        <f t="shared" si="3"/>
        <v>1685578.509</v>
      </c>
      <c r="F113" s="4"/>
      <c r="G113" s="4"/>
      <c r="J113" s="4"/>
      <c r="K113" s="4"/>
      <c r="L113" s="4"/>
      <c r="R113" s="4"/>
      <c r="S113" s="4"/>
      <c r="T113" s="4"/>
    </row>
    <row r="114" ht="12.0" customHeight="1">
      <c r="B114" s="222">
        <v>106.0</v>
      </c>
      <c r="C114" s="222">
        <f t="shared" si="1"/>
        <v>1233996.479</v>
      </c>
      <c r="D114" s="222">
        <f t="shared" si="2"/>
        <v>451582.0294</v>
      </c>
      <c r="E114" s="222">
        <f t="shared" si="3"/>
        <v>1685578.509</v>
      </c>
      <c r="F114" s="4"/>
      <c r="G114" s="4"/>
      <c r="J114" s="4"/>
      <c r="K114" s="4"/>
      <c r="L114" s="4"/>
      <c r="R114" s="4"/>
      <c r="S114" s="4"/>
      <c r="T114" s="4"/>
    </row>
    <row r="115" ht="12.0" customHeight="1">
      <c r="B115" s="222">
        <v>107.0</v>
      </c>
      <c r="C115" s="222">
        <f t="shared" si="1"/>
        <v>1239138.131</v>
      </c>
      <c r="D115" s="222">
        <f t="shared" si="2"/>
        <v>446440.3774</v>
      </c>
      <c r="E115" s="222">
        <f t="shared" si="3"/>
        <v>1685578.509</v>
      </c>
      <c r="F115" s="4"/>
      <c r="G115" s="4"/>
      <c r="J115" s="4"/>
      <c r="K115" s="4"/>
      <c r="L115" s="4"/>
      <c r="R115" s="4"/>
      <c r="S115" s="4"/>
      <c r="T115" s="4"/>
    </row>
    <row r="116" ht="12.0" customHeight="1">
      <c r="B116" s="222">
        <v>108.0</v>
      </c>
      <c r="C116" s="222">
        <f t="shared" si="1"/>
        <v>1244301.207</v>
      </c>
      <c r="D116" s="222">
        <f t="shared" si="2"/>
        <v>441277.3019</v>
      </c>
      <c r="E116" s="222">
        <f t="shared" si="3"/>
        <v>1685578.509</v>
      </c>
      <c r="F116" s="4"/>
      <c r="G116" s="4"/>
      <c r="J116" s="4"/>
      <c r="K116" s="4"/>
      <c r="L116" s="4"/>
      <c r="R116" s="4"/>
      <c r="S116" s="4"/>
      <c r="T116" s="4"/>
    </row>
    <row r="117" ht="12.0" customHeight="1">
      <c r="B117" s="222">
        <v>109.0</v>
      </c>
      <c r="C117" s="222">
        <f t="shared" si="1"/>
        <v>1249485.795</v>
      </c>
      <c r="D117" s="222">
        <f t="shared" si="2"/>
        <v>436092.7135</v>
      </c>
      <c r="E117" s="222">
        <f t="shared" si="3"/>
        <v>1685578.509</v>
      </c>
      <c r="F117" s="4"/>
      <c r="G117" s="4"/>
      <c r="J117" s="4"/>
      <c r="K117" s="4"/>
      <c r="L117" s="4"/>
      <c r="R117" s="4"/>
      <c r="S117" s="4"/>
      <c r="T117" s="4"/>
    </row>
    <row r="118" ht="12.0" customHeight="1">
      <c r="B118" s="222">
        <v>110.0</v>
      </c>
      <c r="C118" s="222">
        <f t="shared" si="1"/>
        <v>1254691.986</v>
      </c>
      <c r="D118" s="222">
        <f t="shared" si="2"/>
        <v>430886.5227</v>
      </c>
      <c r="E118" s="222">
        <f t="shared" si="3"/>
        <v>1685578.509</v>
      </c>
      <c r="F118" s="4"/>
      <c r="G118" s="4"/>
      <c r="J118" s="4"/>
      <c r="K118" s="4"/>
      <c r="L118" s="4"/>
      <c r="R118" s="4"/>
      <c r="S118" s="4"/>
      <c r="T118" s="4"/>
    </row>
    <row r="119" ht="12.0" customHeight="1">
      <c r="B119" s="222">
        <v>111.0</v>
      </c>
      <c r="C119" s="222">
        <f t="shared" si="1"/>
        <v>1259919.869</v>
      </c>
      <c r="D119" s="222">
        <f t="shared" si="2"/>
        <v>425658.6395</v>
      </c>
      <c r="E119" s="222">
        <f t="shared" si="3"/>
        <v>1685578.509</v>
      </c>
      <c r="F119" s="4"/>
      <c r="G119" s="4"/>
      <c r="J119" s="4"/>
      <c r="K119" s="4"/>
      <c r="L119" s="4"/>
      <c r="R119" s="4"/>
      <c r="S119" s="4"/>
      <c r="T119" s="4"/>
    </row>
    <row r="120" ht="12.0" customHeight="1">
      <c r="B120" s="222">
        <v>112.0</v>
      </c>
      <c r="C120" s="222">
        <f t="shared" si="1"/>
        <v>1265169.535</v>
      </c>
      <c r="D120" s="222">
        <f t="shared" si="2"/>
        <v>420408.9733</v>
      </c>
      <c r="E120" s="222">
        <f t="shared" si="3"/>
        <v>1685578.509</v>
      </c>
      <c r="F120" s="4"/>
      <c r="G120" s="4"/>
      <c r="J120" s="4"/>
      <c r="K120" s="4"/>
      <c r="L120" s="4"/>
      <c r="R120" s="4"/>
      <c r="S120" s="4"/>
      <c r="T120" s="4"/>
    </row>
    <row r="121" ht="12.0" customHeight="1">
      <c r="B121" s="222">
        <v>113.0</v>
      </c>
      <c r="C121" s="222">
        <f t="shared" si="1"/>
        <v>1270441.075</v>
      </c>
      <c r="D121" s="222">
        <f t="shared" si="2"/>
        <v>415137.4336</v>
      </c>
      <c r="E121" s="222">
        <f t="shared" si="3"/>
        <v>1685578.509</v>
      </c>
      <c r="F121" s="4"/>
      <c r="G121" s="4"/>
      <c r="J121" s="4"/>
      <c r="K121" s="4"/>
      <c r="L121" s="4"/>
      <c r="R121" s="4"/>
      <c r="S121" s="4"/>
      <c r="T121" s="4"/>
    </row>
    <row r="122" ht="12.0" customHeight="1">
      <c r="B122" s="222">
        <v>114.0</v>
      </c>
      <c r="C122" s="222">
        <f t="shared" si="1"/>
        <v>1275734.579</v>
      </c>
      <c r="D122" s="222">
        <f t="shared" si="2"/>
        <v>409843.9291</v>
      </c>
      <c r="E122" s="222">
        <f t="shared" si="3"/>
        <v>1685578.509</v>
      </c>
      <c r="F122" s="4"/>
      <c r="G122" s="4"/>
      <c r="J122" s="4"/>
      <c r="K122" s="4"/>
      <c r="L122" s="4"/>
      <c r="R122" s="4"/>
      <c r="S122" s="4"/>
      <c r="T122" s="4"/>
    </row>
    <row r="123" ht="12.0" customHeight="1">
      <c r="B123" s="222">
        <v>115.0</v>
      </c>
      <c r="C123" s="222">
        <f t="shared" si="1"/>
        <v>1281050.14</v>
      </c>
      <c r="D123" s="222">
        <f t="shared" si="2"/>
        <v>404528.3684</v>
      </c>
      <c r="E123" s="222">
        <f t="shared" si="3"/>
        <v>1685578.509</v>
      </c>
      <c r="F123" s="4"/>
      <c r="G123" s="4"/>
      <c r="J123" s="4"/>
      <c r="K123" s="4"/>
      <c r="L123" s="4"/>
      <c r="R123" s="4"/>
      <c r="S123" s="4"/>
      <c r="T123" s="4"/>
    </row>
    <row r="124" ht="12.0" customHeight="1">
      <c r="B124" s="222">
        <v>116.0</v>
      </c>
      <c r="C124" s="222">
        <f t="shared" si="1"/>
        <v>1286387.849</v>
      </c>
      <c r="D124" s="222">
        <f t="shared" si="2"/>
        <v>399190.6595</v>
      </c>
      <c r="E124" s="222">
        <f t="shared" si="3"/>
        <v>1685578.509</v>
      </c>
      <c r="F124" s="4"/>
      <c r="G124" s="4"/>
      <c r="J124" s="4"/>
      <c r="K124" s="4"/>
      <c r="L124" s="4"/>
      <c r="R124" s="4"/>
      <c r="S124" s="4"/>
      <c r="T124" s="4"/>
    </row>
    <row r="125" ht="12.0" customHeight="1">
      <c r="B125" s="222">
        <v>117.0</v>
      </c>
      <c r="C125" s="222">
        <f t="shared" si="1"/>
        <v>1291747.798</v>
      </c>
      <c r="D125" s="222">
        <f t="shared" si="2"/>
        <v>393830.7101</v>
      </c>
      <c r="E125" s="222">
        <f t="shared" si="3"/>
        <v>1685578.509</v>
      </c>
      <c r="F125" s="4"/>
      <c r="G125" s="4"/>
      <c r="J125" s="4"/>
      <c r="K125" s="4"/>
      <c r="L125" s="4"/>
      <c r="R125" s="4"/>
      <c r="S125" s="4"/>
      <c r="T125" s="4"/>
    </row>
    <row r="126" ht="12.0" customHeight="1">
      <c r="B126" s="222">
        <v>118.0</v>
      </c>
      <c r="C126" s="222">
        <f t="shared" si="1"/>
        <v>1297130.081</v>
      </c>
      <c r="D126" s="222">
        <f t="shared" si="2"/>
        <v>388448.4276</v>
      </c>
      <c r="E126" s="222">
        <f t="shared" si="3"/>
        <v>1685578.509</v>
      </c>
      <c r="F126" s="4"/>
      <c r="G126" s="4"/>
      <c r="J126" s="4"/>
      <c r="K126" s="4"/>
      <c r="L126" s="4"/>
      <c r="R126" s="4"/>
      <c r="S126" s="4"/>
      <c r="T126" s="4"/>
    </row>
    <row r="127" ht="12.0" customHeight="1">
      <c r="B127" s="222">
        <v>119.0</v>
      </c>
      <c r="C127" s="222">
        <f t="shared" si="1"/>
        <v>1302534.79</v>
      </c>
      <c r="D127" s="222">
        <f t="shared" si="2"/>
        <v>383043.7189</v>
      </c>
      <c r="E127" s="222">
        <f t="shared" si="3"/>
        <v>1685578.509</v>
      </c>
      <c r="F127" s="4"/>
      <c r="G127" s="4"/>
      <c r="J127" s="4"/>
      <c r="K127" s="4"/>
      <c r="L127" s="4"/>
      <c r="R127" s="4"/>
      <c r="S127" s="4"/>
      <c r="T127" s="4"/>
    </row>
    <row r="128" ht="12.0" customHeight="1">
      <c r="B128" s="222">
        <v>120.0</v>
      </c>
      <c r="C128" s="222">
        <f t="shared" si="1"/>
        <v>1307962.018</v>
      </c>
      <c r="D128" s="222">
        <f t="shared" si="2"/>
        <v>377616.4906</v>
      </c>
      <c r="E128" s="222">
        <f t="shared" si="3"/>
        <v>1685578.509</v>
      </c>
      <c r="F128" s="4"/>
      <c r="G128" s="4"/>
      <c r="J128" s="4"/>
      <c r="K128" s="4"/>
      <c r="L128" s="4"/>
      <c r="R128" s="4"/>
      <c r="S128" s="4"/>
      <c r="T128" s="4"/>
    </row>
    <row r="129" ht="12.0" customHeight="1">
      <c r="B129" s="222">
        <v>121.0</v>
      </c>
      <c r="C129" s="222">
        <f t="shared" si="1"/>
        <v>1313411.86</v>
      </c>
      <c r="D129" s="222">
        <f t="shared" si="2"/>
        <v>372166.6489</v>
      </c>
      <c r="E129" s="222">
        <f t="shared" si="3"/>
        <v>1685578.509</v>
      </c>
      <c r="F129" s="4"/>
      <c r="G129" s="4"/>
      <c r="J129" s="4"/>
      <c r="K129" s="4"/>
      <c r="L129" s="4"/>
      <c r="R129" s="4"/>
      <c r="S129" s="4"/>
      <c r="T129" s="4"/>
    </row>
    <row r="130" ht="12.0" customHeight="1">
      <c r="B130" s="222">
        <v>122.0</v>
      </c>
      <c r="C130" s="222">
        <f t="shared" si="1"/>
        <v>1318884.409</v>
      </c>
      <c r="D130" s="222">
        <f t="shared" si="2"/>
        <v>366694.0995</v>
      </c>
      <c r="E130" s="222">
        <f t="shared" si="3"/>
        <v>1685578.509</v>
      </c>
      <c r="F130" s="4"/>
      <c r="G130" s="4"/>
      <c r="J130" s="4"/>
      <c r="K130" s="4"/>
      <c r="L130" s="4"/>
      <c r="R130" s="4"/>
      <c r="S130" s="4"/>
      <c r="T130" s="4"/>
    </row>
    <row r="131" ht="12.0" customHeight="1">
      <c r="B131" s="222">
        <v>123.0</v>
      </c>
      <c r="C131" s="222">
        <f t="shared" si="1"/>
        <v>1324379.761</v>
      </c>
      <c r="D131" s="222">
        <f t="shared" si="2"/>
        <v>361198.7478</v>
      </c>
      <c r="E131" s="222">
        <f t="shared" si="3"/>
        <v>1685578.509</v>
      </c>
      <c r="F131" s="4"/>
      <c r="G131" s="4"/>
      <c r="J131" s="4"/>
      <c r="K131" s="4"/>
      <c r="L131" s="4"/>
      <c r="R131" s="4"/>
      <c r="S131" s="4"/>
      <c r="T131" s="4"/>
    </row>
    <row r="132" ht="12.0" customHeight="1">
      <c r="B132" s="222">
        <v>124.0</v>
      </c>
      <c r="C132" s="222">
        <f t="shared" si="1"/>
        <v>1329898.01</v>
      </c>
      <c r="D132" s="222">
        <f t="shared" si="2"/>
        <v>355680.4988</v>
      </c>
      <c r="E132" s="222">
        <f t="shared" si="3"/>
        <v>1685578.509</v>
      </c>
      <c r="F132" s="4"/>
      <c r="G132" s="4"/>
      <c r="J132" s="4"/>
      <c r="K132" s="4"/>
      <c r="L132" s="4"/>
      <c r="R132" s="4"/>
      <c r="S132" s="4"/>
      <c r="T132" s="4"/>
    </row>
    <row r="133" ht="12.0" customHeight="1">
      <c r="B133" s="222">
        <v>125.0</v>
      </c>
      <c r="C133" s="222">
        <f t="shared" si="1"/>
        <v>1335439.252</v>
      </c>
      <c r="D133" s="222">
        <f t="shared" si="2"/>
        <v>350139.2571</v>
      </c>
      <c r="E133" s="222">
        <f t="shared" si="3"/>
        <v>1685578.509</v>
      </c>
      <c r="F133" s="4"/>
      <c r="G133" s="4"/>
      <c r="J133" s="4"/>
      <c r="K133" s="4"/>
      <c r="L133" s="4"/>
      <c r="R133" s="4"/>
      <c r="S133" s="4"/>
      <c r="T133" s="4"/>
    </row>
    <row r="134" ht="12.0" customHeight="1">
      <c r="B134" s="222">
        <v>126.0</v>
      </c>
      <c r="C134" s="222">
        <f t="shared" si="1"/>
        <v>1341003.582</v>
      </c>
      <c r="D134" s="222">
        <f t="shared" si="2"/>
        <v>344574.9268</v>
      </c>
      <c r="E134" s="222">
        <f t="shared" si="3"/>
        <v>1685578.509</v>
      </c>
      <c r="F134" s="4"/>
      <c r="G134" s="4"/>
      <c r="J134" s="4"/>
      <c r="K134" s="4"/>
      <c r="L134" s="4"/>
      <c r="R134" s="4"/>
      <c r="S134" s="4"/>
      <c r="T134" s="4"/>
    </row>
    <row r="135" ht="12.0" customHeight="1">
      <c r="B135" s="222">
        <v>127.0</v>
      </c>
      <c r="C135" s="222">
        <f t="shared" si="1"/>
        <v>1346591.097</v>
      </c>
      <c r="D135" s="222">
        <f t="shared" si="2"/>
        <v>338987.4119</v>
      </c>
      <c r="E135" s="222">
        <f t="shared" si="3"/>
        <v>1685578.509</v>
      </c>
      <c r="F135" s="4"/>
      <c r="G135" s="4"/>
      <c r="J135" s="4"/>
      <c r="K135" s="4"/>
      <c r="L135" s="4"/>
      <c r="R135" s="4"/>
      <c r="S135" s="4"/>
      <c r="T135" s="4"/>
    </row>
    <row r="136" ht="12.0" customHeight="1">
      <c r="B136" s="222">
        <v>128.0</v>
      </c>
      <c r="C136" s="222">
        <f t="shared" si="1"/>
        <v>1352201.893</v>
      </c>
      <c r="D136" s="222">
        <f t="shared" si="2"/>
        <v>333376.6157</v>
      </c>
      <c r="E136" s="222">
        <f t="shared" si="3"/>
        <v>1685578.509</v>
      </c>
      <c r="F136" s="4"/>
      <c r="G136" s="4"/>
      <c r="J136" s="4"/>
      <c r="K136" s="4"/>
      <c r="L136" s="4"/>
      <c r="R136" s="4"/>
      <c r="S136" s="4"/>
      <c r="T136" s="4"/>
    </row>
    <row r="137" ht="12.0" customHeight="1">
      <c r="B137" s="222">
        <v>129.0</v>
      </c>
      <c r="C137" s="222">
        <f t="shared" si="1"/>
        <v>1357836.067</v>
      </c>
      <c r="D137" s="222">
        <f t="shared" si="2"/>
        <v>327742.4411</v>
      </c>
      <c r="E137" s="222">
        <f t="shared" si="3"/>
        <v>1685578.509</v>
      </c>
      <c r="F137" s="4"/>
      <c r="G137" s="4"/>
      <c r="J137" s="4"/>
      <c r="K137" s="4"/>
      <c r="L137" s="4"/>
      <c r="R137" s="4"/>
      <c r="S137" s="4"/>
      <c r="T137" s="4"/>
    </row>
    <row r="138" ht="12.0" customHeight="1">
      <c r="B138" s="222">
        <v>130.0</v>
      </c>
      <c r="C138" s="222">
        <f t="shared" si="1"/>
        <v>1363493.718</v>
      </c>
      <c r="D138" s="222">
        <f t="shared" si="2"/>
        <v>322084.7908</v>
      </c>
      <c r="E138" s="222">
        <f t="shared" si="3"/>
        <v>1685578.509</v>
      </c>
      <c r="F138" s="4"/>
      <c r="G138" s="4"/>
      <c r="J138" s="4"/>
      <c r="K138" s="4"/>
      <c r="L138" s="4"/>
      <c r="R138" s="4"/>
      <c r="S138" s="4"/>
      <c r="T138" s="4"/>
    </row>
    <row r="139" ht="12.0" customHeight="1">
      <c r="B139" s="222">
        <v>131.0</v>
      </c>
      <c r="C139" s="222">
        <f t="shared" si="1"/>
        <v>1369174.942</v>
      </c>
      <c r="D139" s="222">
        <f t="shared" si="2"/>
        <v>316403.567</v>
      </c>
      <c r="E139" s="222">
        <f t="shared" si="3"/>
        <v>1685578.509</v>
      </c>
      <c r="F139" s="4"/>
      <c r="G139" s="4"/>
      <c r="J139" s="4"/>
      <c r="K139" s="4"/>
      <c r="L139" s="4"/>
      <c r="R139" s="4"/>
      <c r="S139" s="4"/>
      <c r="T139" s="4"/>
    </row>
    <row r="140" ht="12.0" customHeight="1">
      <c r="B140" s="222">
        <v>132.0</v>
      </c>
      <c r="C140" s="222">
        <f t="shared" si="1"/>
        <v>1374879.837</v>
      </c>
      <c r="D140" s="222">
        <f t="shared" si="2"/>
        <v>310698.6714</v>
      </c>
      <c r="E140" s="222">
        <f t="shared" si="3"/>
        <v>1685578.509</v>
      </c>
      <c r="F140" s="4"/>
      <c r="G140" s="4"/>
      <c r="J140" s="4"/>
      <c r="K140" s="4"/>
      <c r="L140" s="4"/>
      <c r="R140" s="4"/>
      <c r="S140" s="4"/>
      <c r="T140" s="4"/>
    </row>
    <row r="141" ht="12.0" customHeight="1">
      <c r="B141" s="222">
        <v>133.0</v>
      </c>
      <c r="C141" s="222">
        <f t="shared" si="1"/>
        <v>1380608.503</v>
      </c>
      <c r="D141" s="222">
        <f t="shared" si="2"/>
        <v>304970.0054</v>
      </c>
      <c r="E141" s="222">
        <f t="shared" si="3"/>
        <v>1685578.509</v>
      </c>
      <c r="F141" s="4"/>
      <c r="G141" s="4"/>
      <c r="J141" s="4"/>
      <c r="K141" s="4"/>
      <c r="L141" s="4"/>
      <c r="R141" s="4"/>
      <c r="S141" s="4"/>
      <c r="T141" s="4"/>
    </row>
    <row r="142" ht="12.0" customHeight="1">
      <c r="B142" s="222">
        <v>134.0</v>
      </c>
      <c r="C142" s="222">
        <f t="shared" si="1"/>
        <v>1386361.039</v>
      </c>
      <c r="D142" s="222">
        <f t="shared" si="2"/>
        <v>299217.47</v>
      </c>
      <c r="E142" s="222">
        <f t="shared" si="3"/>
        <v>1685578.509</v>
      </c>
      <c r="F142" s="4"/>
      <c r="G142" s="4"/>
      <c r="J142" s="4"/>
      <c r="K142" s="4"/>
      <c r="L142" s="4"/>
      <c r="R142" s="4"/>
      <c r="S142" s="4"/>
      <c r="T142" s="4"/>
    </row>
    <row r="143" ht="12.0" customHeight="1">
      <c r="B143" s="222">
        <v>135.0</v>
      </c>
      <c r="C143" s="222">
        <f t="shared" si="1"/>
        <v>1392137.543</v>
      </c>
      <c r="D143" s="222">
        <f t="shared" si="2"/>
        <v>293440.9657</v>
      </c>
      <c r="E143" s="222">
        <f t="shared" si="3"/>
        <v>1685578.509</v>
      </c>
      <c r="F143" s="4"/>
      <c r="G143" s="4"/>
      <c r="J143" s="4"/>
      <c r="K143" s="4"/>
      <c r="L143" s="4"/>
      <c r="R143" s="4"/>
      <c r="S143" s="4"/>
      <c r="T143" s="4"/>
    </row>
    <row r="144" ht="12.0" customHeight="1">
      <c r="B144" s="222">
        <v>136.0</v>
      </c>
      <c r="C144" s="222">
        <f t="shared" si="1"/>
        <v>1397938.116</v>
      </c>
      <c r="D144" s="222">
        <f t="shared" si="2"/>
        <v>287640.3926</v>
      </c>
      <c r="E144" s="222">
        <f t="shared" si="3"/>
        <v>1685578.509</v>
      </c>
      <c r="F144" s="4"/>
      <c r="G144" s="4"/>
      <c r="J144" s="4"/>
      <c r="K144" s="4"/>
      <c r="L144" s="4"/>
      <c r="R144" s="4"/>
      <c r="S144" s="4"/>
      <c r="T144" s="4"/>
    </row>
    <row r="145" ht="12.0" customHeight="1">
      <c r="B145" s="222">
        <v>137.0</v>
      </c>
      <c r="C145" s="222">
        <f t="shared" si="1"/>
        <v>1403762.858</v>
      </c>
      <c r="D145" s="222">
        <f t="shared" si="2"/>
        <v>281815.6504</v>
      </c>
      <c r="E145" s="222">
        <f t="shared" si="3"/>
        <v>1685578.509</v>
      </c>
      <c r="F145" s="4"/>
      <c r="G145" s="4"/>
      <c r="J145" s="4"/>
      <c r="K145" s="4"/>
      <c r="L145" s="4"/>
      <c r="R145" s="4"/>
      <c r="S145" s="4"/>
      <c r="T145" s="4"/>
    </row>
    <row r="146" ht="12.0" customHeight="1">
      <c r="B146" s="222">
        <v>138.0</v>
      </c>
      <c r="C146" s="222">
        <f t="shared" si="1"/>
        <v>1409611.87</v>
      </c>
      <c r="D146" s="222">
        <f t="shared" si="2"/>
        <v>275966.6385</v>
      </c>
      <c r="E146" s="222">
        <f t="shared" si="3"/>
        <v>1685578.509</v>
      </c>
      <c r="F146" s="4"/>
      <c r="G146" s="4"/>
      <c r="J146" s="4"/>
      <c r="K146" s="4"/>
      <c r="L146" s="4"/>
      <c r="R146" s="4"/>
      <c r="S146" s="4"/>
      <c r="T146" s="4"/>
    </row>
    <row r="147" ht="12.0" customHeight="1">
      <c r="B147" s="222">
        <v>139.0</v>
      </c>
      <c r="C147" s="222">
        <f t="shared" si="1"/>
        <v>1415485.253</v>
      </c>
      <c r="D147" s="222">
        <f t="shared" si="2"/>
        <v>270093.2557</v>
      </c>
      <c r="E147" s="222">
        <f t="shared" si="3"/>
        <v>1685578.509</v>
      </c>
      <c r="F147" s="4"/>
      <c r="G147" s="4"/>
      <c r="J147" s="4"/>
      <c r="K147" s="4"/>
      <c r="L147" s="4"/>
      <c r="R147" s="4"/>
      <c r="S147" s="4"/>
      <c r="T147" s="4"/>
    </row>
    <row r="148" ht="12.0" customHeight="1">
      <c r="B148" s="222">
        <v>140.0</v>
      </c>
      <c r="C148" s="222">
        <f t="shared" si="1"/>
        <v>1421383.108</v>
      </c>
      <c r="D148" s="222">
        <f t="shared" si="2"/>
        <v>264195.4005</v>
      </c>
      <c r="E148" s="222">
        <f t="shared" si="3"/>
        <v>1685578.509</v>
      </c>
      <c r="F148" s="4"/>
      <c r="G148" s="4"/>
      <c r="J148" s="4"/>
      <c r="K148" s="4"/>
      <c r="L148" s="4"/>
      <c r="R148" s="4"/>
      <c r="S148" s="4"/>
      <c r="T148" s="4"/>
    </row>
    <row r="149" ht="12.0" customHeight="1">
      <c r="B149" s="222">
        <v>141.0</v>
      </c>
      <c r="C149" s="222">
        <f t="shared" si="1"/>
        <v>1427305.538</v>
      </c>
      <c r="D149" s="222">
        <f t="shared" si="2"/>
        <v>258272.9709</v>
      </c>
      <c r="E149" s="222">
        <f t="shared" si="3"/>
        <v>1685578.509</v>
      </c>
      <c r="F149" s="4"/>
      <c r="G149" s="4"/>
      <c r="J149" s="4"/>
      <c r="K149" s="4"/>
      <c r="L149" s="4"/>
      <c r="R149" s="4"/>
      <c r="S149" s="4"/>
      <c r="T149" s="4"/>
    </row>
    <row r="150" ht="12.0" customHeight="1">
      <c r="B150" s="222">
        <v>142.0</v>
      </c>
      <c r="C150" s="222">
        <f t="shared" si="1"/>
        <v>1433252.644</v>
      </c>
      <c r="D150" s="222">
        <f t="shared" si="2"/>
        <v>252325.8645</v>
      </c>
      <c r="E150" s="222">
        <f t="shared" si="3"/>
        <v>1685578.509</v>
      </c>
      <c r="F150" s="4"/>
      <c r="G150" s="4"/>
      <c r="J150" s="4"/>
      <c r="K150" s="4"/>
      <c r="L150" s="4"/>
      <c r="R150" s="4"/>
      <c r="S150" s="4"/>
      <c r="T150" s="4"/>
    </row>
    <row r="151" ht="12.0" customHeight="1">
      <c r="B151" s="222">
        <v>143.0</v>
      </c>
      <c r="C151" s="222">
        <f t="shared" si="1"/>
        <v>1439224.53</v>
      </c>
      <c r="D151" s="222">
        <f t="shared" si="2"/>
        <v>246353.9785</v>
      </c>
      <c r="E151" s="222">
        <f t="shared" si="3"/>
        <v>1685578.509</v>
      </c>
      <c r="F151" s="4"/>
      <c r="G151" s="4"/>
      <c r="J151" s="4"/>
      <c r="K151" s="4"/>
      <c r="L151" s="4"/>
      <c r="R151" s="4"/>
      <c r="S151" s="4"/>
      <c r="T151" s="4"/>
    </row>
    <row r="152" ht="12.0" customHeight="1">
      <c r="B152" s="222">
        <v>144.0</v>
      </c>
      <c r="C152" s="222">
        <f t="shared" si="1"/>
        <v>1445221.299</v>
      </c>
      <c r="D152" s="222">
        <f t="shared" si="2"/>
        <v>240357.2096</v>
      </c>
      <c r="E152" s="222">
        <f t="shared" si="3"/>
        <v>1685578.509</v>
      </c>
      <c r="F152" s="4"/>
      <c r="G152" s="4"/>
      <c r="J152" s="4"/>
      <c r="K152" s="4"/>
      <c r="L152" s="4"/>
      <c r="R152" s="4"/>
      <c r="S152" s="4"/>
      <c r="T152" s="4"/>
    </row>
    <row r="153" ht="12.0" customHeight="1">
      <c r="B153" s="222">
        <v>145.0</v>
      </c>
      <c r="C153" s="222">
        <f t="shared" si="1"/>
        <v>1451243.054</v>
      </c>
      <c r="D153" s="222">
        <f t="shared" si="2"/>
        <v>234335.4542</v>
      </c>
      <c r="E153" s="222">
        <f t="shared" si="3"/>
        <v>1685578.509</v>
      </c>
      <c r="F153" s="4"/>
      <c r="G153" s="4"/>
      <c r="J153" s="4"/>
      <c r="K153" s="4"/>
      <c r="L153" s="4"/>
      <c r="R153" s="4"/>
      <c r="S153" s="4"/>
      <c r="T153" s="4"/>
    </row>
    <row r="154" ht="12.0" customHeight="1">
      <c r="B154" s="222">
        <v>146.0</v>
      </c>
      <c r="C154" s="222">
        <f t="shared" si="1"/>
        <v>1457289.9</v>
      </c>
      <c r="D154" s="222">
        <f t="shared" si="2"/>
        <v>228288.6081</v>
      </c>
      <c r="E154" s="222">
        <f t="shared" si="3"/>
        <v>1685578.509</v>
      </c>
      <c r="F154" s="4"/>
      <c r="G154" s="4"/>
      <c r="J154" s="4"/>
      <c r="K154" s="4"/>
      <c r="L154" s="4"/>
      <c r="R154" s="4"/>
      <c r="S154" s="4"/>
      <c r="T154" s="4"/>
    </row>
    <row r="155" ht="12.0" customHeight="1">
      <c r="B155" s="222">
        <v>147.0</v>
      </c>
      <c r="C155" s="222">
        <f t="shared" si="1"/>
        <v>1463361.942</v>
      </c>
      <c r="D155" s="222">
        <f t="shared" si="2"/>
        <v>222216.5669</v>
      </c>
      <c r="E155" s="222">
        <f t="shared" si="3"/>
        <v>1685578.509</v>
      </c>
      <c r="F155" s="4"/>
      <c r="G155" s="4"/>
      <c r="J155" s="4"/>
      <c r="K155" s="4"/>
      <c r="L155" s="4"/>
      <c r="R155" s="4"/>
      <c r="S155" s="4"/>
      <c r="T155" s="4"/>
    </row>
    <row r="156" ht="12.0" customHeight="1">
      <c r="B156" s="222">
        <v>148.0</v>
      </c>
      <c r="C156" s="222">
        <f t="shared" si="1"/>
        <v>1469459.283</v>
      </c>
      <c r="D156" s="222">
        <f t="shared" si="2"/>
        <v>216119.2255</v>
      </c>
      <c r="E156" s="222">
        <f t="shared" si="3"/>
        <v>1685578.509</v>
      </c>
      <c r="F156" s="4"/>
      <c r="G156" s="4"/>
      <c r="J156" s="4"/>
      <c r="K156" s="4"/>
      <c r="L156" s="4"/>
      <c r="R156" s="4"/>
      <c r="S156" s="4"/>
      <c r="T156" s="4"/>
    </row>
    <row r="157" ht="12.0" customHeight="1">
      <c r="B157" s="222">
        <v>149.0</v>
      </c>
      <c r="C157" s="222">
        <f t="shared" si="1"/>
        <v>1475582.03</v>
      </c>
      <c r="D157" s="222">
        <f t="shared" si="2"/>
        <v>209996.4784</v>
      </c>
      <c r="E157" s="222">
        <f t="shared" si="3"/>
        <v>1685578.509</v>
      </c>
      <c r="F157" s="4"/>
      <c r="G157" s="4"/>
      <c r="J157" s="4"/>
      <c r="K157" s="4"/>
      <c r="L157" s="4"/>
      <c r="R157" s="4"/>
      <c r="S157" s="4"/>
      <c r="T157" s="4"/>
    </row>
    <row r="158" ht="12.0" customHeight="1">
      <c r="B158" s="222">
        <v>150.0</v>
      </c>
      <c r="C158" s="222">
        <f t="shared" si="1"/>
        <v>1481730.289</v>
      </c>
      <c r="D158" s="222">
        <f t="shared" si="2"/>
        <v>203848.22</v>
      </c>
      <c r="E158" s="222">
        <f t="shared" si="3"/>
        <v>1685578.509</v>
      </c>
      <c r="F158" s="4"/>
      <c r="G158" s="4"/>
      <c r="J158" s="4"/>
      <c r="K158" s="4"/>
      <c r="L158" s="4"/>
      <c r="R158" s="4"/>
      <c r="S158" s="4"/>
      <c r="T158" s="4"/>
    </row>
    <row r="159" ht="12.0" customHeight="1">
      <c r="B159" s="222">
        <v>151.0</v>
      </c>
      <c r="C159" s="222">
        <f t="shared" si="1"/>
        <v>1487904.165</v>
      </c>
      <c r="D159" s="222">
        <f t="shared" si="2"/>
        <v>197674.3438</v>
      </c>
      <c r="E159" s="222">
        <f t="shared" si="3"/>
        <v>1685578.509</v>
      </c>
      <c r="F159" s="4"/>
      <c r="G159" s="4"/>
      <c r="J159" s="4"/>
      <c r="K159" s="4"/>
      <c r="L159" s="4"/>
      <c r="R159" s="4"/>
      <c r="S159" s="4"/>
      <c r="T159" s="4"/>
    </row>
    <row r="160" ht="12.0" customHeight="1">
      <c r="B160" s="222">
        <v>152.0</v>
      </c>
      <c r="C160" s="222">
        <f t="shared" si="1"/>
        <v>1494103.765</v>
      </c>
      <c r="D160" s="222">
        <f t="shared" si="2"/>
        <v>191474.7431</v>
      </c>
      <c r="E160" s="222">
        <f t="shared" si="3"/>
        <v>1685578.509</v>
      </c>
      <c r="F160" s="4"/>
      <c r="G160" s="4"/>
      <c r="J160" s="4"/>
      <c r="K160" s="4"/>
      <c r="L160" s="4"/>
      <c r="R160" s="4"/>
      <c r="S160" s="4"/>
      <c r="T160" s="4"/>
    </row>
    <row r="161" ht="12.0" customHeight="1">
      <c r="B161" s="222">
        <v>153.0</v>
      </c>
      <c r="C161" s="222">
        <f t="shared" si="1"/>
        <v>1500329.198</v>
      </c>
      <c r="D161" s="222">
        <f t="shared" si="2"/>
        <v>185249.3107</v>
      </c>
      <c r="E161" s="222">
        <f t="shared" si="3"/>
        <v>1685578.509</v>
      </c>
      <c r="F161" s="4"/>
      <c r="G161" s="4"/>
      <c r="J161" s="4"/>
      <c r="K161" s="4"/>
      <c r="L161" s="4"/>
      <c r="R161" s="4"/>
      <c r="S161" s="4"/>
      <c r="T161" s="4"/>
    </row>
    <row r="162" ht="12.0" customHeight="1">
      <c r="B162" s="222">
        <v>154.0</v>
      </c>
      <c r="C162" s="222">
        <f t="shared" si="1"/>
        <v>1506580.569</v>
      </c>
      <c r="D162" s="222">
        <f t="shared" si="2"/>
        <v>178997.9391</v>
      </c>
      <c r="E162" s="222">
        <f t="shared" si="3"/>
        <v>1685578.509</v>
      </c>
      <c r="F162" s="4"/>
      <c r="G162" s="4"/>
      <c r="J162" s="4"/>
      <c r="K162" s="4"/>
      <c r="L162" s="4"/>
      <c r="R162" s="4"/>
      <c r="S162" s="4"/>
      <c r="T162" s="4"/>
    </row>
    <row r="163" ht="12.0" customHeight="1">
      <c r="B163" s="222">
        <v>155.0</v>
      </c>
      <c r="C163" s="222">
        <f t="shared" si="1"/>
        <v>1512857.989</v>
      </c>
      <c r="D163" s="222">
        <f t="shared" si="2"/>
        <v>172720.52</v>
      </c>
      <c r="E163" s="222">
        <f t="shared" si="3"/>
        <v>1685578.509</v>
      </c>
      <c r="F163" s="4"/>
      <c r="G163" s="4"/>
      <c r="J163" s="4"/>
      <c r="K163" s="4"/>
      <c r="L163" s="4"/>
      <c r="R163" s="4"/>
      <c r="S163" s="4"/>
      <c r="T163" s="4"/>
    </row>
    <row r="164" ht="12.0" customHeight="1">
      <c r="B164" s="222">
        <v>156.0</v>
      </c>
      <c r="C164" s="222">
        <f t="shared" si="1"/>
        <v>1519161.563</v>
      </c>
      <c r="D164" s="222">
        <f t="shared" si="2"/>
        <v>166416.9451</v>
      </c>
      <c r="E164" s="222">
        <f t="shared" si="3"/>
        <v>1685578.509</v>
      </c>
      <c r="F164" s="4"/>
      <c r="G164" s="4"/>
      <c r="J164" s="4"/>
      <c r="K164" s="4"/>
      <c r="L164" s="4"/>
      <c r="R164" s="4"/>
      <c r="S164" s="4"/>
      <c r="T164" s="4"/>
    </row>
    <row r="165" ht="12.0" customHeight="1">
      <c r="B165" s="222">
        <v>157.0</v>
      </c>
      <c r="C165" s="222">
        <f t="shared" si="1"/>
        <v>1525491.403</v>
      </c>
      <c r="D165" s="222">
        <f t="shared" si="2"/>
        <v>160087.1052</v>
      </c>
      <c r="E165" s="222">
        <f t="shared" si="3"/>
        <v>1685578.509</v>
      </c>
      <c r="F165" s="4"/>
      <c r="G165" s="4"/>
      <c r="J165" s="4"/>
      <c r="K165" s="4"/>
      <c r="L165" s="4"/>
      <c r="R165" s="4"/>
      <c r="S165" s="4"/>
      <c r="T165" s="4"/>
    </row>
    <row r="166" ht="12.0" customHeight="1">
      <c r="B166" s="222">
        <v>158.0</v>
      </c>
      <c r="C166" s="222">
        <f t="shared" si="1"/>
        <v>1531847.617</v>
      </c>
      <c r="D166" s="222">
        <f t="shared" si="2"/>
        <v>153730.8911</v>
      </c>
      <c r="E166" s="222">
        <f t="shared" si="3"/>
        <v>1685578.509</v>
      </c>
      <c r="F166" s="4"/>
      <c r="G166" s="4"/>
      <c r="J166" s="4"/>
      <c r="K166" s="4"/>
      <c r="L166" s="4"/>
      <c r="R166" s="4"/>
      <c r="S166" s="4"/>
      <c r="T166" s="4"/>
    </row>
    <row r="167" ht="12.0" customHeight="1">
      <c r="B167" s="222">
        <v>159.0</v>
      </c>
      <c r="C167" s="222">
        <f t="shared" si="1"/>
        <v>1538230.316</v>
      </c>
      <c r="D167" s="222">
        <f t="shared" si="2"/>
        <v>147348.1927</v>
      </c>
      <c r="E167" s="222">
        <f t="shared" si="3"/>
        <v>1685578.509</v>
      </c>
      <c r="F167" s="4"/>
      <c r="G167" s="4"/>
      <c r="J167" s="4"/>
      <c r="K167" s="4"/>
      <c r="L167" s="4"/>
      <c r="R167" s="4"/>
      <c r="S167" s="4"/>
      <c r="T167" s="4"/>
    </row>
    <row r="168" ht="12.0" customHeight="1">
      <c r="B168" s="222">
        <v>160.0</v>
      </c>
      <c r="C168" s="222">
        <f t="shared" si="1"/>
        <v>1544639.609</v>
      </c>
      <c r="D168" s="222">
        <f t="shared" si="2"/>
        <v>140938.8997</v>
      </c>
      <c r="E168" s="222">
        <f t="shared" si="3"/>
        <v>1685578.509</v>
      </c>
      <c r="F168" s="4"/>
      <c r="G168" s="4"/>
      <c r="J168" s="4"/>
      <c r="K168" s="4"/>
      <c r="L168" s="4"/>
      <c r="R168" s="4"/>
      <c r="S168" s="4"/>
      <c r="T168" s="4"/>
    </row>
    <row r="169" ht="12.0" customHeight="1">
      <c r="B169" s="222">
        <v>161.0</v>
      </c>
      <c r="C169" s="222">
        <f t="shared" si="1"/>
        <v>1551075.607</v>
      </c>
      <c r="D169" s="222">
        <f t="shared" si="2"/>
        <v>134502.9013</v>
      </c>
      <c r="E169" s="222">
        <f t="shared" si="3"/>
        <v>1685578.509</v>
      </c>
      <c r="F169" s="4"/>
      <c r="G169" s="4"/>
      <c r="J169" s="4"/>
      <c r="K169" s="4"/>
      <c r="L169" s="4"/>
      <c r="R169" s="4"/>
      <c r="S169" s="4"/>
      <c r="T169" s="4"/>
    </row>
    <row r="170" ht="12.0" customHeight="1">
      <c r="B170" s="222">
        <v>162.0</v>
      </c>
      <c r="C170" s="222">
        <f t="shared" si="1"/>
        <v>1557538.422</v>
      </c>
      <c r="D170" s="222">
        <f t="shared" si="2"/>
        <v>128040.0863</v>
      </c>
      <c r="E170" s="222">
        <f t="shared" si="3"/>
        <v>1685578.509</v>
      </c>
      <c r="F170" s="4"/>
      <c r="G170" s="4"/>
      <c r="J170" s="4"/>
      <c r="K170" s="4"/>
      <c r="L170" s="4"/>
      <c r="R170" s="4"/>
      <c r="S170" s="4"/>
      <c r="T170" s="4"/>
    </row>
    <row r="171" ht="12.0" customHeight="1">
      <c r="B171" s="222">
        <v>163.0</v>
      </c>
      <c r="C171" s="222">
        <f t="shared" si="1"/>
        <v>1564028.166</v>
      </c>
      <c r="D171" s="222">
        <f t="shared" si="2"/>
        <v>121550.3429</v>
      </c>
      <c r="E171" s="222">
        <f t="shared" si="3"/>
        <v>1685578.509</v>
      </c>
      <c r="F171" s="4"/>
      <c r="G171" s="4"/>
      <c r="J171" s="4"/>
      <c r="K171" s="4"/>
      <c r="L171" s="4"/>
      <c r="R171" s="4"/>
      <c r="S171" s="4"/>
      <c r="T171" s="4"/>
    </row>
    <row r="172" ht="12.0" customHeight="1">
      <c r="B172" s="222">
        <v>164.0</v>
      </c>
      <c r="C172" s="222">
        <f t="shared" si="1"/>
        <v>1570544.95</v>
      </c>
      <c r="D172" s="222">
        <f t="shared" si="2"/>
        <v>115033.5588</v>
      </c>
      <c r="E172" s="222">
        <f t="shared" si="3"/>
        <v>1685578.509</v>
      </c>
      <c r="F172" s="4"/>
      <c r="G172" s="4"/>
      <c r="J172" s="4"/>
      <c r="K172" s="4"/>
      <c r="L172" s="4"/>
      <c r="R172" s="4"/>
      <c r="S172" s="4"/>
      <c r="T172" s="4"/>
    </row>
    <row r="173" ht="12.0" customHeight="1">
      <c r="B173" s="222">
        <v>165.0</v>
      </c>
      <c r="C173" s="222">
        <f t="shared" si="1"/>
        <v>1577088.887</v>
      </c>
      <c r="D173" s="222">
        <f t="shared" si="2"/>
        <v>108489.6215</v>
      </c>
      <c r="E173" s="222">
        <f t="shared" si="3"/>
        <v>1685578.509</v>
      </c>
      <c r="F173" s="4"/>
      <c r="G173" s="4"/>
      <c r="J173" s="4"/>
      <c r="K173" s="4"/>
      <c r="L173" s="4"/>
      <c r="R173" s="4"/>
      <c r="S173" s="4"/>
      <c r="T173" s="4"/>
    </row>
    <row r="174" ht="12.0" customHeight="1">
      <c r="B174" s="222">
        <v>166.0</v>
      </c>
      <c r="C174" s="222">
        <f t="shared" si="1"/>
        <v>1583660.091</v>
      </c>
      <c r="D174" s="222">
        <f t="shared" si="2"/>
        <v>101918.4178</v>
      </c>
      <c r="E174" s="222">
        <f t="shared" si="3"/>
        <v>1685578.509</v>
      </c>
      <c r="F174" s="4"/>
      <c r="G174" s="4"/>
      <c r="J174" s="4"/>
      <c r="K174" s="4"/>
      <c r="L174" s="4"/>
      <c r="R174" s="4"/>
      <c r="S174" s="4"/>
      <c r="T174" s="4"/>
    </row>
    <row r="175" ht="12.0" customHeight="1">
      <c r="B175" s="222">
        <v>167.0</v>
      </c>
      <c r="C175" s="222">
        <f t="shared" si="1"/>
        <v>1590258.674</v>
      </c>
      <c r="D175" s="222">
        <f t="shared" si="2"/>
        <v>95319.83413</v>
      </c>
      <c r="E175" s="222">
        <f t="shared" si="3"/>
        <v>1685578.509</v>
      </c>
      <c r="F175" s="4"/>
      <c r="G175" s="4"/>
      <c r="J175" s="4"/>
      <c r="K175" s="4"/>
      <c r="L175" s="4"/>
      <c r="R175" s="4"/>
      <c r="S175" s="4"/>
      <c r="T175" s="4"/>
    </row>
    <row r="176" ht="12.0" customHeight="1">
      <c r="B176" s="222">
        <v>168.0</v>
      </c>
      <c r="C176" s="222">
        <f t="shared" si="1"/>
        <v>1596884.752</v>
      </c>
      <c r="D176" s="222">
        <f t="shared" si="2"/>
        <v>88693.75632</v>
      </c>
      <c r="E176" s="222">
        <f t="shared" si="3"/>
        <v>1685578.509</v>
      </c>
      <c r="F176" s="4"/>
      <c r="G176" s="4"/>
      <c r="J176" s="4"/>
      <c r="K176" s="4"/>
      <c r="L176" s="4"/>
      <c r="R176" s="4"/>
      <c r="S176" s="4"/>
      <c r="T176" s="4"/>
    </row>
    <row r="177" ht="12.0" customHeight="1">
      <c r="B177" s="222">
        <v>169.0</v>
      </c>
      <c r="C177" s="222">
        <f t="shared" si="1"/>
        <v>1603538.439</v>
      </c>
      <c r="D177" s="222">
        <f t="shared" si="2"/>
        <v>82040.06985</v>
      </c>
      <c r="E177" s="222">
        <f t="shared" si="3"/>
        <v>1685578.509</v>
      </c>
      <c r="F177" s="4"/>
      <c r="G177" s="4"/>
      <c r="J177" s="4"/>
      <c r="K177" s="4"/>
      <c r="L177" s="4"/>
      <c r="R177" s="4"/>
      <c r="S177" s="4"/>
      <c r="T177" s="4"/>
    </row>
    <row r="178" ht="12.0" customHeight="1">
      <c r="B178" s="222">
        <v>170.0</v>
      </c>
      <c r="C178" s="222">
        <f t="shared" si="1"/>
        <v>1610219.849</v>
      </c>
      <c r="D178" s="222">
        <f t="shared" si="2"/>
        <v>75358.65969</v>
      </c>
      <c r="E178" s="222">
        <f t="shared" si="3"/>
        <v>1685578.509</v>
      </c>
      <c r="F178" s="4"/>
      <c r="G178" s="4"/>
      <c r="J178" s="4"/>
      <c r="K178" s="4"/>
      <c r="L178" s="4"/>
      <c r="R178" s="4"/>
      <c r="S178" s="4"/>
      <c r="T178" s="4"/>
    </row>
    <row r="179" ht="12.0" customHeight="1">
      <c r="B179" s="222">
        <v>171.0</v>
      </c>
      <c r="C179" s="222">
        <f t="shared" si="1"/>
        <v>1616929.098</v>
      </c>
      <c r="D179" s="222">
        <f t="shared" si="2"/>
        <v>68649.41032</v>
      </c>
      <c r="E179" s="222">
        <f t="shared" si="3"/>
        <v>1685578.509</v>
      </c>
      <c r="F179" s="4"/>
      <c r="G179" s="4"/>
      <c r="J179" s="4"/>
      <c r="K179" s="4"/>
      <c r="L179" s="4"/>
      <c r="R179" s="4"/>
      <c r="S179" s="4"/>
      <c r="T179" s="4"/>
    </row>
    <row r="180" ht="12.0" customHeight="1">
      <c r="B180" s="222">
        <v>172.0</v>
      </c>
      <c r="C180" s="222">
        <f t="shared" si="1"/>
        <v>1623666.303</v>
      </c>
      <c r="D180" s="222">
        <f t="shared" si="2"/>
        <v>61912.20574</v>
      </c>
      <c r="E180" s="222">
        <f t="shared" si="3"/>
        <v>1685578.509</v>
      </c>
      <c r="F180" s="4"/>
      <c r="G180" s="4"/>
      <c r="J180" s="4"/>
      <c r="K180" s="4"/>
      <c r="L180" s="4"/>
      <c r="R180" s="4"/>
      <c r="S180" s="4"/>
      <c r="T180" s="4"/>
    </row>
    <row r="181" ht="12.0" customHeight="1">
      <c r="B181" s="222">
        <v>173.0</v>
      </c>
      <c r="C181" s="222">
        <f t="shared" si="1"/>
        <v>1630431.579</v>
      </c>
      <c r="D181" s="222">
        <f t="shared" si="2"/>
        <v>55146.92948</v>
      </c>
      <c r="E181" s="222">
        <f t="shared" si="3"/>
        <v>1685578.509</v>
      </c>
      <c r="F181" s="4"/>
      <c r="G181" s="4"/>
      <c r="J181" s="4"/>
      <c r="K181" s="4"/>
      <c r="L181" s="4"/>
      <c r="R181" s="4"/>
      <c r="S181" s="4"/>
      <c r="T181" s="4"/>
    </row>
    <row r="182" ht="12.0" customHeight="1">
      <c r="B182" s="222">
        <v>174.0</v>
      </c>
      <c r="C182" s="222">
        <f t="shared" si="1"/>
        <v>1637225.044</v>
      </c>
      <c r="D182" s="222">
        <f t="shared" si="2"/>
        <v>48353.46457</v>
      </c>
      <c r="E182" s="222">
        <f t="shared" si="3"/>
        <v>1685578.509</v>
      </c>
      <c r="F182" s="4"/>
      <c r="G182" s="4"/>
      <c r="J182" s="4"/>
      <c r="K182" s="4"/>
      <c r="L182" s="4"/>
      <c r="R182" s="4"/>
      <c r="S182" s="4"/>
      <c r="T182" s="4"/>
    </row>
    <row r="183" ht="12.0" customHeight="1">
      <c r="B183" s="222">
        <v>175.0</v>
      </c>
      <c r="C183" s="222">
        <f t="shared" si="1"/>
        <v>1644046.815</v>
      </c>
      <c r="D183" s="222">
        <f t="shared" si="2"/>
        <v>41531.69355</v>
      </c>
      <c r="E183" s="222">
        <f t="shared" si="3"/>
        <v>1685578.509</v>
      </c>
      <c r="F183" s="4"/>
      <c r="G183" s="4"/>
      <c r="J183" s="4"/>
      <c r="K183" s="4"/>
      <c r="L183" s="4"/>
      <c r="R183" s="4"/>
      <c r="S183" s="4"/>
      <c r="T183" s="4"/>
    </row>
    <row r="184" ht="12.0" customHeight="1">
      <c r="B184" s="222">
        <v>176.0</v>
      </c>
      <c r="C184" s="222">
        <f t="shared" si="1"/>
        <v>1650897.01</v>
      </c>
      <c r="D184" s="222">
        <f t="shared" si="2"/>
        <v>34681.49849</v>
      </c>
      <c r="E184" s="222">
        <f t="shared" si="3"/>
        <v>1685578.509</v>
      </c>
      <c r="F184" s="4"/>
      <c r="G184" s="4"/>
      <c r="J184" s="4"/>
      <c r="K184" s="4"/>
      <c r="L184" s="4"/>
      <c r="R184" s="4"/>
      <c r="S184" s="4"/>
      <c r="T184" s="4"/>
    </row>
    <row r="185" ht="12.0" customHeight="1">
      <c r="B185" s="222">
        <v>177.0</v>
      </c>
      <c r="C185" s="222">
        <f t="shared" si="1"/>
        <v>1657775.748</v>
      </c>
      <c r="D185" s="222">
        <f t="shared" si="2"/>
        <v>27802.76095</v>
      </c>
      <c r="E185" s="222">
        <f t="shared" si="3"/>
        <v>1685578.509</v>
      </c>
      <c r="F185" s="4"/>
      <c r="G185" s="4"/>
      <c r="J185" s="4"/>
      <c r="K185" s="4"/>
      <c r="L185" s="4"/>
      <c r="R185" s="4"/>
      <c r="S185" s="4"/>
      <c r="T185" s="4"/>
    </row>
    <row r="186" ht="12.0" customHeight="1">
      <c r="B186" s="222">
        <v>178.0</v>
      </c>
      <c r="C186" s="222">
        <f t="shared" si="1"/>
        <v>1664683.147</v>
      </c>
      <c r="D186" s="222">
        <f t="shared" si="2"/>
        <v>20895.362</v>
      </c>
      <c r="E186" s="222">
        <f t="shared" si="3"/>
        <v>1685578.509</v>
      </c>
      <c r="F186" s="4"/>
      <c r="G186" s="4"/>
      <c r="J186" s="4"/>
      <c r="K186" s="4"/>
      <c r="L186" s="4"/>
      <c r="R186" s="4"/>
      <c r="S186" s="4"/>
      <c r="T186" s="4"/>
    </row>
    <row r="187" ht="12.0" customHeight="1">
      <c r="B187" s="222">
        <v>179.0</v>
      </c>
      <c r="C187" s="222">
        <f t="shared" si="1"/>
        <v>1671619.326</v>
      </c>
      <c r="D187" s="222">
        <f t="shared" si="2"/>
        <v>13959.18222</v>
      </c>
      <c r="E187" s="222">
        <f t="shared" si="3"/>
        <v>1685578.509</v>
      </c>
      <c r="F187" s="4"/>
      <c r="G187" s="4"/>
      <c r="J187" s="4"/>
      <c r="K187" s="4"/>
      <c r="L187" s="4"/>
      <c r="R187" s="4"/>
      <c r="S187" s="4"/>
      <c r="T187" s="4"/>
    </row>
    <row r="188" ht="12.0" customHeight="1">
      <c r="B188" s="222">
        <v>180.0</v>
      </c>
      <c r="C188" s="222">
        <f t="shared" si="1"/>
        <v>1678584.407</v>
      </c>
      <c r="D188" s="222">
        <f t="shared" si="2"/>
        <v>6994.101695</v>
      </c>
      <c r="E188" s="222">
        <f t="shared" si="3"/>
        <v>1685578.509</v>
      </c>
      <c r="F188" s="4"/>
      <c r="G188" s="4"/>
      <c r="J188" s="4"/>
      <c r="K188" s="4"/>
      <c r="L188" s="4"/>
      <c r="R188" s="4"/>
      <c r="S188" s="4"/>
      <c r="T188" s="4"/>
    </row>
    <row r="189" ht="12.0" customHeight="1">
      <c r="B189" s="222">
        <v>181.0</v>
      </c>
      <c r="C189" s="222">
        <f t="shared" si="1"/>
        <v>0</v>
      </c>
      <c r="D189" s="222">
        <f t="shared" si="2"/>
        <v>0</v>
      </c>
      <c r="E189" s="222">
        <f t="shared" si="3"/>
        <v>0</v>
      </c>
      <c r="F189" s="4"/>
      <c r="G189" s="4"/>
      <c r="J189" s="4"/>
      <c r="K189" s="4"/>
      <c r="L189" s="4"/>
      <c r="R189" s="4"/>
      <c r="S189" s="4"/>
      <c r="T189" s="4"/>
    </row>
    <row r="190" ht="12.0" customHeight="1">
      <c r="B190" s="222">
        <v>182.0</v>
      </c>
      <c r="C190" s="222">
        <f t="shared" si="1"/>
        <v>0</v>
      </c>
      <c r="D190" s="222">
        <f t="shared" si="2"/>
        <v>0</v>
      </c>
      <c r="E190" s="222">
        <f t="shared" si="3"/>
        <v>0</v>
      </c>
      <c r="F190" s="4"/>
      <c r="G190" s="4"/>
      <c r="J190" s="4"/>
      <c r="K190" s="4"/>
      <c r="L190" s="4"/>
      <c r="R190" s="4"/>
      <c r="S190" s="4"/>
      <c r="T190" s="4"/>
    </row>
    <row r="191" ht="12.0" customHeight="1">
      <c r="B191" s="222">
        <v>183.0</v>
      </c>
      <c r="C191" s="222">
        <f t="shared" si="1"/>
        <v>0</v>
      </c>
      <c r="D191" s="222">
        <f t="shared" si="2"/>
        <v>0</v>
      </c>
      <c r="E191" s="222">
        <f t="shared" si="3"/>
        <v>0</v>
      </c>
      <c r="F191" s="4"/>
      <c r="G191" s="4"/>
      <c r="J191" s="4"/>
      <c r="K191" s="4"/>
      <c r="L191" s="4"/>
      <c r="R191" s="4"/>
      <c r="S191" s="4"/>
      <c r="T191" s="4"/>
    </row>
    <row r="192" ht="12.0" customHeight="1">
      <c r="B192" s="222">
        <v>184.0</v>
      </c>
      <c r="C192" s="222">
        <f t="shared" si="1"/>
        <v>0</v>
      </c>
      <c r="D192" s="222">
        <f t="shared" si="2"/>
        <v>0</v>
      </c>
      <c r="E192" s="222">
        <f t="shared" si="3"/>
        <v>0</v>
      </c>
      <c r="F192" s="4"/>
      <c r="G192" s="4"/>
      <c r="J192" s="4"/>
      <c r="K192" s="4"/>
      <c r="L192" s="4"/>
      <c r="R192" s="4"/>
      <c r="S192" s="4"/>
      <c r="T192" s="4"/>
    </row>
    <row r="193" ht="12.0" customHeight="1">
      <c r="B193" s="222">
        <v>185.0</v>
      </c>
      <c r="C193" s="222">
        <f t="shared" si="1"/>
        <v>0</v>
      </c>
      <c r="D193" s="222">
        <f t="shared" si="2"/>
        <v>0</v>
      </c>
      <c r="E193" s="222">
        <f t="shared" si="3"/>
        <v>0</v>
      </c>
      <c r="F193" s="4"/>
      <c r="G193" s="4"/>
      <c r="J193" s="4"/>
      <c r="K193" s="4"/>
      <c r="L193" s="4"/>
      <c r="R193" s="4"/>
      <c r="S193" s="4"/>
      <c r="T193" s="4"/>
    </row>
    <row r="194" ht="12.0" customHeight="1">
      <c r="B194" s="222">
        <v>186.0</v>
      </c>
      <c r="C194" s="222">
        <f t="shared" si="1"/>
        <v>0</v>
      </c>
      <c r="D194" s="222">
        <f t="shared" si="2"/>
        <v>0</v>
      </c>
      <c r="E194" s="222">
        <f t="shared" si="3"/>
        <v>0</v>
      </c>
      <c r="F194" s="4"/>
      <c r="G194" s="4"/>
      <c r="J194" s="4"/>
      <c r="K194" s="4"/>
      <c r="L194" s="4"/>
      <c r="R194" s="4"/>
      <c r="S194" s="4"/>
      <c r="T194" s="4"/>
    </row>
    <row r="195" ht="12.0" customHeight="1">
      <c r="B195" s="222">
        <v>187.0</v>
      </c>
      <c r="C195" s="222">
        <f t="shared" si="1"/>
        <v>0</v>
      </c>
      <c r="D195" s="222">
        <f t="shared" si="2"/>
        <v>0</v>
      </c>
      <c r="E195" s="222">
        <f t="shared" si="3"/>
        <v>0</v>
      </c>
      <c r="F195" s="4"/>
      <c r="G195" s="4"/>
      <c r="J195" s="4"/>
      <c r="K195" s="4"/>
      <c r="L195" s="4"/>
      <c r="R195" s="4"/>
      <c r="S195" s="4"/>
      <c r="T195" s="4"/>
    </row>
    <row r="196" ht="12.0" customHeight="1">
      <c r="B196" s="222">
        <v>188.0</v>
      </c>
      <c r="C196" s="222">
        <f t="shared" si="1"/>
        <v>0</v>
      </c>
      <c r="D196" s="222">
        <f t="shared" si="2"/>
        <v>0</v>
      </c>
      <c r="E196" s="222">
        <f t="shared" si="3"/>
        <v>0</v>
      </c>
      <c r="F196" s="4"/>
      <c r="G196" s="4"/>
      <c r="J196" s="4"/>
      <c r="K196" s="4"/>
      <c r="L196" s="4"/>
      <c r="R196" s="4"/>
      <c r="S196" s="4"/>
      <c r="T196" s="4"/>
    </row>
    <row r="197" ht="12.0" customHeight="1">
      <c r="B197" s="222">
        <v>189.0</v>
      </c>
      <c r="C197" s="222">
        <f t="shared" si="1"/>
        <v>0</v>
      </c>
      <c r="D197" s="222">
        <f t="shared" si="2"/>
        <v>0</v>
      </c>
      <c r="E197" s="222">
        <f t="shared" si="3"/>
        <v>0</v>
      </c>
      <c r="F197" s="4"/>
      <c r="G197" s="4"/>
      <c r="J197" s="4"/>
      <c r="K197" s="4"/>
      <c r="L197" s="4"/>
      <c r="R197" s="4"/>
      <c r="S197" s="4"/>
      <c r="T197" s="4"/>
    </row>
    <row r="198" ht="12.0" customHeight="1">
      <c r="B198" s="222">
        <v>190.0</v>
      </c>
      <c r="C198" s="222">
        <f t="shared" si="1"/>
        <v>0</v>
      </c>
      <c r="D198" s="222">
        <f t="shared" si="2"/>
        <v>0</v>
      </c>
      <c r="E198" s="222">
        <f t="shared" si="3"/>
        <v>0</v>
      </c>
      <c r="F198" s="4"/>
      <c r="G198" s="4"/>
      <c r="J198" s="4"/>
      <c r="K198" s="4"/>
      <c r="L198" s="4"/>
      <c r="R198" s="4"/>
      <c r="S198" s="4"/>
      <c r="T198" s="4"/>
    </row>
    <row r="199" ht="12.0" customHeight="1">
      <c r="B199" s="222">
        <v>191.0</v>
      </c>
      <c r="C199" s="222">
        <f t="shared" si="1"/>
        <v>0</v>
      </c>
      <c r="D199" s="222">
        <f t="shared" si="2"/>
        <v>0</v>
      </c>
      <c r="E199" s="222">
        <f t="shared" si="3"/>
        <v>0</v>
      </c>
      <c r="F199" s="4"/>
      <c r="G199" s="4"/>
      <c r="J199" s="4"/>
      <c r="K199" s="4"/>
      <c r="L199" s="4"/>
      <c r="R199" s="4"/>
      <c r="S199" s="4"/>
      <c r="T199" s="4"/>
    </row>
    <row r="200" ht="12.0" customHeight="1">
      <c r="B200" s="222">
        <v>192.0</v>
      </c>
      <c r="C200" s="222">
        <f t="shared" si="1"/>
        <v>0</v>
      </c>
      <c r="D200" s="222">
        <f t="shared" si="2"/>
        <v>0</v>
      </c>
      <c r="E200" s="222">
        <f t="shared" si="3"/>
        <v>0</v>
      </c>
      <c r="F200" s="4"/>
      <c r="G200" s="4"/>
      <c r="J200" s="4"/>
      <c r="K200" s="4"/>
      <c r="L200" s="4"/>
      <c r="R200" s="4"/>
      <c r="S200" s="4"/>
      <c r="T200" s="4"/>
    </row>
    <row r="201" ht="12.0" customHeight="1">
      <c r="B201" s="222">
        <v>193.0</v>
      </c>
      <c r="C201" s="222">
        <f t="shared" si="1"/>
        <v>0</v>
      </c>
      <c r="D201" s="222">
        <f t="shared" si="2"/>
        <v>0</v>
      </c>
      <c r="E201" s="222">
        <f t="shared" si="3"/>
        <v>0</v>
      </c>
      <c r="F201" s="4"/>
      <c r="G201" s="4"/>
      <c r="J201" s="4"/>
      <c r="K201" s="4"/>
      <c r="L201" s="4"/>
      <c r="R201" s="4"/>
      <c r="S201" s="4"/>
      <c r="T201" s="4"/>
    </row>
    <row r="202" ht="12.0" customHeight="1">
      <c r="B202" s="222">
        <v>194.0</v>
      </c>
      <c r="C202" s="222">
        <f t="shared" si="1"/>
        <v>0</v>
      </c>
      <c r="D202" s="222">
        <f t="shared" si="2"/>
        <v>0</v>
      </c>
      <c r="E202" s="222">
        <f t="shared" si="3"/>
        <v>0</v>
      </c>
      <c r="F202" s="4"/>
      <c r="G202" s="4"/>
      <c r="J202" s="4"/>
      <c r="K202" s="4"/>
      <c r="L202" s="4"/>
      <c r="R202" s="4"/>
      <c r="S202" s="4"/>
      <c r="T202" s="4"/>
    </row>
    <row r="203" ht="12.0" customHeight="1">
      <c r="B203" s="222">
        <v>195.0</v>
      </c>
      <c r="C203" s="222">
        <f t="shared" si="1"/>
        <v>0</v>
      </c>
      <c r="D203" s="222">
        <f t="shared" si="2"/>
        <v>0</v>
      </c>
      <c r="E203" s="222">
        <f t="shared" si="3"/>
        <v>0</v>
      </c>
      <c r="F203" s="4"/>
      <c r="G203" s="4"/>
      <c r="J203" s="4"/>
      <c r="K203" s="4"/>
      <c r="L203" s="4"/>
      <c r="R203" s="4"/>
      <c r="S203" s="4"/>
      <c r="T203" s="4"/>
    </row>
    <row r="204" ht="12.0" customHeight="1">
      <c r="B204" s="222">
        <v>196.0</v>
      </c>
      <c r="C204" s="222">
        <f t="shared" si="1"/>
        <v>0</v>
      </c>
      <c r="D204" s="222">
        <f t="shared" si="2"/>
        <v>0</v>
      </c>
      <c r="E204" s="222">
        <f t="shared" si="3"/>
        <v>0</v>
      </c>
      <c r="F204" s="4"/>
      <c r="G204" s="4"/>
      <c r="J204" s="4"/>
      <c r="K204" s="4"/>
      <c r="L204" s="4"/>
      <c r="R204" s="4"/>
      <c r="S204" s="4"/>
      <c r="T204" s="4"/>
    </row>
    <row r="205" ht="12.0" customHeight="1">
      <c r="B205" s="222">
        <v>197.0</v>
      </c>
      <c r="C205" s="222">
        <f t="shared" si="1"/>
        <v>0</v>
      </c>
      <c r="D205" s="222">
        <f t="shared" si="2"/>
        <v>0</v>
      </c>
      <c r="E205" s="222">
        <f t="shared" si="3"/>
        <v>0</v>
      </c>
      <c r="F205" s="4"/>
      <c r="G205" s="4"/>
      <c r="J205" s="4"/>
      <c r="K205" s="4"/>
      <c r="L205" s="4"/>
      <c r="R205" s="4"/>
      <c r="S205" s="4"/>
      <c r="T205" s="4"/>
    </row>
    <row r="206" ht="12.0" customHeight="1">
      <c r="B206" s="222">
        <v>198.0</v>
      </c>
      <c r="C206" s="222">
        <f t="shared" si="1"/>
        <v>0</v>
      </c>
      <c r="D206" s="222">
        <f t="shared" si="2"/>
        <v>0</v>
      </c>
      <c r="E206" s="222">
        <f t="shared" si="3"/>
        <v>0</v>
      </c>
      <c r="F206" s="4"/>
      <c r="G206" s="4"/>
      <c r="J206" s="4"/>
      <c r="K206" s="4"/>
      <c r="L206" s="4"/>
      <c r="R206" s="4"/>
      <c r="S206" s="4"/>
      <c r="T206" s="4"/>
    </row>
    <row r="207" ht="12.0" customHeight="1">
      <c r="B207" s="222">
        <v>199.0</v>
      </c>
      <c r="C207" s="222">
        <f t="shared" si="1"/>
        <v>0</v>
      </c>
      <c r="D207" s="222">
        <f t="shared" si="2"/>
        <v>0</v>
      </c>
      <c r="E207" s="222">
        <f t="shared" si="3"/>
        <v>0</v>
      </c>
      <c r="F207" s="4"/>
      <c r="G207" s="4"/>
      <c r="J207" s="4"/>
      <c r="K207" s="4"/>
      <c r="L207" s="4"/>
      <c r="R207" s="4"/>
      <c r="S207" s="4"/>
      <c r="T207" s="4"/>
    </row>
    <row r="208" ht="12.0" customHeight="1">
      <c r="B208" s="222">
        <v>200.0</v>
      </c>
      <c r="C208" s="222">
        <f t="shared" si="1"/>
        <v>0</v>
      </c>
      <c r="D208" s="222">
        <f t="shared" si="2"/>
        <v>0</v>
      </c>
      <c r="E208" s="222">
        <f t="shared" si="3"/>
        <v>0</v>
      </c>
      <c r="F208" s="4"/>
      <c r="G208" s="4"/>
      <c r="J208" s="4"/>
      <c r="K208" s="4"/>
      <c r="L208" s="4"/>
      <c r="R208" s="4"/>
      <c r="S208" s="4"/>
      <c r="T208" s="4"/>
    </row>
    <row r="209" ht="12.0" customHeight="1">
      <c r="B209" s="222">
        <v>201.0</v>
      </c>
      <c r="C209" s="222">
        <f t="shared" si="1"/>
        <v>0</v>
      </c>
      <c r="D209" s="222">
        <f t="shared" si="2"/>
        <v>0</v>
      </c>
      <c r="E209" s="222">
        <f t="shared" si="3"/>
        <v>0</v>
      </c>
      <c r="F209" s="4"/>
      <c r="G209" s="4"/>
      <c r="J209" s="4"/>
      <c r="K209" s="4"/>
      <c r="L209" s="4"/>
      <c r="R209" s="4"/>
      <c r="S209" s="4"/>
      <c r="T209" s="4"/>
    </row>
    <row r="210" ht="12.0" customHeight="1">
      <c r="B210" s="222">
        <v>202.0</v>
      </c>
      <c r="C210" s="222">
        <f t="shared" si="1"/>
        <v>0</v>
      </c>
      <c r="D210" s="222">
        <f t="shared" si="2"/>
        <v>0</v>
      </c>
      <c r="E210" s="222">
        <f t="shared" si="3"/>
        <v>0</v>
      </c>
      <c r="F210" s="4"/>
      <c r="G210" s="4"/>
      <c r="J210" s="4"/>
      <c r="K210" s="4"/>
      <c r="L210" s="4"/>
      <c r="R210" s="4"/>
      <c r="S210" s="4"/>
      <c r="T210" s="4"/>
    </row>
    <row r="211" ht="12.0" customHeight="1">
      <c r="B211" s="222">
        <v>203.0</v>
      </c>
      <c r="C211" s="222">
        <f t="shared" si="1"/>
        <v>0</v>
      </c>
      <c r="D211" s="222">
        <f t="shared" si="2"/>
        <v>0</v>
      </c>
      <c r="E211" s="222">
        <f t="shared" si="3"/>
        <v>0</v>
      </c>
      <c r="F211" s="4"/>
      <c r="G211" s="4"/>
      <c r="J211" s="4"/>
      <c r="K211" s="4"/>
      <c r="L211" s="4"/>
      <c r="R211" s="4"/>
      <c r="S211" s="4"/>
      <c r="T211" s="4"/>
    </row>
    <row r="212" ht="12.0" customHeight="1">
      <c r="B212" s="222">
        <v>204.0</v>
      </c>
      <c r="C212" s="222">
        <f t="shared" si="1"/>
        <v>0</v>
      </c>
      <c r="D212" s="222">
        <f t="shared" si="2"/>
        <v>0</v>
      </c>
      <c r="E212" s="222">
        <f t="shared" si="3"/>
        <v>0</v>
      </c>
      <c r="F212" s="4"/>
      <c r="G212" s="4"/>
      <c r="J212" s="4"/>
      <c r="K212" s="4"/>
      <c r="L212" s="4"/>
      <c r="R212" s="4"/>
      <c r="S212" s="4"/>
      <c r="T212" s="4"/>
    </row>
    <row r="213" ht="12.0" customHeight="1">
      <c r="B213" s="222">
        <v>205.0</v>
      </c>
      <c r="C213" s="222">
        <f t="shared" si="1"/>
        <v>0</v>
      </c>
      <c r="D213" s="222">
        <f t="shared" si="2"/>
        <v>0</v>
      </c>
      <c r="E213" s="222">
        <f t="shared" si="3"/>
        <v>0</v>
      </c>
      <c r="F213" s="4"/>
      <c r="G213" s="4"/>
      <c r="J213" s="4"/>
      <c r="K213" s="4"/>
      <c r="L213" s="4"/>
      <c r="R213" s="4"/>
      <c r="S213" s="4"/>
      <c r="T213" s="4"/>
    </row>
    <row r="214" ht="12.0" customHeight="1">
      <c r="B214" s="222">
        <v>206.0</v>
      </c>
      <c r="C214" s="222">
        <f t="shared" si="1"/>
        <v>0</v>
      </c>
      <c r="D214" s="222">
        <f t="shared" si="2"/>
        <v>0</v>
      </c>
      <c r="E214" s="222">
        <f t="shared" si="3"/>
        <v>0</v>
      </c>
      <c r="F214" s="4"/>
      <c r="G214" s="4"/>
      <c r="J214" s="4"/>
      <c r="K214" s="4"/>
      <c r="L214" s="4"/>
      <c r="R214" s="4"/>
      <c r="S214" s="4"/>
      <c r="T214" s="4"/>
    </row>
    <row r="215" ht="12.0" customHeight="1">
      <c r="B215" s="222">
        <v>207.0</v>
      </c>
      <c r="C215" s="222">
        <f t="shared" si="1"/>
        <v>0</v>
      </c>
      <c r="D215" s="222">
        <f t="shared" si="2"/>
        <v>0</v>
      </c>
      <c r="E215" s="222">
        <f t="shared" si="3"/>
        <v>0</v>
      </c>
      <c r="F215" s="4"/>
      <c r="G215" s="4"/>
      <c r="J215" s="4"/>
      <c r="K215" s="4"/>
      <c r="L215" s="4"/>
      <c r="R215" s="4"/>
      <c r="S215" s="4"/>
      <c r="T215" s="4"/>
    </row>
    <row r="216" ht="12.0" customHeight="1">
      <c r="B216" s="222">
        <v>208.0</v>
      </c>
      <c r="C216" s="222">
        <f t="shared" si="1"/>
        <v>0</v>
      </c>
      <c r="D216" s="222">
        <f t="shared" si="2"/>
        <v>0</v>
      </c>
      <c r="E216" s="222">
        <f t="shared" si="3"/>
        <v>0</v>
      </c>
      <c r="F216" s="4"/>
      <c r="G216" s="4"/>
      <c r="J216" s="4"/>
      <c r="K216" s="4"/>
      <c r="L216" s="4"/>
      <c r="R216" s="4"/>
      <c r="S216" s="4"/>
      <c r="T216" s="4"/>
    </row>
    <row r="217" ht="12.0" customHeight="1">
      <c r="B217" s="222">
        <v>209.0</v>
      </c>
      <c r="C217" s="222">
        <f t="shared" si="1"/>
        <v>0</v>
      </c>
      <c r="D217" s="222">
        <f t="shared" si="2"/>
        <v>0</v>
      </c>
      <c r="E217" s="222">
        <f t="shared" si="3"/>
        <v>0</v>
      </c>
      <c r="F217" s="4"/>
      <c r="G217" s="4"/>
      <c r="J217" s="4"/>
      <c r="K217" s="4"/>
      <c r="L217" s="4"/>
      <c r="R217" s="4"/>
      <c r="S217" s="4"/>
      <c r="T217" s="4"/>
    </row>
    <row r="218" ht="12.0" customHeight="1">
      <c r="B218" s="222">
        <v>210.0</v>
      </c>
      <c r="C218" s="222">
        <f t="shared" si="1"/>
        <v>0</v>
      </c>
      <c r="D218" s="222">
        <f t="shared" si="2"/>
        <v>0</v>
      </c>
      <c r="E218" s="222">
        <f t="shared" si="3"/>
        <v>0</v>
      </c>
      <c r="F218" s="4"/>
      <c r="G218" s="4"/>
      <c r="J218" s="4"/>
      <c r="K218" s="4"/>
      <c r="L218" s="4"/>
      <c r="R218" s="4"/>
      <c r="S218" s="4"/>
      <c r="T218" s="4"/>
    </row>
    <row r="219" ht="12.0" customHeight="1">
      <c r="B219" s="222">
        <v>211.0</v>
      </c>
      <c r="C219" s="222">
        <f t="shared" si="1"/>
        <v>0</v>
      </c>
      <c r="D219" s="222">
        <f t="shared" si="2"/>
        <v>0</v>
      </c>
      <c r="E219" s="222">
        <f t="shared" si="3"/>
        <v>0</v>
      </c>
      <c r="F219" s="4"/>
      <c r="G219" s="4"/>
      <c r="J219" s="4"/>
      <c r="K219" s="4"/>
      <c r="L219" s="4"/>
      <c r="R219" s="4"/>
      <c r="S219" s="4"/>
      <c r="T219" s="4"/>
    </row>
    <row r="220" ht="12.0" customHeight="1">
      <c r="B220" s="222">
        <v>212.0</v>
      </c>
      <c r="C220" s="222">
        <f t="shared" si="1"/>
        <v>0</v>
      </c>
      <c r="D220" s="222">
        <f t="shared" si="2"/>
        <v>0</v>
      </c>
      <c r="E220" s="222">
        <f t="shared" si="3"/>
        <v>0</v>
      </c>
      <c r="F220" s="4"/>
      <c r="G220" s="4"/>
      <c r="J220" s="4"/>
      <c r="K220" s="4"/>
      <c r="L220" s="4"/>
      <c r="R220" s="4"/>
      <c r="S220" s="4"/>
      <c r="T220" s="4"/>
    </row>
    <row r="221" ht="12.0" customHeight="1">
      <c r="B221" s="222">
        <v>213.0</v>
      </c>
      <c r="C221" s="222">
        <f t="shared" si="1"/>
        <v>0</v>
      </c>
      <c r="D221" s="222">
        <f t="shared" si="2"/>
        <v>0</v>
      </c>
      <c r="E221" s="222">
        <f t="shared" si="3"/>
        <v>0</v>
      </c>
      <c r="F221" s="4"/>
      <c r="G221" s="4"/>
      <c r="J221" s="4"/>
      <c r="K221" s="4"/>
      <c r="L221" s="4"/>
      <c r="R221" s="4"/>
      <c r="S221" s="4"/>
      <c r="T221" s="4"/>
    </row>
    <row r="222" ht="12.0" customHeight="1">
      <c r="B222" s="222">
        <v>214.0</v>
      </c>
      <c r="C222" s="222">
        <f t="shared" si="1"/>
        <v>0</v>
      </c>
      <c r="D222" s="222">
        <f t="shared" si="2"/>
        <v>0</v>
      </c>
      <c r="E222" s="222">
        <f t="shared" si="3"/>
        <v>0</v>
      </c>
      <c r="F222" s="4"/>
      <c r="G222" s="4"/>
      <c r="J222" s="4"/>
      <c r="K222" s="4"/>
      <c r="L222" s="4"/>
      <c r="R222" s="4"/>
      <c r="S222" s="4"/>
      <c r="T222" s="4"/>
    </row>
    <row r="223" ht="12.0" customHeight="1">
      <c r="B223" s="222">
        <v>215.0</v>
      </c>
      <c r="C223" s="222">
        <f t="shared" si="1"/>
        <v>0</v>
      </c>
      <c r="D223" s="222">
        <f t="shared" si="2"/>
        <v>0</v>
      </c>
      <c r="E223" s="222">
        <f t="shared" si="3"/>
        <v>0</v>
      </c>
      <c r="F223" s="4"/>
      <c r="G223" s="4"/>
      <c r="J223" s="4"/>
      <c r="K223" s="4"/>
      <c r="L223" s="4"/>
      <c r="R223" s="4"/>
      <c r="S223" s="4"/>
      <c r="T223" s="4"/>
    </row>
    <row r="224" ht="12.0" customHeight="1">
      <c r="B224" s="222">
        <v>216.0</v>
      </c>
      <c r="C224" s="222">
        <f t="shared" si="1"/>
        <v>0</v>
      </c>
      <c r="D224" s="222">
        <f t="shared" si="2"/>
        <v>0</v>
      </c>
      <c r="E224" s="222">
        <f t="shared" si="3"/>
        <v>0</v>
      </c>
      <c r="F224" s="4"/>
      <c r="G224" s="4"/>
      <c r="J224" s="4"/>
      <c r="K224" s="4"/>
      <c r="L224" s="4"/>
      <c r="R224" s="4"/>
      <c r="S224" s="4"/>
      <c r="T224" s="4"/>
    </row>
    <row r="225" ht="12.0" customHeight="1">
      <c r="B225" s="222">
        <v>217.0</v>
      </c>
      <c r="C225" s="222">
        <f t="shared" si="1"/>
        <v>0</v>
      </c>
      <c r="D225" s="222">
        <f t="shared" si="2"/>
        <v>0</v>
      </c>
      <c r="E225" s="222">
        <f t="shared" si="3"/>
        <v>0</v>
      </c>
      <c r="F225" s="4"/>
      <c r="G225" s="4"/>
      <c r="J225" s="4"/>
      <c r="K225" s="4"/>
      <c r="L225" s="4"/>
      <c r="R225" s="4"/>
      <c r="S225" s="4"/>
      <c r="T225" s="4"/>
    </row>
    <row r="226" ht="12.0" customHeight="1">
      <c r="B226" s="222">
        <v>218.0</v>
      </c>
      <c r="C226" s="222">
        <f t="shared" si="1"/>
        <v>0</v>
      </c>
      <c r="D226" s="222">
        <f t="shared" si="2"/>
        <v>0</v>
      </c>
      <c r="E226" s="222">
        <f t="shared" si="3"/>
        <v>0</v>
      </c>
      <c r="F226" s="4"/>
      <c r="G226" s="4"/>
      <c r="J226" s="4"/>
      <c r="K226" s="4"/>
      <c r="L226" s="4"/>
      <c r="R226" s="4"/>
      <c r="S226" s="4"/>
      <c r="T226" s="4"/>
    </row>
    <row r="227" ht="12.0" customHeight="1">
      <c r="B227" s="222">
        <v>219.0</v>
      </c>
      <c r="C227" s="222">
        <f t="shared" si="1"/>
        <v>0</v>
      </c>
      <c r="D227" s="222">
        <f t="shared" si="2"/>
        <v>0</v>
      </c>
      <c r="E227" s="222">
        <f t="shared" si="3"/>
        <v>0</v>
      </c>
      <c r="F227" s="4"/>
      <c r="G227" s="4"/>
      <c r="J227" s="4"/>
      <c r="K227" s="4"/>
      <c r="L227" s="4"/>
      <c r="R227" s="4"/>
      <c r="S227" s="4"/>
      <c r="T227" s="4"/>
    </row>
    <row r="228" ht="12.0" customHeight="1">
      <c r="B228" s="222">
        <v>220.0</v>
      </c>
      <c r="C228" s="222">
        <f t="shared" si="1"/>
        <v>0</v>
      </c>
      <c r="D228" s="222">
        <f t="shared" si="2"/>
        <v>0</v>
      </c>
      <c r="E228" s="222">
        <f t="shared" si="3"/>
        <v>0</v>
      </c>
      <c r="F228" s="4"/>
      <c r="G228" s="4"/>
      <c r="J228" s="4"/>
      <c r="K228" s="4"/>
      <c r="L228" s="4"/>
      <c r="R228" s="4"/>
      <c r="S228" s="4"/>
      <c r="T228" s="4"/>
    </row>
    <row r="229" ht="12.0" customHeight="1">
      <c r="B229" s="222">
        <v>221.0</v>
      </c>
      <c r="C229" s="222">
        <f t="shared" si="1"/>
        <v>0</v>
      </c>
      <c r="D229" s="222">
        <f t="shared" si="2"/>
        <v>0</v>
      </c>
      <c r="E229" s="222">
        <f t="shared" si="3"/>
        <v>0</v>
      </c>
      <c r="F229" s="4"/>
      <c r="G229" s="4"/>
      <c r="J229" s="4"/>
      <c r="K229" s="4"/>
      <c r="L229" s="4"/>
      <c r="R229" s="4"/>
      <c r="S229" s="4"/>
      <c r="T229" s="4"/>
    </row>
    <row r="230" ht="12.0" customHeight="1">
      <c r="B230" s="222">
        <v>222.0</v>
      </c>
      <c r="C230" s="222">
        <f t="shared" si="1"/>
        <v>0</v>
      </c>
      <c r="D230" s="222">
        <f t="shared" si="2"/>
        <v>0</v>
      </c>
      <c r="E230" s="222">
        <f t="shared" si="3"/>
        <v>0</v>
      </c>
      <c r="F230" s="4"/>
      <c r="G230" s="4"/>
      <c r="J230" s="4"/>
      <c r="K230" s="4"/>
      <c r="L230" s="4"/>
      <c r="R230" s="4"/>
      <c r="S230" s="4"/>
      <c r="T230" s="4"/>
    </row>
    <row r="231" ht="12.0" customHeight="1">
      <c r="B231" s="222">
        <v>223.0</v>
      </c>
      <c r="C231" s="222">
        <f t="shared" si="1"/>
        <v>0</v>
      </c>
      <c r="D231" s="222">
        <f t="shared" si="2"/>
        <v>0</v>
      </c>
      <c r="E231" s="222">
        <f t="shared" si="3"/>
        <v>0</v>
      </c>
      <c r="F231" s="4"/>
      <c r="G231" s="4"/>
      <c r="J231" s="4"/>
      <c r="K231" s="4"/>
      <c r="L231" s="4"/>
      <c r="R231" s="4"/>
      <c r="S231" s="4"/>
      <c r="T231" s="4"/>
    </row>
    <row r="232" ht="12.0" customHeight="1">
      <c r="B232" s="222">
        <v>224.0</v>
      </c>
      <c r="C232" s="222">
        <f t="shared" si="1"/>
        <v>0</v>
      </c>
      <c r="D232" s="222">
        <f t="shared" si="2"/>
        <v>0</v>
      </c>
      <c r="E232" s="222">
        <f t="shared" si="3"/>
        <v>0</v>
      </c>
      <c r="F232" s="4"/>
      <c r="G232" s="4"/>
      <c r="J232" s="4"/>
      <c r="K232" s="4"/>
      <c r="L232" s="4"/>
      <c r="R232" s="4"/>
      <c r="S232" s="4"/>
      <c r="T232" s="4"/>
    </row>
    <row r="233" ht="12.0" customHeight="1">
      <c r="B233" s="222">
        <v>225.0</v>
      </c>
      <c r="C233" s="222">
        <f t="shared" si="1"/>
        <v>0</v>
      </c>
      <c r="D233" s="222">
        <f t="shared" si="2"/>
        <v>0</v>
      </c>
      <c r="E233" s="222">
        <f t="shared" si="3"/>
        <v>0</v>
      </c>
      <c r="F233" s="4"/>
      <c r="G233" s="4"/>
      <c r="J233" s="4"/>
      <c r="K233" s="4"/>
      <c r="L233" s="4"/>
      <c r="R233" s="4"/>
      <c r="S233" s="4"/>
      <c r="T233" s="4"/>
    </row>
    <row r="234" ht="12.0" customHeight="1">
      <c r="B234" s="222">
        <v>226.0</v>
      </c>
      <c r="C234" s="222">
        <f t="shared" si="1"/>
        <v>0</v>
      </c>
      <c r="D234" s="222">
        <f t="shared" si="2"/>
        <v>0</v>
      </c>
      <c r="E234" s="222">
        <f t="shared" si="3"/>
        <v>0</v>
      </c>
      <c r="F234" s="4"/>
      <c r="G234" s="4"/>
      <c r="J234" s="4"/>
      <c r="K234" s="4"/>
      <c r="L234" s="4"/>
      <c r="R234" s="4"/>
      <c r="S234" s="4"/>
      <c r="T234" s="4"/>
    </row>
    <row r="235" ht="12.0" customHeight="1">
      <c r="B235" s="222">
        <v>227.0</v>
      </c>
      <c r="C235" s="222">
        <f t="shared" si="1"/>
        <v>0</v>
      </c>
      <c r="D235" s="222">
        <f t="shared" si="2"/>
        <v>0</v>
      </c>
      <c r="E235" s="222">
        <f t="shared" si="3"/>
        <v>0</v>
      </c>
      <c r="F235" s="4"/>
      <c r="G235" s="4"/>
      <c r="J235" s="4"/>
      <c r="K235" s="4"/>
      <c r="L235" s="4"/>
      <c r="R235" s="4"/>
      <c r="S235" s="4"/>
      <c r="T235" s="4"/>
    </row>
    <row r="236" ht="12.0" customHeight="1">
      <c r="B236" s="222">
        <v>228.0</v>
      </c>
      <c r="C236" s="222">
        <f t="shared" si="1"/>
        <v>0</v>
      </c>
      <c r="D236" s="222">
        <f t="shared" si="2"/>
        <v>0</v>
      </c>
      <c r="E236" s="222">
        <f t="shared" si="3"/>
        <v>0</v>
      </c>
      <c r="F236" s="4"/>
      <c r="G236" s="4"/>
      <c r="J236" s="4"/>
      <c r="K236" s="4"/>
      <c r="L236" s="4"/>
      <c r="R236" s="4"/>
      <c r="S236" s="4"/>
      <c r="T236" s="4"/>
    </row>
    <row r="237" ht="12.0" customHeight="1">
      <c r="B237" s="222">
        <v>229.0</v>
      </c>
      <c r="C237" s="222">
        <f t="shared" si="1"/>
        <v>0</v>
      </c>
      <c r="D237" s="222">
        <f t="shared" si="2"/>
        <v>0</v>
      </c>
      <c r="E237" s="222">
        <f t="shared" si="3"/>
        <v>0</v>
      </c>
      <c r="F237" s="4"/>
      <c r="G237" s="4"/>
      <c r="J237" s="4"/>
      <c r="K237" s="4"/>
      <c r="L237" s="4"/>
      <c r="R237" s="4"/>
      <c r="S237" s="4"/>
      <c r="T237" s="4"/>
    </row>
    <row r="238" ht="12.0" customHeight="1">
      <c r="B238" s="222">
        <v>230.0</v>
      </c>
      <c r="C238" s="222">
        <f t="shared" si="1"/>
        <v>0</v>
      </c>
      <c r="D238" s="222">
        <f t="shared" si="2"/>
        <v>0</v>
      </c>
      <c r="E238" s="222">
        <f t="shared" si="3"/>
        <v>0</v>
      </c>
      <c r="F238" s="4"/>
      <c r="G238" s="4"/>
      <c r="J238" s="4"/>
      <c r="K238" s="4"/>
      <c r="L238" s="4"/>
      <c r="R238" s="4"/>
      <c r="S238" s="4"/>
      <c r="T238" s="4"/>
    </row>
    <row r="239" ht="12.0" customHeight="1">
      <c r="B239" s="222">
        <v>231.0</v>
      </c>
      <c r="C239" s="222">
        <f t="shared" si="1"/>
        <v>0</v>
      </c>
      <c r="D239" s="222">
        <f t="shared" si="2"/>
        <v>0</v>
      </c>
      <c r="E239" s="222">
        <f t="shared" si="3"/>
        <v>0</v>
      </c>
      <c r="F239" s="4"/>
      <c r="G239" s="4"/>
      <c r="J239" s="4"/>
      <c r="K239" s="4"/>
      <c r="L239" s="4"/>
      <c r="R239" s="4"/>
      <c r="S239" s="4"/>
      <c r="T239" s="4"/>
    </row>
    <row r="240" ht="12.0" customHeight="1">
      <c r="B240" s="222">
        <v>232.0</v>
      </c>
      <c r="C240" s="222">
        <f t="shared" si="1"/>
        <v>0</v>
      </c>
      <c r="D240" s="222">
        <f t="shared" si="2"/>
        <v>0</v>
      </c>
      <c r="E240" s="222">
        <f t="shared" si="3"/>
        <v>0</v>
      </c>
      <c r="F240" s="4"/>
      <c r="G240" s="4"/>
      <c r="J240" s="4"/>
      <c r="K240" s="4"/>
      <c r="L240" s="4"/>
      <c r="R240" s="4"/>
      <c r="S240" s="4"/>
      <c r="T240" s="4"/>
    </row>
    <row r="241" ht="12.0" customHeight="1">
      <c r="B241" s="222">
        <v>233.0</v>
      </c>
      <c r="C241" s="222">
        <f t="shared" si="1"/>
        <v>0</v>
      </c>
      <c r="D241" s="222">
        <f t="shared" si="2"/>
        <v>0</v>
      </c>
      <c r="E241" s="222">
        <f t="shared" si="3"/>
        <v>0</v>
      </c>
      <c r="F241" s="4"/>
      <c r="G241" s="4"/>
      <c r="J241" s="4"/>
      <c r="K241" s="4"/>
      <c r="L241" s="4"/>
      <c r="R241" s="4"/>
      <c r="S241" s="4"/>
      <c r="T241" s="4"/>
    </row>
    <row r="242" ht="12.0" customHeight="1">
      <c r="B242" s="222">
        <v>234.0</v>
      </c>
      <c r="C242" s="222">
        <f t="shared" si="1"/>
        <v>0</v>
      </c>
      <c r="D242" s="222">
        <f t="shared" si="2"/>
        <v>0</v>
      </c>
      <c r="E242" s="222">
        <f t="shared" si="3"/>
        <v>0</v>
      </c>
      <c r="F242" s="4"/>
      <c r="G242" s="4"/>
      <c r="J242" s="4"/>
      <c r="K242" s="4"/>
      <c r="L242" s="4"/>
      <c r="R242" s="4"/>
      <c r="S242" s="4"/>
      <c r="T242" s="4"/>
    </row>
    <row r="243" ht="12.0" customHeight="1">
      <c r="B243" s="222">
        <v>235.0</v>
      </c>
      <c r="C243" s="222">
        <f t="shared" si="1"/>
        <v>0</v>
      </c>
      <c r="D243" s="222">
        <f t="shared" si="2"/>
        <v>0</v>
      </c>
      <c r="E243" s="222">
        <f t="shared" si="3"/>
        <v>0</v>
      </c>
      <c r="F243" s="4"/>
      <c r="G243" s="4"/>
      <c r="J243" s="4"/>
      <c r="K243" s="4"/>
      <c r="L243" s="4"/>
      <c r="R243" s="4"/>
      <c r="S243" s="4"/>
      <c r="T243" s="4"/>
    </row>
    <row r="244" ht="12.0" customHeight="1">
      <c r="B244" s="222">
        <v>236.0</v>
      </c>
      <c r="C244" s="222">
        <f t="shared" si="1"/>
        <v>0</v>
      </c>
      <c r="D244" s="222">
        <f t="shared" si="2"/>
        <v>0</v>
      </c>
      <c r="E244" s="222">
        <f t="shared" si="3"/>
        <v>0</v>
      </c>
      <c r="F244" s="4"/>
      <c r="G244" s="4"/>
      <c r="J244" s="4"/>
      <c r="K244" s="4"/>
      <c r="L244" s="4"/>
      <c r="R244" s="4"/>
      <c r="S244" s="4"/>
      <c r="T244" s="4"/>
    </row>
    <row r="245" ht="12.0" customHeight="1">
      <c r="B245" s="222">
        <v>237.0</v>
      </c>
      <c r="C245" s="222">
        <f t="shared" si="1"/>
        <v>0</v>
      </c>
      <c r="D245" s="222">
        <f t="shared" si="2"/>
        <v>0</v>
      </c>
      <c r="E245" s="222">
        <f t="shared" si="3"/>
        <v>0</v>
      </c>
      <c r="F245" s="4"/>
      <c r="G245" s="4"/>
      <c r="J245" s="4"/>
      <c r="K245" s="4"/>
      <c r="L245" s="4"/>
      <c r="R245" s="4"/>
      <c r="S245" s="4"/>
      <c r="T245" s="4"/>
    </row>
    <row r="246" ht="12.0" customHeight="1">
      <c r="B246" s="222">
        <v>238.0</v>
      </c>
      <c r="C246" s="222">
        <f t="shared" si="1"/>
        <v>0</v>
      </c>
      <c r="D246" s="222">
        <f t="shared" si="2"/>
        <v>0</v>
      </c>
      <c r="E246" s="222">
        <f t="shared" si="3"/>
        <v>0</v>
      </c>
      <c r="F246" s="4"/>
      <c r="G246" s="4"/>
      <c r="J246" s="4"/>
      <c r="K246" s="4"/>
      <c r="L246" s="4"/>
      <c r="R246" s="4"/>
      <c r="S246" s="4"/>
      <c r="T246" s="4"/>
    </row>
    <row r="247" ht="12.0" customHeight="1">
      <c r="B247" s="222">
        <v>239.0</v>
      </c>
      <c r="C247" s="222">
        <f t="shared" si="1"/>
        <v>0</v>
      </c>
      <c r="D247" s="222">
        <f t="shared" si="2"/>
        <v>0</v>
      </c>
      <c r="E247" s="222">
        <f t="shared" si="3"/>
        <v>0</v>
      </c>
      <c r="F247" s="4"/>
      <c r="G247" s="4"/>
      <c r="J247" s="4"/>
      <c r="K247" s="4"/>
      <c r="L247" s="4"/>
      <c r="R247" s="4"/>
      <c r="S247" s="4"/>
      <c r="T247" s="4"/>
    </row>
    <row r="248" ht="12.0" customHeight="1">
      <c r="B248" s="222">
        <v>240.0</v>
      </c>
      <c r="C248" s="222">
        <f t="shared" si="1"/>
        <v>0</v>
      </c>
      <c r="D248" s="222">
        <f t="shared" si="2"/>
        <v>0</v>
      </c>
      <c r="E248" s="222">
        <f t="shared" si="3"/>
        <v>0</v>
      </c>
      <c r="F248" s="4"/>
      <c r="G248" s="4"/>
      <c r="J248" s="4"/>
      <c r="K248" s="4"/>
      <c r="L248" s="4"/>
      <c r="R248" s="4"/>
      <c r="S248" s="4"/>
      <c r="T248" s="4"/>
    </row>
    <row r="249" ht="12.0" customHeight="1">
      <c r="B249" s="222">
        <v>241.0</v>
      </c>
      <c r="C249" s="222">
        <f t="shared" si="1"/>
        <v>0</v>
      </c>
      <c r="D249" s="222">
        <f t="shared" si="2"/>
        <v>0</v>
      </c>
      <c r="E249" s="222">
        <f t="shared" si="3"/>
        <v>0</v>
      </c>
      <c r="F249" s="4"/>
      <c r="G249" s="4"/>
      <c r="J249" s="4"/>
      <c r="K249" s="4"/>
      <c r="L249" s="4"/>
      <c r="R249" s="4"/>
      <c r="S249" s="4"/>
      <c r="T249" s="4"/>
    </row>
    <row r="250" ht="12.0" customHeight="1">
      <c r="B250" s="222">
        <v>242.0</v>
      </c>
      <c r="C250" s="222">
        <f t="shared" si="1"/>
        <v>0</v>
      </c>
      <c r="D250" s="222">
        <f t="shared" si="2"/>
        <v>0</v>
      </c>
      <c r="E250" s="222">
        <f t="shared" si="3"/>
        <v>0</v>
      </c>
      <c r="F250" s="4"/>
      <c r="G250" s="4"/>
      <c r="J250" s="4"/>
      <c r="K250" s="4"/>
      <c r="L250" s="4"/>
      <c r="R250" s="4"/>
      <c r="S250" s="4"/>
      <c r="T250" s="4"/>
    </row>
    <row r="251" ht="12.0" customHeight="1">
      <c r="B251" s="222">
        <v>243.0</v>
      </c>
      <c r="C251" s="222">
        <f t="shared" si="1"/>
        <v>0</v>
      </c>
      <c r="D251" s="222">
        <f t="shared" si="2"/>
        <v>0</v>
      </c>
      <c r="E251" s="222">
        <f t="shared" si="3"/>
        <v>0</v>
      </c>
      <c r="F251" s="4"/>
      <c r="G251" s="4"/>
      <c r="J251" s="4"/>
      <c r="K251" s="4"/>
      <c r="L251" s="4"/>
      <c r="R251" s="4"/>
      <c r="S251" s="4"/>
      <c r="T251" s="4"/>
    </row>
    <row r="252" ht="12.0" customHeight="1">
      <c r="B252" s="222">
        <v>244.0</v>
      </c>
      <c r="C252" s="222">
        <f t="shared" si="1"/>
        <v>0</v>
      </c>
      <c r="D252" s="222">
        <f t="shared" si="2"/>
        <v>0</v>
      </c>
      <c r="E252" s="222">
        <f t="shared" si="3"/>
        <v>0</v>
      </c>
      <c r="F252" s="4"/>
      <c r="G252" s="4"/>
      <c r="J252" s="4"/>
      <c r="K252" s="4"/>
      <c r="L252" s="4"/>
      <c r="R252" s="4"/>
      <c r="S252" s="4"/>
      <c r="T252" s="4"/>
    </row>
    <row r="253" ht="12.0" customHeight="1">
      <c r="B253" s="222">
        <v>245.0</v>
      </c>
      <c r="C253" s="222">
        <f t="shared" si="1"/>
        <v>0</v>
      </c>
      <c r="D253" s="222">
        <f t="shared" si="2"/>
        <v>0</v>
      </c>
      <c r="E253" s="222">
        <f t="shared" si="3"/>
        <v>0</v>
      </c>
      <c r="F253" s="4"/>
      <c r="G253" s="4"/>
      <c r="J253" s="4"/>
      <c r="K253" s="4"/>
      <c r="L253" s="4"/>
      <c r="R253" s="4"/>
      <c r="S253" s="4"/>
      <c r="T253" s="4"/>
    </row>
    <row r="254" ht="12.0" customHeight="1">
      <c r="B254" s="222">
        <v>246.0</v>
      </c>
      <c r="C254" s="222">
        <f t="shared" si="1"/>
        <v>0</v>
      </c>
      <c r="D254" s="222">
        <f t="shared" si="2"/>
        <v>0</v>
      </c>
      <c r="E254" s="222">
        <f t="shared" si="3"/>
        <v>0</v>
      </c>
      <c r="F254" s="4"/>
      <c r="G254" s="4"/>
      <c r="J254" s="4"/>
      <c r="K254" s="4"/>
      <c r="L254" s="4"/>
      <c r="R254" s="4"/>
      <c r="S254" s="4"/>
      <c r="T254" s="4"/>
    </row>
    <row r="255" ht="12.0" customHeight="1">
      <c r="B255" s="222">
        <v>247.0</v>
      </c>
      <c r="C255" s="222">
        <f t="shared" si="1"/>
        <v>0</v>
      </c>
      <c r="D255" s="222">
        <f t="shared" si="2"/>
        <v>0</v>
      </c>
      <c r="E255" s="222">
        <f t="shared" si="3"/>
        <v>0</v>
      </c>
      <c r="F255" s="4"/>
      <c r="G255" s="4"/>
      <c r="J255" s="4"/>
      <c r="K255" s="4"/>
      <c r="L255" s="4"/>
      <c r="R255" s="4"/>
      <c r="S255" s="4"/>
      <c r="T255" s="4"/>
    </row>
    <row r="256" ht="12.0" customHeight="1">
      <c r="B256" s="222">
        <v>248.0</v>
      </c>
      <c r="C256" s="222">
        <f t="shared" si="1"/>
        <v>0</v>
      </c>
      <c r="D256" s="222">
        <f t="shared" si="2"/>
        <v>0</v>
      </c>
      <c r="E256" s="222">
        <f t="shared" si="3"/>
        <v>0</v>
      </c>
      <c r="F256" s="4"/>
      <c r="G256" s="4"/>
      <c r="J256" s="4"/>
      <c r="K256" s="4"/>
      <c r="L256" s="4"/>
      <c r="R256" s="4"/>
      <c r="S256" s="4"/>
      <c r="T256" s="4"/>
    </row>
    <row r="257" ht="12.0" customHeight="1">
      <c r="B257" s="222">
        <v>249.0</v>
      </c>
      <c r="C257" s="222">
        <f t="shared" si="1"/>
        <v>0</v>
      </c>
      <c r="D257" s="222">
        <f t="shared" si="2"/>
        <v>0</v>
      </c>
      <c r="E257" s="222">
        <f t="shared" si="3"/>
        <v>0</v>
      </c>
      <c r="F257" s="4"/>
      <c r="G257" s="4"/>
      <c r="J257" s="4"/>
      <c r="K257" s="4"/>
      <c r="L257" s="4"/>
      <c r="R257" s="4"/>
      <c r="S257" s="4"/>
      <c r="T257" s="4"/>
    </row>
    <row r="258" ht="12.0" customHeight="1">
      <c r="B258" s="222">
        <v>250.0</v>
      </c>
      <c r="C258" s="222">
        <f t="shared" si="1"/>
        <v>0</v>
      </c>
      <c r="D258" s="222">
        <f t="shared" si="2"/>
        <v>0</v>
      </c>
      <c r="E258" s="222">
        <f t="shared" si="3"/>
        <v>0</v>
      </c>
      <c r="F258" s="4"/>
      <c r="G258" s="4"/>
      <c r="J258" s="4"/>
      <c r="K258" s="4"/>
      <c r="L258" s="4"/>
      <c r="R258" s="4"/>
      <c r="S258" s="4"/>
      <c r="T258" s="4"/>
    </row>
    <row r="259" ht="12.0" customHeight="1">
      <c r="B259" s="222">
        <v>251.0</v>
      </c>
      <c r="C259" s="222">
        <f t="shared" si="1"/>
        <v>0</v>
      </c>
      <c r="D259" s="222">
        <f t="shared" si="2"/>
        <v>0</v>
      </c>
      <c r="E259" s="222">
        <f t="shared" si="3"/>
        <v>0</v>
      </c>
      <c r="F259" s="4"/>
      <c r="G259" s="4"/>
      <c r="J259" s="4"/>
      <c r="K259" s="4"/>
      <c r="L259" s="4"/>
      <c r="R259" s="4"/>
      <c r="S259" s="4"/>
      <c r="T259" s="4"/>
    </row>
    <row r="260" ht="12.0" customHeight="1">
      <c r="B260" s="222">
        <v>252.0</v>
      </c>
      <c r="C260" s="222">
        <f t="shared" si="1"/>
        <v>0</v>
      </c>
      <c r="D260" s="222">
        <f t="shared" si="2"/>
        <v>0</v>
      </c>
      <c r="E260" s="222">
        <f t="shared" si="3"/>
        <v>0</v>
      </c>
      <c r="F260" s="4"/>
      <c r="G260" s="4"/>
      <c r="J260" s="4"/>
      <c r="K260" s="4"/>
      <c r="L260" s="4"/>
      <c r="R260" s="4"/>
      <c r="S260" s="4"/>
      <c r="T260" s="4"/>
    </row>
    <row r="261" ht="12.0" customHeight="1">
      <c r="B261" s="222">
        <v>253.0</v>
      </c>
      <c r="C261" s="222">
        <f t="shared" si="1"/>
        <v>0</v>
      </c>
      <c r="D261" s="222">
        <f t="shared" si="2"/>
        <v>0</v>
      </c>
      <c r="E261" s="222">
        <f t="shared" si="3"/>
        <v>0</v>
      </c>
      <c r="F261" s="4"/>
      <c r="G261" s="4"/>
      <c r="J261" s="4"/>
      <c r="K261" s="4"/>
      <c r="L261" s="4"/>
      <c r="R261" s="4"/>
      <c r="S261" s="4"/>
      <c r="T261" s="4"/>
    </row>
    <row r="262" ht="12.0" customHeight="1">
      <c r="B262" s="222">
        <v>254.0</v>
      </c>
      <c r="C262" s="222">
        <f t="shared" si="1"/>
        <v>0</v>
      </c>
      <c r="D262" s="222">
        <f t="shared" si="2"/>
        <v>0</v>
      </c>
      <c r="E262" s="222">
        <f t="shared" si="3"/>
        <v>0</v>
      </c>
      <c r="F262" s="4"/>
      <c r="G262" s="4"/>
      <c r="J262" s="4"/>
      <c r="K262" s="4"/>
      <c r="L262" s="4"/>
      <c r="R262" s="4"/>
      <c r="S262" s="4"/>
      <c r="T262" s="4"/>
    </row>
    <row r="263" ht="12.0" customHeight="1">
      <c r="B263" s="222">
        <v>255.0</v>
      </c>
      <c r="C263" s="222">
        <f t="shared" si="1"/>
        <v>0</v>
      </c>
      <c r="D263" s="222">
        <f t="shared" si="2"/>
        <v>0</v>
      </c>
      <c r="E263" s="222">
        <f t="shared" si="3"/>
        <v>0</v>
      </c>
      <c r="F263" s="4"/>
      <c r="G263" s="4"/>
      <c r="J263" s="4"/>
      <c r="K263" s="4"/>
      <c r="L263" s="4"/>
      <c r="R263" s="4"/>
      <c r="S263" s="4"/>
      <c r="T263" s="4"/>
    </row>
    <row r="264" ht="12.0" customHeight="1">
      <c r="B264" s="222">
        <v>256.0</v>
      </c>
      <c r="C264" s="222">
        <f t="shared" si="1"/>
        <v>0</v>
      </c>
      <c r="D264" s="222">
        <f t="shared" si="2"/>
        <v>0</v>
      </c>
      <c r="E264" s="222">
        <f t="shared" si="3"/>
        <v>0</v>
      </c>
      <c r="F264" s="4"/>
      <c r="G264" s="4"/>
      <c r="J264" s="4"/>
      <c r="K264" s="4"/>
      <c r="L264" s="4"/>
      <c r="R264" s="4"/>
      <c r="S264" s="4"/>
      <c r="T264" s="4"/>
    </row>
    <row r="265" ht="12.0" customHeight="1">
      <c r="B265" s="222">
        <v>257.0</v>
      </c>
      <c r="C265" s="222">
        <f t="shared" si="1"/>
        <v>0</v>
      </c>
      <c r="D265" s="222">
        <f t="shared" si="2"/>
        <v>0</v>
      </c>
      <c r="E265" s="222">
        <f t="shared" si="3"/>
        <v>0</v>
      </c>
      <c r="F265" s="4"/>
      <c r="G265" s="4"/>
      <c r="J265" s="4"/>
      <c r="K265" s="4"/>
      <c r="L265" s="4"/>
      <c r="R265" s="4"/>
      <c r="S265" s="4"/>
      <c r="T265" s="4"/>
    </row>
    <row r="266" ht="12.0" customHeight="1">
      <c r="B266" s="222">
        <v>258.0</v>
      </c>
      <c r="C266" s="222">
        <f t="shared" si="1"/>
        <v>0</v>
      </c>
      <c r="D266" s="222">
        <f t="shared" si="2"/>
        <v>0</v>
      </c>
      <c r="E266" s="222">
        <f t="shared" si="3"/>
        <v>0</v>
      </c>
      <c r="F266" s="4"/>
      <c r="G266" s="4"/>
      <c r="J266" s="4"/>
      <c r="K266" s="4"/>
      <c r="L266" s="4"/>
      <c r="R266" s="4"/>
      <c r="S266" s="4"/>
      <c r="T266" s="4"/>
    </row>
    <row r="267" ht="12.0" customHeight="1">
      <c r="B267" s="222">
        <v>259.0</v>
      </c>
      <c r="C267" s="222">
        <f t="shared" si="1"/>
        <v>0</v>
      </c>
      <c r="D267" s="222">
        <f t="shared" si="2"/>
        <v>0</v>
      </c>
      <c r="E267" s="222">
        <f t="shared" si="3"/>
        <v>0</v>
      </c>
      <c r="F267" s="4"/>
      <c r="G267" s="4"/>
      <c r="J267" s="4"/>
      <c r="K267" s="4"/>
      <c r="L267" s="4"/>
      <c r="R267" s="4"/>
      <c r="S267" s="4"/>
      <c r="T267" s="4"/>
    </row>
    <row r="268" ht="12.0" customHeight="1">
      <c r="B268" s="222">
        <v>260.0</v>
      </c>
      <c r="C268" s="222">
        <f t="shared" si="1"/>
        <v>0</v>
      </c>
      <c r="D268" s="222">
        <f t="shared" si="2"/>
        <v>0</v>
      </c>
      <c r="E268" s="222">
        <f t="shared" si="3"/>
        <v>0</v>
      </c>
      <c r="F268" s="4"/>
      <c r="G268" s="4"/>
      <c r="J268" s="4"/>
      <c r="K268" s="4"/>
      <c r="L268" s="4"/>
      <c r="R268" s="4"/>
      <c r="S268" s="4"/>
      <c r="T268" s="4"/>
    </row>
    <row r="269" ht="12.0" customHeight="1">
      <c r="B269" s="222">
        <v>261.0</v>
      </c>
      <c r="C269" s="222">
        <f t="shared" si="1"/>
        <v>0</v>
      </c>
      <c r="D269" s="222">
        <f t="shared" si="2"/>
        <v>0</v>
      </c>
      <c r="E269" s="222">
        <f t="shared" si="3"/>
        <v>0</v>
      </c>
      <c r="F269" s="4"/>
      <c r="G269" s="4"/>
      <c r="J269" s="4"/>
      <c r="K269" s="4"/>
      <c r="L269" s="4"/>
      <c r="R269" s="4"/>
      <c r="S269" s="4"/>
      <c r="T269" s="4"/>
    </row>
    <row r="270" ht="12.0" customHeight="1">
      <c r="B270" s="222">
        <v>262.0</v>
      </c>
      <c r="C270" s="222">
        <f t="shared" si="1"/>
        <v>0</v>
      </c>
      <c r="D270" s="222">
        <f t="shared" si="2"/>
        <v>0</v>
      </c>
      <c r="E270" s="222">
        <f t="shared" si="3"/>
        <v>0</v>
      </c>
      <c r="F270" s="4"/>
      <c r="G270" s="4"/>
      <c r="J270" s="4"/>
      <c r="K270" s="4"/>
      <c r="L270" s="4"/>
      <c r="R270" s="4"/>
      <c r="S270" s="4"/>
      <c r="T270" s="4"/>
    </row>
    <row r="271" ht="12.0" customHeight="1">
      <c r="B271" s="222">
        <v>263.0</v>
      </c>
      <c r="C271" s="222">
        <f t="shared" si="1"/>
        <v>0</v>
      </c>
      <c r="D271" s="222">
        <f t="shared" si="2"/>
        <v>0</v>
      </c>
      <c r="E271" s="222">
        <f t="shared" si="3"/>
        <v>0</v>
      </c>
      <c r="F271" s="4"/>
      <c r="G271" s="4"/>
      <c r="J271" s="4"/>
      <c r="K271" s="4"/>
      <c r="L271" s="4"/>
      <c r="R271" s="4"/>
      <c r="S271" s="4"/>
      <c r="T271" s="4"/>
    </row>
    <row r="272" ht="12.0" customHeight="1">
      <c r="B272" s="222">
        <v>264.0</v>
      </c>
      <c r="C272" s="222">
        <f t="shared" si="1"/>
        <v>0</v>
      </c>
      <c r="D272" s="222">
        <f t="shared" si="2"/>
        <v>0</v>
      </c>
      <c r="E272" s="222">
        <f t="shared" si="3"/>
        <v>0</v>
      </c>
      <c r="F272" s="4"/>
      <c r="G272" s="4"/>
      <c r="J272" s="4"/>
      <c r="K272" s="4"/>
      <c r="L272" s="4"/>
      <c r="R272" s="4"/>
      <c r="S272" s="4"/>
      <c r="T272" s="4"/>
    </row>
    <row r="273" ht="12.0" customHeight="1">
      <c r="B273" s="222">
        <v>265.0</v>
      </c>
      <c r="C273" s="222">
        <f t="shared" si="1"/>
        <v>0</v>
      </c>
      <c r="D273" s="222">
        <f t="shared" si="2"/>
        <v>0</v>
      </c>
      <c r="E273" s="222">
        <f t="shared" si="3"/>
        <v>0</v>
      </c>
      <c r="F273" s="4"/>
      <c r="G273" s="4"/>
      <c r="J273" s="4"/>
      <c r="K273" s="4"/>
      <c r="L273" s="4"/>
      <c r="R273" s="4"/>
      <c r="S273" s="4"/>
      <c r="T273" s="4"/>
    </row>
    <row r="274" ht="12.0" customHeight="1">
      <c r="B274" s="222">
        <v>266.0</v>
      </c>
      <c r="C274" s="222">
        <f t="shared" si="1"/>
        <v>0</v>
      </c>
      <c r="D274" s="222">
        <f t="shared" si="2"/>
        <v>0</v>
      </c>
      <c r="E274" s="222">
        <f t="shared" si="3"/>
        <v>0</v>
      </c>
      <c r="F274" s="4"/>
      <c r="G274" s="4"/>
      <c r="J274" s="4"/>
      <c r="K274" s="4"/>
      <c r="L274" s="4"/>
      <c r="R274" s="4"/>
      <c r="S274" s="4"/>
      <c r="T274" s="4"/>
    </row>
    <row r="275" ht="12.0" customHeight="1">
      <c r="B275" s="222">
        <v>267.0</v>
      </c>
      <c r="C275" s="222">
        <f t="shared" si="1"/>
        <v>0</v>
      </c>
      <c r="D275" s="222">
        <f t="shared" si="2"/>
        <v>0</v>
      </c>
      <c r="E275" s="222">
        <f t="shared" si="3"/>
        <v>0</v>
      </c>
      <c r="F275" s="4"/>
      <c r="G275" s="4"/>
      <c r="J275" s="4"/>
      <c r="K275" s="4"/>
      <c r="L275" s="4"/>
      <c r="R275" s="4"/>
      <c r="S275" s="4"/>
      <c r="T275" s="4"/>
    </row>
    <row r="276" ht="12.0" customHeight="1">
      <c r="B276" s="222">
        <v>268.0</v>
      </c>
      <c r="C276" s="222">
        <f t="shared" si="1"/>
        <v>0</v>
      </c>
      <c r="D276" s="222">
        <f t="shared" si="2"/>
        <v>0</v>
      </c>
      <c r="E276" s="222">
        <f t="shared" si="3"/>
        <v>0</v>
      </c>
      <c r="F276" s="4"/>
      <c r="G276" s="4"/>
      <c r="J276" s="4"/>
      <c r="K276" s="4"/>
      <c r="L276" s="4"/>
      <c r="R276" s="4"/>
      <c r="S276" s="4"/>
      <c r="T276" s="4"/>
    </row>
    <row r="277" ht="12.0" customHeight="1">
      <c r="B277" s="222">
        <v>269.0</v>
      </c>
      <c r="C277" s="222">
        <f t="shared" si="1"/>
        <v>0</v>
      </c>
      <c r="D277" s="222">
        <f t="shared" si="2"/>
        <v>0</v>
      </c>
      <c r="E277" s="222">
        <f t="shared" si="3"/>
        <v>0</v>
      </c>
      <c r="F277" s="4"/>
      <c r="G277" s="4"/>
      <c r="J277" s="4"/>
      <c r="K277" s="4"/>
      <c r="L277" s="4"/>
      <c r="R277" s="4"/>
      <c r="S277" s="4"/>
      <c r="T277" s="4"/>
    </row>
    <row r="278" ht="12.0" customHeight="1">
      <c r="B278" s="222">
        <v>270.0</v>
      </c>
      <c r="C278" s="222">
        <f t="shared" si="1"/>
        <v>0</v>
      </c>
      <c r="D278" s="222">
        <f t="shared" si="2"/>
        <v>0</v>
      </c>
      <c r="E278" s="222">
        <f t="shared" si="3"/>
        <v>0</v>
      </c>
      <c r="F278" s="4"/>
      <c r="G278" s="4"/>
      <c r="J278" s="4"/>
      <c r="K278" s="4"/>
      <c r="L278" s="4"/>
      <c r="R278" s="4"/>
      <c r="S278" s="4"/>
      <c r="T278" s="4"/>
    </row>
    <row r="279" ht="12.0" customHeight="1">
      <c r="B279" s="222">
        <v>271.0</v>
      </c>
      <c r="C279" s="222">
        <f t="shared" si="1"/>
        <v>0</v>
      </c>
      <c r="D279" s="222">
        <f t="shared" si="2"/>
        <v>0</v>
      </c>
      <c r="E279" s="222">
        <f t="shared" si="3"/>
        <v>0</v>
      </c>
      <c r="F279" s="4"/>
      <c r="G279" s="4"/>
      <c r="J279" s="4"/>
      <c r="K279" s="4"/>
      <c r="L279" s="4"/>
      <c r="R279" s="4"/>
      <c r="S279" s="4"/>
      <c r="T279" s="4"/>
    </row>
    <row r="280" ht="12.0" customHeight="1">
      <c r="B280" s="222">
        <v>272.0</v>
      </c>
      <c r="C280" s="222">
        <f t="shared" si="1"/>
        <v>0</v>
      </c>
      <c r="D280" s="222">
        <f t="shared" si="2"/>
        <v>0</v>
      </c>
      <c r="E280" s="222">
        <f t="shared" si="3"/>
        <v>0</v>
      </c>
      <c r="F280" s="4"/>
      <c r="G280" s="4"/>
      <c r="J280" s="4"/>
      <c r="K280" s="4"/>
      <c r="L280" s="4"/>
      <c r="R280" s="4"/>
      <c r="S280" s="4"/>
      <c r="T280" s="4"/>
    </row>
    <row r="281" ht="12.0" customHeight="1">
      <c r="B281" s="222">
        <v>273.0</v>
      </c>
      <c r="C281" s="222">
        <f t="shared" si="1"/>
        <v>0</v>
      </c>
      <c r="D281" s="222">
        <f t="shared" si="2"/>
        <v>0</v>
      </c>
      <c r="E281" s="222">
        <f t="shared" si="3"/>
        <v>0</v>
      </c>
      <c r="F281" s="4"/>
      <c r="G281" s="4"/>
      <c r="J281" s="4"/>
      <c r="K281" s="4"/>
      <c r="L281" s="4"/>
      <c r="R281" s="4"/>
      <c r="S281" s="4"/>
      <c r="T281" s="4"/>
    </row>
    <row r="282" ht="12.0" customHeight="1">
      <c r="B282" s="222">
        <v>274.0</v>
      </c>
      <c r="C282" s="222">
        <f t="shared" si="1"/>
        <v>0</v>
      </c>
      <c r="D282" s="222">
        <f t="shared" si="2"/>
        <v>0</v>
      </c>
      <c r="E282" s="222">
        <f t="shared" si="3"/>
        <v>0</v>
      </c>
      <c r="F282" s="4"/>
      <c r="G282" s="4"/>
      <c r="J282" s="4"/>
      <c r="K282" s="4"/>
      <c r="L282" s="4"/>
      <c r="R282" s="4"/>
      <c r="S282" s="4"/>
      <c r="T282" s="4"/>
    </row>
    <row r="283" ht="12.0" customHeight="1">
      <c r="B283" s="222">
        <v>275.0</v>
      </c>
      <c r="C283" s="222">
        <f t="shared" si="1"/>
        <v>0</v>
      </c>
      <c r="D283" s="222">
        <f t="shared" si="2"/>
        <v>0</v>
      </c>
      <c r="E283" s="222">
        <f t="shared" si="3"/>
        <v>0</v>
      </c>
      <c r="F283" s="4"/>
      <c r="G283" s="4"/>
      <c r="J283" s="4"/>
      <c r="K283" s="4"/>
      <c r="L283" s="4"/>
      <c r="R283" s="4"/>
      <c r="S283" s="4"/>
      <c r="T283" s="4"/>
    </row>
    <row r="284" ht="12.0" customHeight="1">
      <c r="B284" s="222">
        <v>276.0</v>
      </c>
      <c r="C284" s="222">
        <f t="shared" si="1"/>
        <v>0</v>
      </c>
      <c r="D284" s="222">
        <f t="shared" si="2"/>
        <v>0</v>
      </c>
      <c r="E284" s="222">
        <f t="shared" si="3"/>
        <v>0</v>
      </c>
      <c r="F284" s="4"/>
      <c r="G284" s="4"/>
      <c r="J284" s="4"/>
      <c r="K284" s="4"/>
      <c r="L284" s="4"/>
      <c r="R284" s="4"/>
      <c r="S284" s="4"/>
      <c r="T284" s="4"/>
    </row>
    <row r="285" ht="12.0" customHeight="1">
      <c r="B285" s="222">
        <v>277.0</v>
      </c>
      <c r="C285" s="222">
        <f t="shared" si="1"/>
        <v>0</v>
      </c>
      <c r="D285" s="222">
        <f t="shared" si="2"/>
        <v>0</v>
      </c>
      <c r="E285" s="222">
        <f t="shared" si="3"/>
        <v>0</v>
      </c>
      <c r="F285" s="4"/>
      <c r="G285" s="4"/>
      <c r="J285" s="4"/>
      <c r="K285" s="4"/>
      <c r="L285" s="4"/>
      <c r="R285" s="4"/>
      <c r="S285" s="4"/>
      <c r="T285" s="4"/>
    </row>
    <row r="286" ht="12.0" customHeight="1">
      <c r="B286" s="222">
        <v>278.0</v>
      </c>
      <c r="C286" s="222">
        <f t="shared" si="1"/>
        <v>0</v>
      </c>
      <c r="D286" s="222">
        <f t="shared" si="2"/>
        <v>0</v>
      </c>
      <c r="E286" s="222">
        <f t="shared" si="3"/>
        <v>0</v>
      </c>
      <c r="F286" s="4"/>
      <c r="G286" s="4"/>
      <c r="J286" s="4"/>
      <c r="K286" s="4"/>
      <c r="L286" s="4"/>
      <c r="R286" s="4"/>
      <c r="S286" s="4"/>
      <c r="T286" s="4"/>
    </row>
    <row r="287" ht="12.0" customHeight="1">
      <c r="B287" s="222">
        <v>279.0</v>
      </c>
      <c r="C287" s="222">
        <f t="shared" si="1"/>
        <v>0</v>
      </c>
      <c r="D287" s="222">
        <f t="shared" si="2"/>
        <v>0</v>
      </c>
      <c r="E287" s="222">
        <f t="shared" si="3"/>
        <v>0</v>
      </c>
      <c r="F287" s="4"/>
      <c r="G287" s="4"/>
      <c r="J287" s="4"/>
      <c r="K287" s="4"/>
      <c r="L287" s="4"/>
      <c r="R287" s="4"/>
      <c r="S287" s="4"/>
      <c r="T287" s="4"/>
    </row>
    <row r="288" ht="12.0" customHeight="1">
      <c r="B288" s="222">
        <v>280.0</v>
      </c>
      <c r="C288" s="222">
        <f t="shared" si="1"/>
        <v>0</v>
      </c>
      <c r="D288" s="222">
        <f t="shared" si="2"/>
        <v>0</v>
      </c>
      <c r="E288" s="222">
        <f t="shared" si="3"/>
        <v>0</v>
      </c>
      <c r="F288" s="4"/>
      <c r="G288" s="4"/>
      <c r="J288" s="4"/>
      <c r="K288" s="4"/>
      <c r="L288" s="4"/>
      <c r="R288" s="4"/>
      <c r="S288" s="4"/>
      <c r="T288" s="4"/>
    </row>
    <row r="289" ht="12.0" customHeight="1">
      <c r="B289" s="222">
        <v>281.0</v>
      </c>
      <c r="C289" s="222">
        <f t="shared" si="1"/>
        <v>0</v>
      </c>
      <c r="D289" s="222">
        <f t="shared" si="2"/>
        <v>0</v>
      </c>
      <c r="E289" s="222">
        <f t="shared" si="3"/>
        <v>0</v>
      </c>
      <c r="F289" s="4"/>
      <c r="G289" s="4"/>
      <c r="J289" s="4"/>
      <c r="K289" s="4"/>
      <c r="L289" s="4"/>
      <c r="R289" s="4"/>
      <c r="S289" s="4"/>
      <c r="T289" s="4"/>
    </row>
    <row r="290" ht="12.0" customHeight="1">
      <c r="B290" s="222">
        <v>282.0</v>
      </c>
      <c r="C290" s="222">
        <f t="shared" si="1"/>
        <v>0</v>
      </c>
      <c r="D290" s="222">
        <f t="shared" si="2"/>
        <v>0</v>
      </c>
      <c r="E290" s="222">
        <f t="shared" si="3"/>
        <v>0</v>
      </c>
      <c r="F290" s="4"/>
      <c r="G290" s="4"/>
      <c r="J290" s="4"/>
      <c r="K290" s="4"/>
      <c r="L290" s="4"/>
      <c r="R290" s="4"/>
      <c r="S290" s="4"/>
      <c r="T290" s="4"/>
    </row>
    <row r="291" ht="12.0" customHeight="1">
      <c r="B291" s="222">
        <v>283.0</v>
      </c>
      <c r="C291" s="222">
        <f t="shared" si="1"/>
        <v>0</v>
      </c>
      <c r="D291" s="222">
        <f t="shared" si="2"/>
        <v>0</v>
      </c>
      <c r="E291" s="222">
        <f t="shared" si="3"/>
        <v>0</v>
      </c>
      <c r="F291" s="4"/>
      <c r="G291" s="4"/>
      <c r="J291" s="4"/>
      <c r="K291" s="4"/>
      <c r="L291" s="4"/>
      <c r="R291" s="4"/>
      <c r="S291" s="4"/>
      <c r="T291" s="4"/>
    </row>
    <row r="292" ht="12.0" customHeight="1">
      <c r="B292" s="222">
        <v>284.0</v>
      </c>
      <c r="C292" s="222">
        <f t="shared" si="1"/>
        <v>0</v>
      </c>
      <c r="D292" s="222">
        <f t="shared" si="2"/>
        <v>0</v>
      </c>
      <c r="E292" s="222">
        <f t="shared" si="3"/>
        <v>0</v>
      </c>
      <c r="F292" s="4"/>
      <c r="G292" s="4"/>
      <c r="J292" s="4"/>
      <c r="K292" s="4"/>
      <c r="L292" s="4"/>
      <c r="R292" s="4"/>
      <c r="S292" s="4"/>
      <c r="T292" s="4"/>
    </row>
    <row r="293" ht="12.0" customHeight="1">
      <c r="B293" s="222">
        <v>285.0</v>
      </c>
      <c r="C293" s="222">
        <f t="shared" si="1"/>
        <v>0</v>
      </c>
      <c r="D293" s="222">
        <f t="shared" si="2"/>
        <v>0</v>
      </c>
      <c r="E293" s="222">
        <f t="shared" si="3"/>
        <v>0</v>
      </c>
      <c r="F293" s="4"/>
      <c r="G293" s="4"/>
      <c r="J293" s="4"/>
      <c r="K293" s="4"/>
      <c r="L293" s="4"/>
      <c r="R293" s="4"/>
      <c r="S293" s="4"/>
      <c r="T293" s="4"/>
    </row>
    <row r="294" ht="12.0" customHeight="1">
      <c r="B294" s="222">
        <v>286.0</v>
      </c>
      <c r="C294" s="222">
        <f t="shared" si="1"/>
        <v>0</v>
      </c>
      <c r="D294" s="222">
        <f t="shared" si="2"/>
        <v>0</v>
      </c>
      <c r="E294" s="222">
        <f t="shared" si="3"/>
        <v>0</v>
      </c>
      <c r="F294" s="4"/>
      <c r="G294" s="4"/>
      <c r="J294" s="4"/>
      <c r="K294" s="4"/>
      <c r="L294" s="4"/>
      <c r="R294" s="4"/>
      <c r="S294" s="4"/>
      <c r="T294" s="4"/>
    </row>
    <row r="295" ht="12.0" customHeight="1">
      <c r="B295" s="222">
        <v>287.0</v>
      </c>
      <c r="C295" s="222">
        <f t="shared" si="1"/>
        <v>0</v>
      </c>
      <c r="D295" s="222">
        <f t="shared" si="2"/>
        <v>0</v>
      </c>
      <c r="E295" s="222">
        <f t="shared" si="3"/>
        <v>0</v>
      </c>
      <c r="F295" s="4"/>
      <c r="G295" s="4"/>
      <c r="J295" s="4"/>
      <c r="K295" s="4"/>
      <c r="L295" s="4"/>
      <c r="R295" s="4"/>
      <c r="S295" s="4"/>
      <c r="T295" s="4"/>
    </row>
    <row r="296" ht="12.0" customHeight="1">
      <c r="B296" s="222">
        <v>288.0</v>
      </c>
      <c r="C296" s="222">
        <f t="shared" si="1"/>
        <v>0</v>
      </c>
      <c r="D296" s="222">
        <f t="shared" si="2"/>
        <v>0</v>
      </c>
      <c r="E296" s="222">
        <f t="shared" si="3"/>
        <v>0</v>
      </c>
      <c r="F296" s="4"/>
      <c r="G296" s="4"/>
      <c r="J296" s="4"/>
      <c r="K296" s="4"/>
      <c r="L296" s="4"/>
      <c r="R296" s="4"/>
      <c r="S296" s="4"/>
      <c r="T296" s="4"/>
    </row>
    <row r="297" ht="12.0" customHeight="1">
      <c r="B297" s="222">
        <v>289.0</v>
      </c>
      <c r="C297" s="222">
        <f t="shared" si="1"/>
        <v>0</v>
      </c>
      <c r="D297" s="222">
        <f t="shared" si="2"/>
        <v>0</v>
      </c>
      <c r="E297" s="222">
        <f t="shared" si="3"/>
        <v>0</v>
      </c>
      <c r="F297" s="4"/>
      <c r="G297" s="4"/>
      <c r="J297" s="4"/>
      <c r="K297" s="4"/>
      <c r="L297" s="4"/>
      <c r="R297" s="4"/>
      <c r="S297" s="4"/>
      <c r="T297" s="4"/>
    </row>
    <row r="298" ht="12.0" customHeight="1">
      <c r="B298" s="222">
        <v>290.0</v>
      </c>
      <c r="C298" s="222">
        <f t="shared" si="1"/>
        <v>0</v>
      </c>
      <c r="D298" s="222">
        <f t="shared" si="2"/>
        <v>0</v>
      </c>
      <c r="E298" s="222">
        <f t="shared" si="3"/>
        <v>0</v>
      </c>
      <c r="F298" s="4"/>
      <c r="G298" s="4"/>
      <c r="J298" s="4"/>
      <c r="K298" s="4"/>
      <c r="L298" s="4"/>
      <c r="R298" s="4"/>
      <c r="S298" s="4"/>
      <c r="T298" s="4"/>
    </row>
    <row r="299" ht="12.0" customHeight="1">
      <c r="B299" s="222">
        <v>291.0</v>
      </c>
      <c r="C299" s="222">
        <f t="shared" si="1"/>
        <v>0</v>
      </c>
      <c r="D299" s="222">
        <f t="shared" si="2"/>
        <v>0</v>
      </c>
      <c r="E299" s="222">
        <f t="shared" si="3"/>
        <v>0</v>
      </c>
      <c r="F299" s="4"/>
      <c r="G299" s="4"/>
      <c r="J299" s="4"/>
      <c r="K299" s="4"/>
      <c r="L299" s="4"/>
      <c r="R299" s="4"/>
      <c r="S299" s="4"/>
      <c r="T299" s="4"/>
    </row>
    <row r="300" ht="12.0" customHeight="1">
      <c r="B300" s="222">
        <v>292.0</v>
      </c>
      <c r="C300" s="222">
        <f t="shared" si="1"/>
        <v>0</v>
      </c>
      <c r="D300" s="222">
        <f t="shared" si="2"/>
        <v>0</v>
      </c>
      <c r="E300" s="222">
        <f t="shared" si="3"/>
        <v>0</v>
      </c>
      <c r="F300" s="4"/>
      <c r="G300" s="4"/>
      <c r="J300" s="4"/>
      <c r="K300" s="4"/>
      <c r="L300" s="4"/>
      <c r="R300" s="4"/>
      <c r="S300" s="4"/>
      <c r="T300" s="4"/>
    </row>
    <row r="301" ht="12.0" customHeight="1">
      <c r="B301" s="222">
        <v>293.0</v>
      </c>
      <c r="C301" s="222">
        <f t="shared" si="1"/>
        <v>0</v>
      </c>
      <c r="D301" s="222">
        <f t="shared" si="2"/>
        <v>0</v>
      </c>
      <c r="E301" s="222">
        <f t="shared" si="3"/>
        <v>0</v>
      </c>
      <c r="F301" s="4"/>
      <c r="G301" s="4"/>
      <c r="J301" s="4"/>
      <c r="K301" s="4"/>
      <c r="L301" s="4"/>
      <c r="R301" s="4"/>
      <c r="S301" s="4"/>
      <c r="T301" s="4"/>
    </row>
    <row r="302" ht="12.0" customHeight="1">
      <c r="B302" s="222">
        <v>294.0</v>
      </c>
      <c r="C302" s="222">
        <f t="shared" si="1"/>
        <v>0</v>
      </c>
      <c r="D302" s="222">
        <f t="shared" si="2"/>
        <v>0</v>
      </c>
      <c r="E302" s="222">
        <f t="shared" si="3"/>
        <v>0</v>
      </c>
      <c r="F302" s="4"/>
      <c r="G302" s="4"/>
      <c r="J302" s="4"/>
      <c r="K302" s="4"/>
      <c r="L302" s="4"/>
      <c r="R302" s="4"/>
      <c r="S302" s="4"/>
      <c r="T302" s="4"/>
    </row>
    <row r="303" ht="12.0" customHeight="1">
      <c r="B303" s="222">
        <v>295.0</v>
      </c>
      <c r="C303" s="222">
        <f t="shared" si="1"/>
        <v>0</v>
      </c>
      <c r="D303" s="222">
        <f t="shared" si="2"/>
        <v>0</v>
      </c>
      <c r="E303" s="222">
        <f t="shared" si="3"/>
        <v>0</v>
      </c>
      <c r="F303" s="4"/>
      <c r="G303" s="4"/>
      <c r="J303" s="4"/>
      <c r="K303" s="4"/>
      <c r="L303" s="4"/>
      <c r="R303" s="4"/>
      <c r="S303" s="4"/>
      <c r="T303" s="4"/>
    </row>
    <row r="304" ht="12.0" customHeight="1">
      <c r="B304" s="222">
        <v>296.0</v>
      </c>
      <c r="C304" s="222">
        <f t="shared" si="1"/>
        <v>0</v>
      </c>
      <c r="D304" s="222">
        <f t="shared" si="2"/>
        <v>0</v>
      </c>
      <c r="E304" s="222">
        <f t="shared" si="3"/>
        <v>0</v>
      </c>
      <c r="F304" s="4"/>
      <c r="G304" s="4"/>
      <c r="J304" s="4"/>
      <c r="K304" s="4"/>
      <c r="L304" s="4"/>
      <c r="R304" s="4"/>
      <c r="S304" s="4"/>
      <c r="T304" s="4"/>
    </row>
    <row r="305" ht="12.0" customHeight="1">
      <c r="B305" s="222">
        <v>297.0</v>
      </c>
      <c r="C305" s="222">
        <f t="shared" si="1"/>
        <v>0</v>
      </c>
      <c r="D305" s="222">
        <f t="shared" si="2"/>
        <v>0</v>
      </c>
      <c r="E305" s="222">
        <f t="shared" si="3"/>
        <v>0</v>
      </c>
      <c r="F305" s="4"/>
      <c r="G305" s="4"/>
      <c r="J305" s="4"/>
      <c r="K305" s="4"/>
      <c r="L305" s="4"/>
      <c r="R305" s="4"/>
      <c r="S305" s="4"/>
      <c r="T305" s="4"/>
    </row>
    <row r="306" ht="12.0" customHeight="1">
      <c r="B306" s="222">
        <v>298.0</v>
      </c>
      <c r="C306" s="222">
        <f t="shared" si="1"/>
        <v>0</v>
      </c>
      <c r="D306" s="222">
        <f t="shared" si="2"/>
        <v>0</v>
      </c>
      <c r="E306" s="222">
        <f t="shared" si="3"/>
        <v>0</v>
      </c>
      <c r="F306" s="4"/>
      <c r="G306" s="4"/>
      <c r="J306" s="4"/>
      <c r="K306" s="4"/>
      <c r="L306" s="4"/>
      <c r="R306" s="4"/>
      <c r="S306" s="4"/>
      <c r="T306" s="4"/>
    </row>
    <row r="307" ht="12.0" customHeight="1">
      <c r="B307" s="222">
        <v>299.0</v>
      </c>
      <c r="C307" s="222">
        <f t="shared" si="1"/>
        <v>0</v>
      </c>
      <c r="D307" s="222">
        <f t="shared" si="2"/>
        <v>0</v>
      </c>
      <c r="E307" s="222">
        <f t="shared" si="3"/>
        <v>0</v>
      </c>
      <c r="F307" s="4"/>
      <c r="G307" s="4"/>
      <c r="J307" s="4"/>
      <c r="K307" s="4"/>
      <c r="L307" s="4"/>
      <c r="R307" s="4"/>
      <c r="S307" s="4"/>
      <c r="T307" s="4"/>
    </row>
    <row r="308" ht="12.0" customHeight="1">
      <c r="B308" s="222">
        <v>300.0</v>
      </c>
      <c r="C308" s="222">
        <f t="shared" si="1"/>
        <v>0</v>
      </c>
      <c r="D308" s="222">
        <f t="shared" si="2"/>
        <v>0</v>
      </c>
      <c r="E308" s="222">
        <f t="shared" si="3"/>
        <v>0</v>
      </c>
      <c r="F308" s="4"/>
      <c r="G308" s="4"/>
      <c r="J308" s="4"/>
      <c r="K308" s="4"/>
      <c r="L308" s="4"/>
      <c r="R308" s="4"/>
      <c r="S308" s="4"/>
      <c r="T308" s="4"/>
    </row>
    <row r="309" ht="12.0" customHeight="1">
      <c r="B309" s="222">
        <v>301.0</v>
      </c>
      <c r="C309" s="222">
        <f t="shared" si="1"/>
        <v>0</v>
      </c>
      <c r="D309" s="222">
        <f t="shared" si="2"/>
        <v>0</v>
      </c>
      <c r="E309" s="222">
        <f t="shared" si="3"/>
        <v>0</v>
      </c>
      <c r="F309" s="4"/>
      <c r="G309" s="4"/>
      <c r="J309" s="4"/>
      <c r="K309" s="4"/>
      <c r="L309" s="4"/>
      <c r="R309" s="4"/>
      <c r="S309" s="4"/>
      <c r="T309" s="4"/>
    </row>
    <row r="310" ht="12.0" customHeight="1">
      <c r="B310" s="222">
        <v>302.0</v>
      </c>
      <c r="C310" s="222">
        <f t="shared" si="1"/>
        <v>0</v>
      </c>
      <c r="D310" s="222">
        <f t="shared" si="2"/>
        <v>0</v>
      </c>
      <c r="E310" s="222">
        <f t="shared" si="3"/>
        <v>0</v>
      </c>
      <c r="F310" s="4"/>
      <c r="G310" s="4"/>
      <c r="J310" s="4"/>
      <c r="K310" s="4"/>
      <c r="L310" s="4"/>
      <c r="R310" s="4"/>
      <c r="S310" s="4"/>
      <c r="T310" s="4"/>
    </row>
    <row r="311" ht="12.0" customHeight="1">
      <c r="B311" s="222">
        <v>303.0</v>
      </c>
      <c r="C311" s="222">
        <f t="shared" si="1"/>
        <v>0</v>
      </c>
      <c r="D311" s="222">
        <f t="shared" si="2"/>
        <v>0</v>
      </c>
      <c r="E311" s="222">
        <f t="shared" si="3"/>
        <v>0</v>
      </c>
      <c r="F311" s="4"/>
      <c r="G311" s="4"/>
      <c r="J311" s="4"/>
      <c r="K311" s="4"/>
      <c r="L311" s="4"/>
      <c r="R311" s="4"/>
      <c r="S311" s="4"/>
      <c r="T311" s="4"/>
    </row>
    <row r="312" ht="12.0" customHeight="1">
      <c r="B312" s="222">
        <v>304.0</v>
      </c>
      <c r="C312" s="222">
        <f t="shared" si="1"/>
        <v>0</v>
      </c>
      <c r="D312" s="222">
        <f t="shared" si="2"/>
        <v>0</v>
      </c>
      <c r="E312" s="222">
        <f t="shared" si="3"/>
        <v>0</v>
      </c>
      <c r="F312" s="4"/>
      <c r="G312" s="4"/>
      <c r="J312" s="4"/>
      <c r="K312" s="4"/>
      <c r="L312" s="4"/>
      <c r="R312" s="4"/>
      <c r="S312" s="4"/>
      <c r="T312" s="4"/>
    </row>
    <row r="313" ht="12.0" customHeight="1">
      <c r="B313" s="222">
        <v>305.0</v>
      </c>
      <c r="C313" s="222">
        <f t="shared" si="1"/>
        <v>0</v>
      </c>
      <c r="D313" s="222">
        <f t="shared" si="2"/>
        <v>0</v>
      </c>
      <c r="E313" s="222">
        <f t="shared" si="3"/>
        <v>0</v>
      </c>
      <c r="F313" s="4"/>
      <c r="G313" s="4"/>
      <c r="J313" s="4"/>
      <c r="K313" s="4"/>
      <c r="L313" s="4"/>
      <c r="R313" s="4"/>
      <c r="S313" s="4"/>
      <c r="T313" s="4"/>
    </row>
    <row r="314" ht="12.0" customHeight="1">
      <c r="B314" s="222">
        <v>306.0</v>
      </c>
      <c r="C314" s="222">
        <f t="shared" si="1"/>
        <v>0</v>
      </c>
      <c r="D314" s="222">
        <f t="shared" si="2"/>
        <v>0</v>
      </c>
      <c r="E314" s="222">
        <f t="shared" si="3"/>
        <v>0</v>
      </c>
      <c r="F314" s="4"/>
      <c r="G314" s="4"/>
      <c r="J314" s="4"/>
      <c r="K314" s="4"/>
      <c r="L314" s="4"/>
      <c r="R314" s="4"/>
      <c r="S314" s="4"/>
      <c r="T314" s="4"/>
    </row>
    <row r="315" ht="12.0" customHeight="1">
      <c r="B315" s="222">
        <v>307.0</v>
      </c>
      <c r="C315" s="222">
        <f t="shared" si="1"/>
        <v>0</v>
      </c>
      <c r="D315" s="222">
        <f t="shared" si="2"/>
        <v>0</v>
      </c>
      <c r="E315" s="222">
        <f t="shared" si="3"/>
        <v>0</v>
      </c>
      <c r="F315" s="4"/>
      <c r="G315" s="4"/>
      <c r="J315" s="4"/>
      <c r="K315" s="4"/>
      <c r="L315" s="4"/>
      <c r="R315" s="4"/>
      <c r="S315" s="4"/>
      <c r="T315" s="4"/>
    </row>
    <row r="316" ht="12.0" customHeight="1">
      <c r="B316" s="222">
        <v>308.0</v>
      </c>
      <c r="C316" s="222">
        <f t="shared" si="1"/>
        <v>0</v>
      </c>
      <c r="D316" s="222">
        <f t="shared" si="2"/>
        <v>0</v>
      </c>
      <c r="E316" s="222">
        <f t="shared" si="3"/>
        <v>0</v>
      </c>
      <c r="F316" s="4"/>
      <c r="G316" s="4"/>
      <c r="J316" s="4"/>
      <c r="K316" s="4"/>
      <c r="L316" s="4"/>
      <c r="R316" s="4"/>
      <c r="S316" s="4"/>
      <c r="T316" s="4"/>
    </row>
    <row r="317" ht="12.0" customHeight="1">
      <c r="B317" s="222">
        <v>309.0</v>
      </c>
      <c r="C317" s="222">
        <f t="shared" si="1"/>
        <v>0</v>
      </c>
      <c r="D317" s="222">
        <f t="shared" si="2"/>
        <v>0</v>
      </c>
      <c r="E317" s="222">
        <f t="shared" si="3"/>
        <v>0</v>
      </c>
      <c r="F317" s="4"/>
      <c r="G317" s="4"/>
      <c r="J317" s="4"/>
      <c r="K317" s="4"/>
      <c r="L317" s="4"/>
      <c r="R317" s="4"/>
      <c r="S317" s="4"/>
      <c r="T317" s="4"/>
    </row>
    <row r="318" ht="12.0" customHeight="1">
      <c r="B318" s="222">
        <v>310.0</v>
      </c>
      <c r="C318" s="222">
        <f t="shared" si="1"/>
        <v>0</v>
      </c>
      <c r="D318" s="222">
        <f t="shared" si="2"/>
        <v>0</v>
      </c>
      <c r="E318" s="222">
        <f t="shared" si="3"/>
        <v>0</v>
      </c>
      <c r="F318" s="4"/>
      <c r="G318" s="4"/>
      <c r="J318" s="4"/>
      <c r="K318" s="4"/>
      <c r="L318" s="4"/>
      <c r="R318" s="4"/>
      <c r="S318" s="4"/>
      <c r="T318" s="4"/>
    </row>
    <row r="319" ht="12.0" customHeight="1">
      <c r="B319" s="222">
        <v>311.0</v>
      </c>
      <c r="C319" s="222">
        <f t="shared" si="1"/>
        <v>0</v>
      </c>
      <c r="D319" s="222">
        <f t="shared" si="2"/>
        <v>0</v>
      </c>
      <c r="E319" s="222">
        <f t="shared" si="3"/>
        <v>0</v>
      </c>
      <c r="F319" s="4"/>
      <c r="G319" s="4"/>
      <c r="J319" s="4"/>
      <c r="K319" s="4"/>
      <c r="L319" s="4"/>
      <c r="R319" s="4"/>
      <c r="S319" s="4"/>
      <c r="T319" s="4"/>
    </row>
    <row r="320" ht="12.0" customHeight="1">
      <c r="B320" s="222">
        <v>312.0</v>
      </c>
      <c r="C320" s="222">
        <f t="shared" si="1"/>
        <v>0</v>
      </c>
      <c r="D320" s="222">
        <f t="shared" si="2"/>
        <v>0</v>
      </c>
      <c r="E320" s="222">
        <f t="shared" si="3"/>
        <v>0</v>
      </c>
      <c r="F320" s="4"/>
      <c r="G320" s="4"/>
      <c r="J320" s="4"/>
      <c r="K320" s="4"/>
      <c r="L320" s="4"/>
      <c r="R320" s="4"/>
      <c r="S320" s="4"/>
      <c r="T320" s="4"/>
    </row>
    <row r="321" ht="12.0" customHeight="1">
      <c r="B321" s="222">
        <v>313.0</v>
      </c>
      <c r="C321" s="222">
        <f t="shared" si="1"/>
        <v>0</v>
      </c>
      <c r="D321" s="222">
        <f t="shared" si="2"/>
        <v>0</v>
      </c>
      <c r="E321" s="222">
        <f t="shared" si="3"/>
        <v>0</v>
      </c>
      <c r="F321" s="4"/>
      <c r="G321" s="4"/>
      <c r="J321" s="4"/>
      <c r="K321" s="4"/>
      <c r="L321" s="4"/>
      <c r="R321" s="4"/>
      <c r="S321" s="4"/>
      <c r="T321" s="4"/>
    </row>
    <row r="322" ht="12.0" customHeight="1">
      <c r="B322" s="222">
        <v>314.0</v>
      </c>
      <c r="C322" s="222">
        <f t="shared" si="1"/>
        <v>0</v>
      </c>
      <c r="D322" s="222">
        <f t="shared" si="2"/>
        <v>0</v>
      </c>
      <c r="E322" s="222">
        <f t="shared" si="3"/>
        <v>0</v>
      </c>
      <c r="F322" s="4"/>
      <c r="G322" s="4"/>
      <c r="J322" s="4"/>
      <c r="K322" s="4"/>
      <c r="L322" s="4"/>
      <c r="R322" s="4"/>
      <c r="S322" s="4"/>
      <c r="T322" s="4"/>
    </row>
    <row r="323" ht="12.0" customHeight="1">
      <c r="B323" s="222">
        <v>315.0</v>
      </c>
      <c r="C323" s="222">
        <f t="shared" si="1"/>
        <v>0</v>
      </c>
      <c r="D323" s="222">
        <f t="shared" si="2"/>
        <v>0</v>
      </c>
      <c r="E323" s="222">
        <f t="shared" si="3"/>
        <v>0</v>
      </c>
      <c r="F323" s="4"/>
      <c r="G323" s="4"/>
      <c r="J323" s="4"/>
      <c r="K323" s="4"/>
      <c r="L323" s="4"/>
      <c r="R323" s="4"/>
      <c r="S323" s="4"/>
      <c r="T323" s="4"/>
    </row>
    <row r="324" ht="12.0" customHeight="1">
      <c r="B324" s="222">
        <v>316.0</v>
      </c>
      <c r="C324" s="222">
        <f t="shared" si="1"/>
        <v>0</v>
      </c>
      <c r="D324" s="222">
        <f t="shared" si="2"/>
        <v>0</v>
      </c>
      <c r="E324" s="222">
        <f t="shared" si="3"/>
        <v>0</v>
      </c>
      <c r="F324" s="4"/>
      <c r="G324" s="4"/>
      <c r="J324" s="4"/>
      <c r="K324" s="4"/>
      <c r="L324" s="4"/>
      <c r="R324" s="4"/>
      <c r="S324" s="4"/>
      <c r="T324" s="4"/>
    </row>
    <row r="325" ht="12.0" customHeight="1">
      <c r="B325" s="222">
        <v>317.0</v>
      </c>
      <c r="C325" s="222">
        <f t="shared" si="1"/>
        <v>0</v>
      </c>
      <c r="D325" s="222">
        <f t="shared" si="2"/>
        <v>0</v>
      </c>
      <c r="E325" s="222">
        <f t="shared" si="3"/>
        <v>0</v>
      </c>
      <c r="F325" s="4"/>
      <c r="G325" s="4"/>
      <c r="J325" s="4"/>
      <c r="K325" s="4"/>
      <c r="L325" s="4"/>
      <c r="R325" s="4"/>
      <c r="S325" s="4"/>
      <c r="T325" s="4"/>
    </row>
    <row r="326" ht="12.0" customHeight="1">
      <c r="B326" s="222">
        <v>318.0</v>
      </c>
      <c r="C326" s="222">
        <f t="shared" si="1"/>
        <v>0</v>
      </c>
      <c r="D326" s="222">
        <f t="shared" si="2"/>
        <v>0</v>
      </c>
      <c r="E326" s="222">
        <f t="shared" si="3"/>
        <v>0</v>
      </c>
      <c r="F326" s="4"/>
      <c r="G326" s="4"/>
      <c r="J326" s="4"/>
      <c r="K326" s="4"/>
      <c r="L326" s="4"/>
      <c r="R326" s="4"/>
      <c r="S326" s="4"/>
      <c r="T326" s="4"/>
    </row>
    <row r="327" ht="12.0" customHeight="1">
      <c r="B327" s="222">
        <v>319.0</v>
      </c>
      <c r="C327" s="222">
        <f t="shared" si="1"/>
        <v>0</v>
      </c>
      <c r="D327" s="222">
        <f t="shared" si="2"/>
        <v>0</v>
      </c>
      <c r="E327" s="222">
        <f t="shared" si="3"/>
        <v>0</v>
      </c>
      <c r="F327" s="4"/>
      <c r="G327" s="4"/>
      <c r="J327" s="4"/>
      <c r="K327" s="4"/>
      <c r="L327" s="4"/>
      <c r="R327" s="4"/>
      <c r="S327" s="4"/>
      <c r="T327" s="4"/>
    </row>
    <row r="328" ht="12.0" customHeight="1">
      <c r="B328" s="222">
        <v>320.0</v>
      </c>
      <c r="C328" s="222">
        <f t="shared" si="1"/>
        <v>0</v>
      </c>
      <c r="D328" s="222">
        <f t="shared" si="2"/>
        <v>0</v>
      </c>
      <c r="E328" s="222">
        <f t="shared" si="3"/>
        <v>0</v>
      </c>
      <c r="F328" s="4"/>
      <c r="G328" s="4"/>
      <c r="J328" s="4"/>
      <c r="K328" s="4"/>
      <c r="L328" s="4"/>
      <c r="R328" s="4"/>
      <c r="S328" s="4"/>
      <c r="T328" s="4"/>
    </row>
    <row r="329" ht="12.0" customHeight="1">
      <c r="B329" s="222">
        <v>321.0</v>
      </c>
      <c r="C329" s="222">
        <f t="shared" si="1"/>
        <v>0</v>
      </c>
      <c r="D329" s="222">
        <f t="shared" si="2"/>
        <v>0</v>
      </c>
      <c r="E329" s="222">
        <f t="shared" si="3"/>
        <v>0</v>
      </c>
      <c r="F329" s="4"/>
      <c r="G329" s="4"/>
      <c r="J329" s="4"/>
      <c r="K329" s="4"/>
      <c r="L329" s="4"/>
      <c r="R329" s="4"/>
      <c r="S329" s="4"/>
      <c r="T329" s="4"/>
    </row>
    <row r="330" ht="12.0" customHeight="1">
      <c r="B330" s="222">
        <v>322.0</v>
      </c>
      <c r="C330" s="222">
        <f t="shared" si="1"/>
        <v>0</v>
      </c>
      <c r="D330" s="222">
        <f t="shared" si="2"/>
        <v>0</v>
      </c>
      <c r="E330" s="222">
        <f t="shared" si="3"/>
        <v>0</v>
      </c>
      <c r="F330" s="4"/>
      <c r="G330" s="4"/>
      <c r="J330" s="4"/>
      <c r="K330" s="4"/>
      <c r="L330" s="4"/>
      <c r="R330" s="4"/>
      <c r="S330" s="4"/>
      <c r="T330" s="4"/>
    </row>
    <row r="331" ht="12.0" customHeight="1">
      <c r="B331" s="222">
        <v>323.0</v>
      </c>
      <c r="C331" s="222">
        <f t="shared" si="1"/>
        <v>0</v>
      </c>
      <c r="D331" s="222">
        <f t="shared" si="2"/>
        <v>0</v>
      </c>
      <c r="E331" s="222">
        <f t="shared" si="3"/>
        <v>0</v>
      </c>
      <c r="F331" s="4"/>
      <c r="G331" s="4"/>
      <c r="J331" s="4"/>
      <c r="K331" s="4"/>
      <c r="L331" s="4"/>
      <c r="R331" s="4"/>
      <c r="S331" s="4"/>
      <c r="T331" s="4"/>
    </row>
    <row r="332" ht="12.0" customHeight="1">
      <c r="B332" s="222">
        <v>324.0</v>
      </c>
      <c r="C332" s="222">
        <f t="shared" si="1"/>
        <v>0</v>
      </c>
      <c r="D332" s="222">
        <f t="shared" si="2"/>
        <v>0</v>
      </c>
      <c r="E332" s="222">
        <f t="shared" si="3"/>
        <v>0</v>
      </c>
      <c r="F332" s="4"/>
      <c r="G332" s="4"/>
      <c r="J332" s="4"/>
      <c r="K332" s="4"/>
      <c r="L332" s="4"/>
      <c r="R332" s="4"/>
      <c r="S332" s="4"/>
      <c r="T332" s="4"/>
    </row>
    <row r="333" ht="12.0" customHeight="1">
      <c r="B333" s="222">
        <v>325.0</v>
      </c>
      <c r="C333" s="222">
        <f t="shared" si="1"/>
        <v>0</v>
      </c>
      <c r="D333" s="222">
        <f t="shared" si="2"/>
        <v>0</v>
      </c>
      <c r="E333" s="222">
        <f t="shared" si="3"/>
        <v>0</v>
      </c>
      <c r="F333" s="4"/>
      <c r="G333" s="4"/>
      <c r="J333" s="4"/>
      <c r="K333" s="4"/>
      <c r="L333" s="4"/>
      <c r="R333" s="4"/>
      <c r="S333" s="4"/>
      <c r="T333" s="4"/>
    </row>
    <row r="334" ht="12.0" customHeight="1">
      <c r="B334" s="222">
        <v>326.0</v>
      </c>
      <c r="C334" s="222">
        <f t="shared" si="1"/>
        <v>0</v>
      </c>
      <c r="D334" s="222">
        <f t="shared" si="2"/>
        <v>0</v>
      </c>
      <c r="E334" s="222">
        <f t="shared" si="3"/>
        <v>0</v>
      </c>
      <c r="F334" s="4"/>
      <c r="G334" s="4"/>
      <c r="J334" s="4"/>
      <c r="K334" s="4"/>
      <c r="L334" s="4"/>
      <c r="R334" s="4"/>
      <c r="S334" s="4"/>
      <c r="T334" s="4"/>
    </row>
    <row r="335" ht="12.0" customHeight="1">
      <c r="B335" s="222">
        <v>327.0</v>
      </c>
      <c r="C335" s="222">
        <f t="shared" si="1"/>
        <v>0</v>
      </c>
      <c r="D335" s="222">
        <f t="shared" si="2"/>
        <v>0</v>
      </c>
      <c r="E335" s="222">
        <f t="shared" si="3"/>
        <v>0</v>
      </c>
      <c r="F335" s="4"/>
      <c r="G335" s="4"/>
      <c r="J335" s="4"/>
      <c r="K335" s="4"/>
      <c r="L335" s="4"/>
      <c r="R335" s="4"/>
      <c r="S335" s="4"/>
      <c r="T335" s="4"/>
    </row>
    <row r="336" ht="12.0" customHeight="1">
      <c r="B336" s="222">
        <v>328.0</v>
      </c>
      <c r="C336" s="222">
        <f t="shared" si="1"/>
        <v>0</v>
      </c>
      <c r="D336" s="222">
        <f t="shared" si="2"/>
        <v>0</v>
      </c>
      <c r="E336" s="222">
        <f t="shared" si="3"/>
        <v>0</v>
      </c>
      <c r="F336" s="4"/>
      <c r="G336" s="4"/>
      <c r="J336" s="4"/>
      <c r="K336" s="4"/>
      <c r="L336" s="4"/>
      <c r="R336" s="4"/>
      <c r="S336" s="4"/>
      <c r="T336" s="4"/>
    </row>
    <row r="337" ht="12.0" customHeight="1">
      <c r="B337" s="222">
        <v>329.0</v>
      </c>
      <c r="C337" s="222">
        <f t="shared" si="1"/>
        <v>0</v>
      </c>
      <c r="D337" s="222">
        <f t="shared" si="2"/>
        <v>0</v>
      </c>
      <c r="E337" s="222">
        <f t="shared" si="3"/>
        <v>0</v>
      </c>
      <c r="F337" s="4"/>
      <c r="G337" s="4"/>
      <c r="J337" s="4"/>
      <c r="K337" s="4"/>
      <c r="L337" s="4"/>
      <c r="R337" s="4"/>
      <c r="S337" s="4"/>
      <c r="T337" s="4"/>
    </row>
    <row r="338" ht="12.0" customHeight="1">
      <c r="B338" s="222">
        <v>330.0</v>
      </c>
      <c r="C338" s="222">
        <f t="shared" si="1"/>
        <v>0</v>
      </c>
      <c r="D338" s="222">
        <f t="shared" si="2"/>
        <v>0</v>
      </c>
      <c r="E338" s="222">
        <f t="shared" si="3"/>
        <v>0</v>
      </c>
      <c r="F338" s="4"/>
      <c r="G338" s="4"/>
      <c r="J338" s="4"/>
      <c r="K338" s="4"/>
      <c r="L338" s="4"/>
      <c r="R338" s="4"/>
      <c r="S338" s="4"/>
      <c r="T338" s="4"/>
    </row>
    <row r="339" ht="12.0" customHeight="1">
      <c r="B339" s="222">
        <v>331.0</v>
      </c>
      <c r="C339" s="222">
        <f t="shared" si="1"/>
        <v>0</v>
      </c>
      <c r="D339" s="222">
        <f t="shared" si="2"/>
        <v>0</v>
      </c>
      <c r="E339" s="222">
        <f t="shared" si="3"/>
        <v>0</v>
      </c>
      <c r="F339" s="4"/>
      <c r="G339" s="4"/>
      <c r="J339" s="4"/>
      <c r="K339" s="4"/>
      <c r="L339" s="4"/>
      <c r="R339" s="4"/>
      <c r="S339" s="4"/>
      <c r="T339" s="4"/>
    </row>
    <row r="340" ht="12.0" customHeight="1">
      <c r="B340" s="222">
        <v>332.0</v>
      </c>
      <c r="C340" s="222">
        <f t="shared" si="1"/>
        <v>0</v>
      </c>
      <c r="D340" s="222">
        <f t="shared" si="2"/>
        <v>0</v>
      </c>
      <c r="E340" s="222">
        <f t="shared" si="3"/>
        <v>0</v>
      </c>
      <c r="F340" s="4"/>
      <c r="G340" s="4"/>
      <c r="J340" s="4"/>
      <c r="K340" s="4"/>
      <c r="L340" s="4"/>
      <c r="R340" s="4"/>
      <c r="S340" s="4"/>
      <c r="T340" s="4"/>
    </row>
    <row r="341" ht="12.0" customHeight="1">
      <c r="B341" s="222">
        <v>333.0</v>
      </c>
      <c r="C341" s="222">
        <f t="shared" si="1"/>
        <v>0</v>
      </c>
      <c r="D341" s="222">
        <f t="shared" si="2"/>
        <v>0</v>
      </c>
      <c r="E341" s="222">
        <f t="shared" si="3"/>
        <v>0</v>
      </c>
      <c r="F341" s="4"/>
      <c r="G341" s="4"/>
      <c r="J341" s="4"/>
      <c r="K341" s="4"/>
      <c r="L341" s="4"/>
      <c r="R341" s="4"/>
      <c r="S341" s="4"/>
      <c r="T341" s="4"/>
    </row>
    <row r="342" ht="12.0" customHeight="1">
      <c r="B342" s="222">
        <v>334.0</v>
      </c>
      <c r="C342" s="222">
        <f t="shared" si="1"/>
        <v>0</v>
      </c>
      <c r="D342" s="222">
        <f t="shared" si="2"/>
        <v>0</v>
      </c>
      <c r="E342" s="222">
        <f t="shared" si="3"/>
        <v>0</v>
      </c>
      <c r="F342" s="4"/>
      <c r="G342" s="4"/>
      <c r="J342" s="4"/>
      <c r="K342" s="4"/>
      <c r="L342" s="4"/>
      <c r="R342" s="4"/>
      <c r="S342" s="4"/>
      <c r="T342" s="4"/>
    </row>
    <row r="343" ht="12.0" customHeight="1">
      <c r="B343" s="222">
        <v>335.0</v>
      </c>
      <c r="C343" s="222">
        <f t="shared" si="1"/>
        <v>0</v>
      </c>
      <c r="D343" s="222">
        <f t="shared" si="2"/>
        <v>0</v>
      </c>
      <c r="E343" s="222">
        <f t="shared" si="3"/>
        <v>0</v>
      </c>
      <c r="F343" s="4"/>
      <c r="G343" s="4"/>
      <c r="J343" s="4"/>
      <c r="K343" s="4"/>
      <c r="L343" s="4"/>
      <c r="R343" s="4"/>
      <c r="S343" s="4"/>
      <c r="T343" s="4"/>
    </row>
    <row r="344" ht="12.0" customHeight="1">
      <c r="B344" s="222">
        <v>336.0</v>
      </c>
      <c r="C344" s="222">
        <f t="shared" si="1"/>
        <v>0</v>
      </c>
      <c r="D344" s="222">
        <f t="shared" si="2"/>
        <v>0</v>
      </c>
      <c r="E344" s="222">
        <f t="shared" si="3"/>
        <v>0</v>
      </c>
      <c r="F344" s="4"/>
      <c r="G344" s="4"/>
      <c r="J344" s="4"/>
      <c r="K344" s="4"/>
      <c r="L344" s="4"/>
      <c r="R344" s="4"/>
      <c r="S344" s="4"/>
      <c r="T344" s="4"/>
    </row>
    <row r="345" ht="12.0" customHeight="1">
      <c r="B345" s="222">
        <v>337.0</v>
      </c>
      <c r="C345" s="222">
        <f t="shared" si="1"/>
        <v>0</v>
      </c>
      <c r="D345" s="222">
        <f t="shared" si="2"/>
        <v>0</v>
      </c>
      <c r="E345" s="222">
        <f t="shared" si="3"/>
        <v>0</v>
      </c>
      <c r="F345" s="4"/>
      <c r="G345" s="4"/>
      <c r="J345" s="4"/>
      <c r="K345" s="4"/>
      <c r="L345" s="4"/>
      <c r="R345" s="4"/>
      <c r="S345" s="4"/>
      <c r="T345" s="4"/>
    </row>
    <row r="346" ht="12.0" customHeight="1">
      <c r="B346" s="222">
        <v>338.0</v>
      </c>
      <c r="C346" s="222">
        <f t="shared" si="1"/>
        <v>0</v>
      </c>
      <c r="D346" s="222">
        <f t="shared" si="2"/>
        <v>0</v>
      </c>
      <c r="E346" s="222">
        <f t="shared" si="3"/>
        <v>0</v>
      </c>
      <c r="F346" s="4"/>
      <c r="G346" s="4"/>
      <c r="J346" s="4"/>
      <c r="K346" s="4"/>
      <c r="L346" s="4"/>
      <c r="R346" s="4"/>
      <c r="S346" s="4"/>
      <c r="T346" s="4"/>
    </row>
    <row r="347" ht="12.0" customHeight="1">
      <c r="B347" s="222">
        <v>339.0</v>
      </c>
      <c r="C347" s="222">
        <f t="shared" si="1"/>
        <v>0</v>
      </c>
      <c r="D347" s="222">
        <f t="shared" si="2"/>
        <v>0</v>
      </c>
      <c r="E347" s="222">
        <f t="shared" si="3"/>
        <v>0</v>
      </c>
      <c r="F347" s="4"/>
      <c r="G347" s="4"/>
      <c r="J347" s="4"/>
      <c r="K347" s="4"/>
      <c r="L347" s="4"/>
      <c r="R347" s="4"/>
      <c r="S347" s="4"/>
      <c r="T347" s="4"/>
    </row>
    <row r="348" ht="12.0" customHeight="1">
      <c r="B348" s="222">
        <v>340.0</v>
      </c>
      <c r="C348" s="222">
        <f t="shared" si="1"/>
        <v>0</v>
      </c>
      <c r="D348" s="222">
        <f t="shared" si="2"/>
        <v>0</v>
      </c>
      <c r="E348" s="222">
        <f t="shared" si="3"/>
        <v>0</v>
      </c>
      <c r="F348" s="4"/>
      <c r="G348" s="4"/>
      <c r="J348" s="4"/>
      <c r="K348" s="4"/>
      <c r="L348" s="4"/>
      <c r="R348" s="4"/>
      <c r="S348" s="4"/>
      <c r="T348" s="4"/>
    </row>
    <row r="349" ht="12.0" customHeight="1">
      <c r="B349" s="222">
        <v>341.0</v>
      </c>
      <c r="C349" s="222">
        <f t="shared" si="1"/>
        <v>0</v>
      </c>
      <c r="D349" s="222">
        <f t="shared" si="2"/>
        <v>0</v>
      </c>
      <c r="E349" s="222">
        <f t="shared" si="3"/>
        <v>0</v>
      </c>
      <c r="F349" s="4"/>
      <c r="G349" s="4"/>
      <c r="J349" s="4"/>
      <c r="K349" s="4"/>
      <c r="L349" s="4"/>
      <c r="R349" s="4"/>
      <c r="S349" s="4"/>
      <c r="T349" s="4"/>
    </row>
    <row r="350" ht="12.0" customHeight="1">
      <c r="B350" s="222">
        <v>342.0</v>
      </c>
      <c r="C350" s="222">
        <f t="shared" si="1"/>
        <v>0</v>
      </c>
      <c r="D350" s="222">
        <f t="shared" si="2"/>
        <v>0</v>
      </c>
      <c r="E350" s="222">
        <f t="shared" si="3"/>
        <v>0</v>
      </c>
      <c r="F350" s="4"/>
      <c r="G350" s="4"/>
      <c r="J350" s="4"/>
      <c r="K350" s="4"/>
      <c r="L350" s="4"/>
      <c r="R350" s="4"/>
      <c r="S350" s="4"/>
      <c r="T350" s="4"/>
    </row>
    <row r="351" ht="12.0" customHeight="1">
      <c r="B351" s="222">
        <v>343.0</v>
      </c>
      <c r="C351" s="222">
        <f t="shared" si="1"/>
        <v>0</v>
      </c>
      <c r="D351" s="222">
        <f t="shared" si="2"/>
        <v>0</v>
      </c>
      <c r="E351" s="222">
        <f t="shared" si="3"/>
        <v>0</v>
      </c>
      <c r="F351" s="4"/>
      <c r="G351" s="4"/>
      <c r="J351" s="4"/>
      <c r="K351" s="4"/>
      <c r="L351" s="4"/>
      <c r="R351" s="4"/>
      <c r="S351" s="4"/>
      <c r="T351" s="4"/>
    </row>
    <row r="352" ht="12.0" customHeight="1">
      <c r="B352" s="222">
        <v>344.0</v>
      </c>
      <c r="C352" s="222">
        <f t="shared" si="1"/>
        <v>0</v>
      </c>
      <c r="D352" s="222">
        <f t="shared" si="2"/>
        <v>0</v>
      </c>
      <c r="E352" s="222">
        <f t="shared" si="3"/>
        <v>0</v>
      </c>
      <c r="F352" s="4"/>
      <c r="G352" s="4"/>
      <c r="J352" s="4"/>
      <c r="K352" s="4"/>
      <c r="L352" s="4"/>
      <c r="R352" s="4"/>
      <c r="S352" s="4"/>
      <c r="T352" s="4"/>
    </row>
    <row r="353" ht="12.0" customHeight="1">
      <c r="B353" s="222">
        <v>345.0</v>
      </c>
      <c r="C353" s="222">
        <f t="shared" si="1"/>
        <v>0</v>
      </c>
      <c r="D353" s="222">
        <f t="shared" si="2"/>
        <v>0</v>
      </c>
      <c r="E353" s="222">
        <f t="shared" si="3"/>
        <v>0</v>
      </c>
      <c r="F353" s="4"/>
      <c r="G353" s="4"/>
      <c r="J353" s="4"/>
      <c r="K353" s="4"/>
      <c r="L353" s="4"/>
      <c r="R353" s="4"/>
      <c r="S353" s="4"/>
      <c r="T353" s="4"/>
    </row>
    <row r="354" ht="12.0" customHeight="1">
      <c r="B354" s="222">
        <v>346.0</v>
      </c>
      <c r="C354" s="222">
        <f t="shared" si="1"/>
        <v>0</v>
      </c>
      <c r="D354" s="222">
        <f t="shared" si="2"/>
        <v>0</v>
      </c>
      <c r="E354" s="222">
        <f t="shared" si="3"/>
        <v>0</v>
      </c>
      <c r="F354" s="4"/>
      <c r="G354" s="4"/>
      <c r="J354" s="4"/>
      <c r="K354" s="4"/>
      <c r="L354" s="4"/>
      <c r="R354" s="4"/>
      <c r="S354" s="4"/>
      <c r="T354" s="4"/>
    </row>
    <row r="355" ht="12.0" customHeight="1">
      <c r="B355" s="222">
        <v>347.0</v>
      </c>
      <c r="C355" s="222">
        <f t="shared" si="1"/>
        <v>0</v>
      </c>
      <c r="D355" s="222">
        <f t="shared" si="2"/>
        <v>0</v>
      </c>
      <c r="E355" s="222">
        <f t="shared" si="3"/>
        <v>0</v>
      </c>
      <c r="F355" s="4"/>
      <c r="G355" s="4"/>
      <c r="J355" s="4"/>
      <c r="K355" s="4"/>
      <c r="L355" s="4"/>
      <c r="R355" s="4"/>
      <c r="S355" s="4"/>
      <c r="T355" s="4"/>
    </row>
    <row r="356" ht="12.0" customHeight="1">
      <c r="B356" s="222">
        <v>348.0</v>
      </c>
      <c r="C356" s="222">
        <f t="shared" si="1"/>
        <v>0</v>
      </c>
      <c r="D356" s="222">
        <f t="shared" si="2"/>
        <v>0</v>
      </c>
      <c r="E356" s="222">
        <f t="shared" si="3"/>
        <v>0</v>
      </c>
      <c r="F356" s="4"/>
      <c r="G356" s="4"/>
      <c r="J356" s="4"/>
      <c r="K356" s="4"/>
      <c r="L356" s="4"/>
      <c r="R356" s="4"/>
      <c r="S356" s="4"/>
      <c r="T356" s="4"/>
    </row>
    <row r="357" ht="12.0" customHeight="1">
      <c r="B357" s="222">
        <v>349.0</v>
      </c>
      <c r="C357" s="222">
        <f t="shared" si="1"/>
        <v>0</v>
      </c>
      <c r="D357" s="222">
        <f t="shared" si="2"/>
        <v>0</v>
      </c>
      <c r="E357" s="222">
        <f t="shared" si="3"/>
        <v>0</v>
      </c>
      <c r="F357" s="4"/>
      <c r="G357" s="4"/>
      <c r="J357" s="4"/>
      <c r="K357" s="4"/>
      <c r="L357" s="4"/>
      <c r="R357" s="4"/>
      <c r="S357" s="4"/>
      <c r="T357" s="4"/>
    </row>
    <row r="358" ht="12.0" customHeight="1">
      <c r="B358" s="222">
        <v>350.0</v>
      </c>
      <c r="C358" s="222">
        <f t="shared" si="1"/>
        <v>0</v>
      </c>
      <c r="D358" s="222">
        <f t="shared" si="2"/>
        <v>0</v>
      </c>
      <c r="E358" s="222">
        <f t="shared" si="3"/>
        <v>0</v>
      </c>
      <c r="F358" s="4"/>
      <c r="G358" s="4"/>
      <c r="J358" s="4"/>
      <c r="K358" s="4"/>
      <c r="L358" s="4"/>
      <c r="R358" s="4"/>
      <c r="S358" s="4"/>
      <c r="T358" s="4"/>
    </row>
    <row r="359" ht="12.0" customHeight="1">
      <c r="B359" s="222">
        <v>351.0</v>
      </c>
      <c r="C359" s="222">
        <f t="shared" si="1"/>
        <v>0</v>
      </c>
      <c r="D359" s="222">
        <f t="shared" si="2"/>
        <v>0</v>
      </c>
      <c r="E359" s="222">
        <f t="shared" si="3"/>
        <v>0</v>
      </c>
      <c r="F359" s="4"/>
      <c r="G359" s="4"/>
      <c r="J359" s="4"/>
      <c r="K359" s="4"/>
      <c r="L359" s="4"/>
      <c r="R359" s="4"/>
      <c r="S359" s="4"/>
      <c r="T359" s="4"/>
    </row>
    <row r="360" ht="12.0" customHeight="1">
      <c r="B360" s="222">
        <v>352.0</v>
      </c>
      <c r="C360" s="222">
        <f t="shared" si="1"/>
        <v>0</v>
      </c>
      <c r="D360" s="222">
        <f t="shared" si="2"/>
        <v>0</v>
      </c>
      <c r="E360" s="222">
        <f t="shared" si="3"/>
        <v>0</v>
      </c>
      <c r="F360" s="4"/>
      <c r="G360" s="4"/>
      <c r="J360" s="4"/>
      <c r="K360" s="4"/>
      <c r="L360" s="4"/>
      <c r="R360" s="4"/>
      <c r="S360" s="4"/>
      <c r="T360" s="4"/>
    </row>
    <row r="361" ht="12.0" customHeight="1">
      <c r="B361" s="222">
        <v>353.0</v>
      </c>
      <c r="C361" s="222">
        <f t="shared" si="1"/>
        <v>0</v>
      </c>
      <c r="D361" s="222">
        <f t="shared" si="2"/>
        <v>0</v>
      </c>
      <c r="E361" s="222">
        <f t="shared" si="3"/>
        <v>0</v>
      </c>
      <c r="F361" s="4"/>
      <c r="G361" s="4"/>
      <c r="J361" s="4"/>
      <c r="K361" s="4"/>
      <c r="L361" s="4"/>
      <c r="R361" s="4"/>
      <c r="S361" s="4"/>
      <c r="T361" s="4"/>
    </row>
    <row r="362" ht="12.0" customHeight="1">
      <c r="B362" s="222">
        <v>354.0</v>
      </c>
      <c r="C362" s="222">
        <f t="shared" si="1"/>
        <v>0</v>
      </c>
      <c r="D362" s="222">
        <f t="shared" si="2"/>
        <v>0</v>
      </c>
      <c r="E362" s="222">
        <f t="shared" si="3"/>
        <v>0</v>
      </c>
      <c r="F362" s="4"/>
      <c r="G362" s="4"/>
      <c r="J362" s="4"/>
      <c r="K362" s="4"/>
      <c r="L362" s="4"/>
      <c r="R362" s="4"/>
      <c r="S362" s="4"/>
      <c r="T362" s="4"/>
    </row>
    <row r="363" ht="12.0" customHeight="1">
      <c r="B363" s="222">
        <v>355.0</v>
      </c>
      <c r="C363" s="222">
        <f t="shared" si="1"/>
        <v>0</v>
      </c>
      <c r="D363" s="222">
        <f t="shared" si="2"/>
        <v>0</v>
      </c>
      <c r="E363" s="222">
        <f t="shared" si="3"/>
        <v>0</v>
      </c>
      <c r="F363" s="4"/>
      <c r="G363" s="4"/>
      <c r="J363" s="4"/>
      <c r="K363" s="4"/>
      <c r="L363" s="4"/>
      <c r="R363" s="4"/>
      <c r="S363" s="4"/>
      <c r="T363" s="4"/>
    </row>
    <row r="364" ht="12.0" customHeight="1">
      <c r="B364" s="222">
        <v>356.0</v>
      </c>
      <c r="C364" s="222">
        <f t="shared" si="1"/>
        <v>0</v>
      </c>
      <c r="D364" s="222">
        <f t="shared" si="2"/>
        <v>0</v>
      </c>
      <c r="E364" s="222">
        <f t="shared" si="3"/>
        <v>0</v>
      </c>
      <c r="F364" s="4"/>
      <c r="G364" s="4"/>
      <c r="J364" s="4"/>
      <c r="K364" s="4"/>
      <c r="L364" s="4"/>
      <c r="R364" s="4"/>
      <c r="S364" s="4"/>
      <c r="T364" s="4"/>
    </row>
    <row r="365" ht="12.0" customHeight="1">
      <c r="B365" s="222">
        <v>357.0</v>
      </c>
      <c r="C365" s="222">
        <f t="shared" si="1"/>
        <v>0</v>
      </c>
      <c r="D365" s="222">
        <f t="shared" si="2"/>
        <v>0</v>
      </c>
      <c r="E365" s="222">
        <f t="shared" si="3"/>
        <v>0</v>
      </c>
      <c r="F365" s="4"/>
      <c r="G365" s="4"/>
      <c r="J365" s="4"/>
      <c r="K365" s="4"/>
      <c r="L365" s="4"/>
      <c r="R365" s="4"/>
      <c r="S365" s="4"/>
      <c r="T365" s="4"/>
    </row>
    <row r="366" ht="12.0" customHeight="1">
      <c r="B366" s="222">
        <v>358.0</v>
      </c>
      <c r="C366" s="222">
        <f t="shared" si="1"/>
        <v>0</v>
      </c>
      <c r="D366" s="222">
        <f t="shared" si="2"/>
        <v>0</v>
      </c>
      <c r="E366" s="222">
        <f t="shared" si="3"/>
        <v>0</v>
      </c>
      <c r="F366" s="4"/>
      <c r="G366" s="4"/>
      <c r="J366" s="4"/>
      <c r="K366" s="4"/>
      <c r="L366" s="4"/>
      <c r="R366" s="4"/>
      <c r="S366" s="4"/>
      <c r="T366" s="4"/>
    </row>
    <row r="367" ht="12.0" customHeight="1">
      <c r="B367" s="222">
        <v>359.0</v>
      </c>
      <c r="C367" s="222">
        <f t="shared" si="1"/>
        <v>0</v>
      </c>
      <c r="D367" s="222">
        <f t="shared" si="2"/>
        <v>0</v>
      </c>
      <c r="E367" s="222">
        <f t="shared" si="3"/>
        <v>0</v>
      </c>
      <c r="F367" s="4"/>
      <c r="G367" s="4"/>
      <c r="J367" s="4"/>
      <c r="K367" s="4"/>
      <c r="L367" s="4"/>
      <c r="R367" s="4"/>
      <c r="S367" s="4"/>
      <c r="T367" s="4"/>
    </row>
    <row r="368" ht="12.0" customHeight="1">
      <c r="B368" s="222">
        <v>360.0</v>
      </c>
      <c r="C368" s="222">
        <f t="shared" si="1"/>
        <v>0</v>
      </c>
      <c r="D368" s="222">
        <f t="shared" si="2"/>
        <v>0</v>
      </c>
      <c r="E368" s="222">
        <f t="shared" si="3"/>
        <v>0</v>
      </c>
      <c r="F368" s="4"/>
      <c r="G368" s="4"/>
      <c r="J368" s="4"/>
      <c r="K368" s="4"/>
      <c r="L368" s="4"/>
      <c r="R368" s="4"/>
      <c r="S368" s="4"/>
      <c r="T368" s="4"/>
    </row>
    <row r="369" ht="12.0" customHeight="1">
      <c r="B369" s="222"/>
      <c r="C369" s="4"/>
      <c r="D369" s="4"/>
      <c r="E369" s="4"/>
      <c r="F369" s="4"/>
      <c r="G369" s="4"/>
      <c r="J369" s="4"/>
      <c r="K369" s="4"/>
      <c r="L369" s="4"/>
      <c r="R369" s="4"/>
      <c r="S369" s="4"/>
      <c r="T369" s="4"/>
    </row>
    <row r="370" ht="12.0" customHeight="1">
      <c r="C370" s="4"/>
      <c r="D370" s="4"/>
      <c r="E370" s="4"/>
      <c r="F370" s="4"/>
      <c r="G370" s="4"/>
      <c r="J370" s="4"/>
      <c r="K370" s="4"/>
      <c r="L370" s="4"/>
      <c r="R370" s="4"/>
      <c r="S370" s="4"/>
      <c r="T370" s="4"/>
    </row>
    <row r="371" ht="12.0" customHeight="1">
      <c r="C371" s="4"/>
      <c r="D371" s="4"/>
      <c r="E371" s="4"/>
      <c r="F371" s="4"/>
      <c r="G371" s="4"/>
      <c r="J371" s="4"/>
      <c r="K371" s="4"/>
      <c r="L371" s="4"/>
      <c r="R371" s="4"/>
      <c r="S371" s="4"/>
      <c r="T371" s="4"/>
    </row>
    <row r="372" ht="12.0" customHeight="1">
      <c r="C372" s="4"/>
      <c r="D372" s="4"/>
      <c r="E372" s="4"/>
      <c r="F372" s="4"/>
      <c r="G372" s="4"/>
      <c r="J372" s="4"/>
      <c r="K372" s="4"/>
      <c r="L372" s="4"/>
      <c r="R372" s="4"/>
      <c r="S372" s="4"/>
      <c r="T372" s="4"/>
    </row>
    <row r="373" ht="12.0" customHeight="1">
      <c r="C373" s="4"/>
      <c r="D373" s="4"/>
      <c r="E373" s="4"/>
      <c r="F373" s="4"/>
      <c r="G373" s="4"/>
      <c r="J373" s="4"/>
      <c r="K373" s="4"/>
      <c r="L373" s="4"/>
      <c r="R373" s="4"/>
      <c r="S373" s="4"/>
      <c r="T373" s="4"/>
    </row>
    <row r="374" ht="12.0" customHeight="1">
      <c r="C374" s="4"/>
      <c r="D374" s="4"/>
      <c r="E374" s="4"/>
      <c r="F374" s="4"/>
      <c r="G374" s="4"/>
      <c r="J374" s="4"/>
      <c r="K374" s="4"/>
      <c r="L374" s="4"/>
      <c r="R374" s="4"/>
      <c r="S374" s="4"/>
      <c r="T374" s="4"/>
    </row>
    <row r="375" ht="12.0" customHeight="1">
      <c r="C375" s="4"/>
      <c r="D375" s="4"/>
      <c r="E375" s="4"/>
      <c r="F375" s="4"/>
      <c r="G375" s="4"/>
      <c r="J375" s="4"/>
      <c r="K375" s="4"/>
      <c r="L375" s="4"/>
      <c r="R375" s="4"/>
      <c r="S375" s="4"/>
      <c r="T375" s="4"/>
    </row>
    <row r="376" ht="12.0" customHeight="1">
      <c r="C376" s="4"/>
      <c r="D376" s="4"/>
      <c r="E376" s="4"/>
      <c r="F376" s="4"/>
      <c r="G376" s="4"/>
      <c r="J376" s="4"/>
      <c r="K376" s="4"/>
      <c r="L376" s="4"/>
      <c r="R376" s="4"/>
      <c r="S376" s="4"/>
      <c r="T376" s="4"/>
    </row>
    <row r="377" ht="12.0" customHeight="1">
      <c r="C377" s="4"/>
      <c r="D377" s="4"/>
      <c r="E377" s="4"/>
      <c r="F377" s="4"/>
      <c r="G377" s="4"/>
      <c r="J377" s="4"/>
      <c r="K377" s="4"/>
      <c r="L377" s="4"/>
      <c r="R377" s="4"/>
      <c r="S377" s="4"/>
      <c r="T377" s="4"/>
    </row>
    <row r="378" ht="12.0" customHeight="1">
      <c r="C378" s="4"/>
      <c r="D378" s="4"/>
      <c r="E378" s="4"/>
      <c r="F378" s="4"/>
      <c r="G378" s="4"/>
      <c r="J378" s="4"/>
      <c r="K378" s="4"/>
      <c r="L378" s="4"/>
      <c r="R378" s="4"/>
      <c r="S378" s="4"/>
      <c r="T378" s="4"/>
    </row>
    <row r="379" ht="12.0" customHeight="1">
      <c r="C379" s="4"/>
      <c r="D379" s="4"/>
      <c r="E379" s="4"/>
      <c r="F379" s="4"/>
      <c r="G379" s="4"/>
      <c r="J379" s="4"/>
      <c r="K379" s="4"/>
      <c r="L379" s="4"/>
      <c r="R379" s="4"/>
      <c r="S379" s="4"/>
      <c r="T379" s="4"/>
    </row>
    <row r="380" ht="12.0" customHeight="1">
      <c r="C380" s="4"/>
      <c r="D380" s="4"/>
      <c r="E380" s="4"/>
      <c r="F380" s="4"/>
      <c r="G380" s="4"/>
      <c r="J380" s="4"/>
      <c r="K380" s="4"/>
      <c r="L380" s="4"/>
      <c r="R380" s="4"/>
      <c r="S380" s="4"/>
      <c r="T380" s="4"/>
    </row>
    <row r="381" ht="12.0" customHeight="1">
      <c r="C381" s="4"/>
      <c r="D381" s="4"/>
      <c r="E381" s="4"/>
      <c r="F381" s="4"/>
      <c r="G381" s="4"/>
      <c r="J381" s="4"/>
      <c r="K381" s="4"/>
      <c r="L381" s="4"/>
      <c r="R381" s="4"/>
      <c r="S381" s="4"/>
      <c r="T381" s="4"/>
    </row>
    <row r="382" ht="12.0" customHeight="1">
      <c r="C382" s="4"/>
      <c r="D382" s="4"/>
      <c r="E382" s="4"/>
      <c r="F382" s="4"/>
      <c r="G382" s="4"/>
      <c r="J382" s="4"/>
      <c r="K382" s="4"/>
      <c r="L382" s="4"/>
      <c r="R382" s="4"/>
      <c r="S382" s="4"/>
      <c r="T382" s="4"/>
    </row>
    <row r="383" ht="12.0" customHeight="1">
      <c r="C383" s="4"/>
      <c r="D383" s="4"/>
      <c r="E383" s="4"/>
      <c r="F383" s="4"/>
      <c r="G383" s="4"/>
      <c r="J383" s="4"/>
      <c r="K383" s="4"/>
      <c r="L383" s="4"/>
      <c r="R383" s="4"/>
      <c r="S383" s="4"/>
      <c r="T383" s="4"/>
    </row>
    <row r="384" ht="12.0" customHeight="1">
      <c r="C384" s="4"/>
      <c r="D384" s="4"/>
      <c r="E384" s="4"/>
      <c r="F384" s="4"/>
      <c r="G384" s="4"/>
      <c r="J384" s="4"/>
      <c r="K384" s="4"/>
      <c r="L384" s="4"/>
      <c r="R384" s="4"/>
      <c r="S384" s="4"/>
      <c r="T384" s="4"/>
    </row>
    <row r="385" ht="12.0" customHeight="1">
      <c r="C385" s="4"/>
      <c r="D385" s="4"/>
      <c r="E385" s="4"/>
      <c r="F385" s="4"/>
      <c r="G385" s="4"/>
      <c r="J385" s="4"/>
      <c r="K385" s="4"/>
      <c r="L385" s="4"/>
      <c r="R385" s="4"/>
      <c r="S385" s="4"/>
      <c r="T385" s="4"/>
    </row>
    <row r="386" ht="12.0" customHeight="1">
      <c r="C386" s="4"/>
      <c r="D386" s="4"/>
      <c r="E386" s="4"/>
      <c r="F386" s="4"/>
      <c r="G386" s="4"/>
      <c r="J386" s="4"/>
      <c r="K386" s="4"/>
      <c r="L386" s="4"/>
      <c r="R386" s="4"/>
      <c r="S386" s="4"/>
      <c r="T386" s="4"/>
    </row>
    <row r="387" ht="12.0" customHeight="1">
      <c r="C387" s="4"/>
      <c r="D387" s="4"/>
      <c r="E387" s="4"/>
      <c r="F387" s="4"/>
      <c r="G387" s="4"/>
      <c r="J387" s="4"/>
      <c r="K387" s="4"/>
      <c r="L387" s="4"/>
      <c r="R387" s="4"/>
      <c r="S387" s="4"/>
      <c r="T387" s="4"/>
    </row>
    <row r="388" ht="12.0" customHeight="1">
      <c r="C388" s="4"/>
      <c r="D388" s="4"/>
      <c r="E388" s="4"/>
      <c r="F388" s="4"/>
      <c r="G388" s="4"/>
      <c r="J388" s="4"/>
      <c r="K388" s="4"/>
      <c r="L388" s="4"/>
      <c r="R388" s="4"/>
      <c r="S388" s="4"/>
      <c r="T388" s="4"/>
    </row>
    <row r="389" ht="12.0" customHeight="1">
      <c r="C389" s="4"/>
      <c r="D389" s="4"/>
      <c r="E389" s="4"/>
      <c r="F389" s="4"/>
      <c r="G389" s="4"/>
      <c r="J389" s="4"/>
      <c r="K389" s="4"/>
      <c r="L389" s="4"/>
      <c r="R389" s="4"/>
      <c r="S389" s="4"/>
      <c r="T389" s="4"/>
    </row>
    <row r="390" ht="12.0" customHeight="1">
      <c r="C390" s="4"/>
      <c r="D390" s="4"/>
      <c r="E390" s="4"/>
      <c r="F390" s="4"/>
      <c r="G390" s="4"/>
      <c r="J390" s="4"/>
      <c r="K390" s="4"/>
      <c r="L390" s="4"/>
      <c r="R390" s="4"/>
      <c r="S390" s="4"/>
      <c r="T390" s="4"/>
    </row>
    <row r="391" ht="12.0" customHeight="1">
      <c r="C391" s="4"/>
      <c r="D391" s="4"/>
      <c r="E391" s="4"/>
      <c r="F391" s="4"/>
      <c r="G391" s="4"/>
      <c r="J391" s="4"/>
      <c r="K391" s="4"/>
      <c r="L391" s="4"/>
      <c r="R391" s="4"/>
      <c r="S391" s="4"/>
      <c r="T391" s="4"/>
    </row>
    <row r="392" ht="12.0" customHeight="1">
      <c r="C392" s="4"/>
      <c r="D392" s="4"/>
      <c r="E392" s="4"/>
      <c r="F392" s="4"/>
      <c r="G392" s="4"/>
      <c r="J392" s="4"/>
      <c r="K392" s="4"/>
      <c r="L392" s="4"/>
      <c r="R392" s="4"/>
      <c r="S392" s="4"/>
      <c r="T392" s="4"/>
    </row>
    <row r="393" ht="12.0" customHeight="1">
      <c r="C393" s="4"/>
      <c r="D393" s="4"/>
      <c r="E393" s="4"/>
      <c r="F393" s="4"/>
      <c r="G393" s="4"/>
      <c r="J393" s="4"/>
      <c r="K393" s="4"/>
      <c r="L393" s="4"/>
      <c r="R393" s="4"/>
      <c r="S393" s="4"/>
      <c r="T393" s="4"/>
    </row>
    <row r="394" ht="12.0" customHeight="1">
      <c r="C394" s="4"/>
      <c r="D394" s="4"/>
      <c r="E394" s="4"/>
      <c r="F394" s="4"/>
      <c r="G394" s="4"/>
      <c r="J394" s="4"/>
      <c r="K394" s="4"/>
      <c r="L394" s="4"/>
      <c r="R394" s="4"/>
      <c r="S394" s="4"/>
      <c r="T394" s="4"/>
    </row>
    <row r="395" ht="12.0" customHeight="1">
      <c r="C395" s="4"/>
      <c r="D395" s="4"/>
      <c r="E395" s="4"/>
      <c r="F395" s="4"/>
      <c r="G395" s="4"/>
      <c r="J395" s="4"/>
      <c r="K395" s="4"/>
      <c r="L395" s="4"/>
      <c r="R395" s="4"/>
      <c r="S395" s="4"/>
      <c r="T395" s="4"/>
    </row>
    <row r="396" ht="12.0" customHeight="1">
      <c r="C396" s="4"/>
      <c r="D396" s="4"/>
      <c r="E396" s="4"/>
      <c r="F396" s="4"/>
      <c r="G396" s="4"/>
      <c r="J396" s="4"/>
      <c r="K396" s="4"/>
      <c r="L396" s="4"/>
      <c r="R396" s="4"/>
      <c r="S396" s="4"/>
      <c r="T396" s="4"/>
    </row>
    <row r="397" ht="12.0" customHeight="1">
      <c r="C397" s="4"/>
      <c r="D397" s="4"/>
      <c r="E397" s="4"/>
      <c r="F397" s="4"/>
      <c r="G397" s="4"/>
      <c r="J397" s="4"/>
      <c r="K397" s="4"/>
      <c r="L397" s="4"/>
      <c r="R397" s="4"/>
      <c r="S397" s="4"/>
      <c r="T397" s="4"/>
    </row>
    <row r="398" ht="12.0" customHeight="1">
      <c r="C398" s="4"/>
      <c r="D398" s="4"/>
      <c r="E398" s="4"/>
      <c r="F398" s="4"/>
      <c r="G398" s="4"/>
      <c r="J398" s="4"/>
      <c r="K398" s="4"/>
      <c r="L398" s="4"/>
      <c r="R398" s="4"/>
      <c r="S398" s="4"/>
      <c r="T398" s="4"/>
    </row>
    <row r="399" ht="12.0" customHeight="1">
      <c r="C399" s="4"/>
      <c r="D399" s="4"/>
      <c r="E399" s="4"/>
      <c r="F399" s="4"/>
      <c r="G399" s="4"/>
      <c r="J399" s="4"/>
      <c r="K399" s="4"/>
      <c r="L399" s="4"/>
      <c r="R399" s="4"/>
      <c r="S399" s="4"/>
      <c r="T399" s="4"/>
    </row>
    <row r="400" ht="12.0" customHeight="1">
      <c r="C400" s="4"/>
      <c r="D400" s="4"/>
      <c r="E400" s="4"/>
      <c r="F400" s="4"/>
      <c r="G400" s="4"/>
      <c r="J400" s="4"/>
      <c r="K400" s="4"/>
      <c r="L400" s="4"/>
      <c r="R400" s="4"/>
      <c r="S400" s="4"/>
      <c r="T400" s="4"/>
    </row>
    <row r="401" ht="12.0" customHeight="1">
      <c r="C401" s="4"/>
      <c r="D401" s="4"/>
      <c r="E401" s="4"/>
      <c r="F401" s="4"/>
      <c r="G401" s="4"/>
      <c r="J401" s="4"/>
      <c r="K401" s="4"/>
      <c r="L401" s="4"/>
      <c r="R401" s="4"/>
      <c r="S401" s="4"/>
      <c r="T401" s="4"/>
    </row>
    <row r="402" ht="12.0" customHeight="1">
      <c r="C402" s="4"/>
      <c r="D402" s="4"/>
      <c r="E402" s="4"/>
      <c r="F402" s="4"/>
      <c r="G402" s="4"/>
      <c r="J402" s="4"/>
      <c r="K402" s="4"/>
      <c r="L402" s="4"/>
      <c r="R402" s="4"/>
      <c r="S402" s="4"/>
      <c r="T402" s="4"/>
    </row>
    <row r="403" ht="12.0" customHeight="1">
      <c r="C403" s="4"/>
      <c r="D403" s="4"/>
      <c r="E403" s="4"/>
      <c r="F403" s="4"/>
      <c r="G403" s="4"/>
      <c r="J403" s="4"/>
      <c r="K403" s="4"/>
      <c r="L403" s="4"/>
      <c r="R403" s="4"/>
      <c r="S403" s="4"/>
      <c r="T403" s="4"/>
    </row>
    <row r="404" ht="12.0" customHeight="1">
      <c r="C404" s="4"/>
      <c r="D404" s="4"/>
      <c r="E404" s="4"/>
      <c r="F404" s="4"/>
      <c r="G404" s="4"/>
      <c r="J404" s="4"/>
      <c r="K404" s="4"/>
      <c r="L404" s="4"/>
      <c r="R404" s="4"/>
      <c r="S404" s="4"/>
      <c r="T404" s="4"/>
    </row>
    <row r="405" ht="12.0" customHeight="1">
      <c r="C405" s="4"/>
      <c r="D405" s="4"/>
      <c r="E405" s="4"/>
      <c r="F405" s="4"/>
      <c r="G405" s="4"/>
      <c r="J405" s="4"/>
      <c r="K405" s="4"/>
      <c r="L405" s="4"/>
      <c r="R405" s="4"/>
      <c r="S405" s="4"/>
      <c r="T405" s="4"/>
    </row>
    <row r="406" ht="12.0" customHeight="1">
      <c r="C406" s="4"/>
      <c r="D406" s="4"/>
      <c r="E406" s="4"/>
      <c r="F406" s="4"/>
      <c r="G406" s="4"/>
      <c r="J406" s="4"/>
      <c r="K406" s="4"/>
      <c r="L406" s="4"/>
      <c r="R406" s="4"/>
      <c r="S406" s="4"/>
      <c r="T406" s="4"/>
    </row>
    <row r="407" ht="12.0" customHeight="1">
      <c r="C407" s="4"/>
      <c r="D407" s="4"/>
      <c r="E407" s="4"/>
      <c r="F407" s="4"/>
      <c r="G407" s="4"/>
      <c r="J407" s="4"/>
      <c r="K407" s="4"/>
      <c r="L407" s="4"/>
      <c r="R407" s="4"/>
      <c r="S407" s="4"/>
      <c r="T407" s="4"/>
    </row>
    <row r="408" ht="12.0" customHeight="1">
      <c r="C408" s="4"/>
      <c r="D408" s="4"/>
      <c r="E408" s="4"/>
      <c r="F408" s="4"/>
      <c r="G408" s="4"/>
      <c r="J408" s="4"/>
      <c r="K408" s="4"/>
      <c r="L408" s="4"/>
      <c r="R408" s="4"/>
      <c r="S408" s="4"/>
      <c r="T408" s="4"/>
    </row>
    <row r="409" ht="12.0" customHeight="1">
      <c r="C409" s="4"/>
      <c r="D409" s="4"/>
      <c r="E409" s="4"/>
      <c r="F409" s="4"/>
      <c r="G409" s="4"/>
      <c r="J409" s="4"/>
      <c r="K409" s="4"/>
      <c r="L409" s="4"/>
      <c r="R409" s="4"/>
      <c r="S409" s="4"/>
      <c r="T409" s="4"/>
    </row>
    <row r="410" ht="12.0" customHeight="1">
      <c r="C410" s="4"/>
      <c r="D410" s="4"/>
      <c r="E410" s="4"/>
      <c r="F410" s="4"/>
      <c r="G410" s="4"/>
      <c r="J410" s="4"/>
      <c r="K410" s="4"/>
      <c r="L410" s="4"/>
      <c r="R410" s="4"/>
      <c r="S410" s="4"/>
      <c r="T410" s="4"/>
    </row>
    <row r="411" ht="12.0" customHeight="1">
      <c r="C411" s="4"/>
      <c r="D411" s="4"/>
      <c r="E411" s="4"/>
      <c r="F411" s="4"/>
      <c r="G411" s="4"/>
      <c r="J411" s="4"/>
      <c r="K411" s="4"/>
      <c r="L411" s="4"/>
      <c r="R411" s="4"/>
      <c r="S411" s="4"/>
      <c r="T411" s="4"/>
    </row>
    <row r="412" ht="12.0" customHeight="1">
      <c r="C412" s="4"/>
      <c r="D412" s="4"/>
      <c r="E412" s="4"/>
      <c r="F412" s="4"/>
      <c r="G412" s="4"/>
      <c r="J412" s="4"/>
      <c r="K412" s="4"/>
      <c r="L412" s="4"/>
      <c r="R412" s="4"/>
      <c r="S412" s="4"/>
      <c r="T412" s="4"/>
    </row>
    <row r="413" ht="12.0" customHeight="1">
      <c r="C413" s="4"/>
      <c r="D413" s="4"/>
      <c r="E413" s="4"/>
      <c r="F413" s="4"/>
      <c r="G413" s="4"/>
      <c r="J413" s="4"/>
      <c r="K413" s="4"/>
      <c r="L413" s="4"/>
      <c r="R413" s="4"/>
      <c r="S413" s="4"/>
      <c r="T413" s="4"/>
    </row>
    <row r="414" ht="12.0" customHeight="1">
      <c r="C414" s="4"/>
      <c r="D414" s="4"/>
      <c r="E414" s="4"/>
      <c r="F414" s="4"/>
      <c r="G414" s="4"/>
      <c r="J414" s="4"/>
      <c r="K414" s="4"/>
      <c r="L414" s="4"/>
      <c r="R414" s="4"/>
      <c r="S414" s="4"/>
      <c r="T414" s="4"/>
    </row>
    <row r="415" ht="12.0" customHeight="1">
      <c r="C415" s="4"/>
      <c r="D415" s="4"/>
      <c r="E415" s="4"/>
      <c r="F415" s="4"/>
      <c r="G415" s="4"/>
      <c r="J415" s="4"/>
      <c r="K415" s="4"/>
      <c r="L415" s="4"/>
      <c r="R415" s="4"/>
      <c r="S415" s="4"/>
      <c r="T415" s="4"/>
    </row>
    <row r="416" ht="12.0" customHeight="1">
      <c r="C416" s="4"/>
      <c r="D416" s="4"/>
      <c r="E416" s="4"/>
      <c r="F416" s="4"/>
      <c r="G416" s="4"/>
      <c r="J416" s="4"/>
      <c r="K416" s="4"/>
      <c r="L416" s="4"/>
      <c r="R416" s="4"/>
      <c r="S416" s="4"/>
      <c r="T416" s="4"/>
    </row>
    <row r="417" ht="12.0" customHeight="1">
      <c r="C417" s="4"/>
      <c r="D417" s="4"/>
      <c r="E417" s="4"/>
      <c r="F417" s="4"/>
      <c r="G417" s="4"/>
      <c r="J417" s="4"/>
      <c r="K417" s="4"/>
      <c r="L417" s="4"/>
      <c r="R417" s="4"/>
      <c r="S417" s="4"/>
      <c r="T417" s="4"/>
    </row>
    <row r="418" ht="12.0" customHeight="1">
      <c r="C418" s="4"/>
      <c r="D418" s="4"/>
      <c r="E418" s="4"/>
      <c r="F418" s="4"/>
      <c r="G418" s="4"/>
      <c r="J418" s="4"/>
      <c r="K418" s="4"/>
      <c r="L418" s="4"/>
      <c r="R418" s="4"/>
      <c r="S418" s="4"/>
      <c r="T418" s="4"/>
    </row>
    <row r="419" ht="12.0" customHeight="1">
      <c r="C419" s="4"/>
      <c r="D419" s="4"/>
      <c r="E419" s="4"/>
      <c r="F419" s="4"/>
      <c r="G419" s="4"/>
      <c r="J419" s="4"/>
      <c r="K419" s="4"/>
      <c r="L419" s="4"/>
      <c r="R419" s="4"/>
      <c r="S419" s="4"/>
      <c r="T419" s="4"/>
    </row>
    <row r="420" ht="12.0" customHeight="1">
      <c r="C420" s="4"/>
      <c r="D420" s="4"/>
      <c r="E420" s="4"/>
      <c r="F420" s="4"/>
      <c r="G420" s="4"/>
      <c r="J420" s="4"/>
      <c r="K420" s="4"/>
      <c r="L420" s="4"/>
      <c r="R420" s="4"/>
      <c r="S420" s="4"/>
      <c r="T420" s="4"/>
    </row>
    <row r="421" ht="12.0" customHeight="1">
      <c r="C421" s="4"/>
      <c r="D421" s="4"/>
      <c r="E421" s="4"/>
      <c r="F421" s="4"/>
      <c r="G421" s="4"/>
      <c r="J421" s="4"/>
      <c r="K421" s="4"/>
      <c r="L421" s="4"/>
      <c r="R421" s="4"/>
      <c r="S421" s="4"/>
      <c r="T421" s="4"/>
    </row>
    <row r="422" ht="12.0" customHeight="1">
      <c r="C422" s="4"/>
      <c r="D422" s="4"/>
      <c r="E422" s="4"/>
      <c r="F422" s="4"/>
      <c r="G422" s="4"/>
      <c r="J422" s="4"/>
      <c r="K422" s="4"/>
      <c r="L422" s="4"/>
      <c r="R422" s="4"/>
      <c r="S422" s="4"/>
      <c r="T422" s="4"/>
    </row>
    <row r="423" ht="12.0" customHeight="1">
      <c r="C423" s="4"/>
      <c r="D423" s="4"/>
      <c r="E423" s="4"/>
      <c r="F423" s="4"/>
      <c r="G423" s="4"/>
      <c r="J423" s="4"/>
      <c r="K423" s="4"/>
      <c r="L423" s="4"/>
      <c r="R423" s="4"/>
      <c r="S423" s="4"/>
      <c r="T423" s="4"/>
    </row>
    <row r="424" ht="12.0" customHeight="1">
      <c r="C424" s="4"/>
      <c r="D424" s="4"/>
      <c r="E424" s="4"/>
      <c r="F424" s="4"/>
      <c r="G424" s="4"/>
      <c r="J424" s="4"/>
      <c r="K424" s="4"/>
      <c r="L424" s="4"/>
      <c r="R424" s="4"/>
      <c r="S424" s="4"/>
      <c r="T424" s="4"/>
    </row>
    <row r="425" ht="12.0" customHeight="1">
      <c r="C425" s="4"/>
      <c r="D425" s="4"/>
      <c r="E425" s="4"/>
      <c r="F425" s="4"/>
      <c r="G425" s="4"/>
      <c r="J425" s="4"/>
      <c r="K425" s="4"/>
      <c r="L425" s="4"/>
      <c r="R425" s="4"/>
      <c r="S425" s="4"/>
      <c r="T425" s="4"/>
    </row>
    <row r="426" ht="12.0" customHeight="1">
      <c r="C426" s="4"/>
      <c r="D426" s="4"/>
      <c r="E426" s="4"/>
      <c r="F426" s="4"/>
      <c r="G426" s="4"/>
      <c r="J426" s="4"/>
      <c r="K426" s="4"/>
      <c r="L426" s="4"/>
      <c r="R426" s="4"/>
      <c r="S426" s="4"/>
      <c r="T426" s="4"/>
    </row>
    <row r="427" ht="12.0" customHeight="1">
      <c r="C427" s="4"/>
      <c r="D427" s="4"/>
      <c r="E427" s="4"/>
      <c r="F427" s="4"/>
      <c r="G427" s="4"/>
      <c r="J427" s="4"/>
      <c r="K427" s="4"/>
      <c r="L427" s="4"/>
      <c r="R427" s="4"/>
      <c r="S427" s="4"/>
      <c r="T427" s="4"/>
    </row>
    <row r="428" ht="12.0" customHeight="1">
      <c r="C428" s="4"/>
      <c r="D428" s="4"/>
      <c r="E428" s="4"/>
      <c r="F428" s="4"/>
      <c r="G428" s="4"/>
      <c r="J428" s="4"/>
      <c r="K428" s="4"/>
      <c r="L428" s="4"/>
      <c r="R428" s="4"/>
      <c r="S428" s="4"/>
      <c r="T428" s="4"/>
    </row>
    <row r="429" ht="12.0" customHeight="1">
      <c r="C429" s="4"/>
      <c r="D429" s="4"/>
      <c r="E429" s="4"/>
      <c r="F429" s="4"/>
      <c r="G429" s="4"/>
      <c r="J429" s="4"/>
      <c r="K429" s="4"/>
      <c r="L429" s="4"/>
      <c r="R429" s="4"/>
      <c r="S429" s="4"/>
      <c r="T429" s="4"/>
    </row>
    <row r="430" ht="12.0" customHeight="1">
      <c r="C430" s="4"/>
      <c r="D430" s="4"/>
      <c r="E430" s="4"/>
      <c r="F430" s="4"/>
      <c r="G430" s="4"/>
      <c r="J430" s="4"/>
      <c r="K430" s="4"/>
      <c r="L430" s="4"/>
      <c r="R430" s="4"/>
      <c r="S430" s="4"/>
      <c r="T430" s="4"/>
    </row>
    <row r="431" ht="12.0" customHeight="1">
      <c r="C431" s="4"/>
      <c r="D431" s="4"/>
      <c r="E431" s="4"/>
      <c r="F431" s="4"/>
      <c r="G431" s="4"/>
      <c r="J431" s="4"/>
      <c r="K431" s="4"/>
      <c r="L431" s="4"/>
      <c r="R431" s="4"/>
      <c r="S431" s="4"/>
      <c r="T431" s="4"/>
    </row>
    <row r="432" ht="12.0" customHeight="1">
      <c r="C432" s="4"/>
      <c r="D432" s="4"/>
      <c r="E432" s="4"/>
      <c r="F432" s="4"/>
      <c r="G432" s="4"/>
      <c r="J432" s="4"/>
      <c r="K432" s="4"/>
      <c r="L432" s="4"/>
      <c r="R432" s="4"/>
      <c r="S432" s="4"/>
      <c r="T432" s="4"/>
    </row>
    <row r="433" ht="12.0" customHeight="1">
      <c r="C433" s="4"/>
      <c r="D433" s="4"/>
      <c r="E433" s="4"/>
      <c r="F433" s="4"/>
      <c r="G433" s="4"/>
      <c r="J433" s="4"/>
      <c r="K433" s="4"/>
      <c r="L433" s="4"/>
      <c r="R433" s="4"/>
      <c r="S433" s="4"/>
      <c r="T433" s="4"/>
    </row>
    <row r="434" ht="12.0" customHeight="1">
      <c r="C434" s="4"/>
      <c r="D434" s="4"/>
      <c r="E434" s="4"/>
      <c r="F434" s="4"/>
      <c r="G434" s="4"/>
      <c r="J434" s="4"/>
      <c r="K434" s="4"/>
      <c r="L434" s="4"/>
      <c r="R434" s="4"/>
      <c r="S434" s="4"/>
      <c r="T434" s="4"/>
    </row>
    <row r="435" ht="12.0" customHeight="1">
      <c r="C435" s="4"/>
      <c r="D435" s="4"/>
      <c r="E435" s="4"/>
      <c r="F435" s="4"/>
      <c r="G435" s="4"/>
      <c r="J435" s="4"/>
      <c r="K435" s="4"/>
      <c r="L435" s="4"/>
      <c r="R435" s="4"/>
      <c r="S435" s="4"/>
      <c r="T435" s="4"/>
    </row>
    <row r="436" ht="12.0" customHeight="1">
      <c r="C436" s="4"/>
      <c r="D436" s="4"/>
      <c r="E436" s="4"/>
      <c r="F436" s="4"/>
      <c r="G436" s="4"/>
      <c r="J436" s="4"/>
      <c r="K436" s="4"/>
      <c r="L436" s="4"/>
      <c r="R436" s="4"/>
      <c r="S436" s="4"/>
      <c r="T436" s="4"/>
    </row>
    <row r="437" ht="12.0" customHeight="1">
      <c r="C437" s="4"/>
      <c r="D437" s="4"/>
      <c r="E437" s="4"/>
      <c r="F437" s="4"/>
      <c r="G437" s="4"/>
      <c r="J437" s="4"/>
      <c r="K437" s="4"/>
      <c r="L437" s="4"/>
      <c r="R437" s="4"/>
      <c r="S437" s="4"/>
      <c r="T437" s="4"/>
    </row>
    <row r="438" ht="12.0" customHeight="1">
      <c r="C438" s="4"/>
      <c r="D438" s="4"/>
      <c r="E438" s="4"/>
      <c r="F438" s="4"/>
      <c r="G438" s="4"/>
      <c r="J438" s="4"/>
      <c r="K438" s="4"/>
      <c r="L438" s="4"/>
      <c r="R438" s="4"/>
      <c r="S438" s="4"/>
      <c r="T438" s="4"/>
    </row>
    <row r="439" ht="12.0" customHeight="1">
      <c r="C439" s="4"/>
      <c r="D439" s="4"/>
      <c r="E439" s="4"/>
      <c r="F439" s="4"/>
      <c r="G439" s="4"/>
      <c r="J439" s="4"/>
      <c r="K439" s="4"/>
      <c r="L439" s="4"/>
      <c r="R439" s="4"/>
      <c r="S439" s="4"/>
      <c r="T439" s="4"/>
    </row>
    <row r="440" ht="12.0" customHeight="1">
      <c r="C440" s="4"/>
      <c r="D440" s="4"/>
      <c r="E440" s="4"/>
      <c r="F440" s="4"/>
      <c r="G440" s="4"/>
      <c r="J440" s="4"/>
      <c r="K440" s="4"/>
      <c r="L440" s="4"/>
      <c r="R440" s="4"/>
      <c r="S440" s="4"/>
      <c r="T440" s="4"/>
    </row>
    <row r="441" ht="12.0" customHeight="1">
      <c r="C441" s="4"/>
      <c r="D441" s="4"/>
      <c r="E441" s="4"/>
      <c r="F441" s="4"/>
      <c r="G441" s="4"/>
      <c r="J441" s="4"/>
      <c r="K441" s="4"/>
      <c r="L441" s="4"/>
      <c r="R441" s="4"/>
      <c r="S441" s="4"/>
      <c r="T441" s="4"/>
    </row>
    <row r="442" ht="12.0" customHeight="1">
      <c r="C442" s="4"/>
      <c r="D442" s="4"/>
      <c r="E442" s="4"/>
      <c r="F442" s="4"/>
      <c r="G442" s="4"/>
      <c r="J442" s="4"/>
      <c r="K442" s="4"/>
      <c r="L442" s="4"/>
      <c r="R442" s="4"/>
      <c r="S442" s="4"/>
      <c r="T442" s="4"/>
    </row>
    <row r="443" ht="12.0" customHeight="1">
      <c r="C443" s="4"/>
      <c r="D443" s="4"/>
      <c r="E443" s="4"/>
      <c r="F443" s="4"/>
      <c r="G443" s="4"/>
      <c r="J443" s="4"/>
      <c r="K443" s="4"/>
      <c r="L443" s="4"/>
      <c r="R443" s="4"/>
      <c r="S443" s="4"/>
      <c r="T443" s="4"/>
    </row>
    <row r="444" ht="12.0" customHeight="1">
      <c r="C444" s="4"/>
      <c r="D444" s="4"/>
      <c r="E444" s="4"/>
      <c r="F444" s="4"/>
      <c r="G444" s="4"/>
      <c r="J444" s="4"/>
      <c r="K444" s="4"/>
      <c r="L444" s="4"/>
      <c r="R444" s="4"/>
      <c r="S444" s="4"/>
      <c r="T444" s="4"/>
    </row>
    <row r="445" ht="12.0" customHeight="1">
      <c r="C445" s="4"/>
      <c r="D445" s="4"/>
      <c r="E445" s="4"/>
      <c r="F445" s="4"/>
      <c r="G445" s="4"/>
      <c r="J445" s="4"/>
      <c r="K445" s="4"/>
      <c r="L445" s="4"/>
      <c r="R445" s="4"/>
      <c r="S445" s="4"/>
      <c r="T445" s="4"/>
    </row>
    <row r="446" ht="12.0" customHeight="1">
      <c r="C446" s="4"/>
      <c r="D446" s="4"/>
      <c r="E446" s="4"/>
      <c r="F446" s="4"/>
      <c r="G446" s="4"/>
      <c r="J446" s="4"/>
      <c r="K446" s="4"/>
      <c r="L446" s="4"/>
      <c r="R446" s="4"/>
      <c r="S446" s="4"/>
      <c r="T446" s="4"/>
    </row>
    <row r="447" ht="12.0" customHeight="1">
      <c r="C447" s="4"/>
      <c r="D447" s="4"/>
      <c r="E447" s="4"/>
      <c r="F447" s="4"/>
      <c r="G447" s="4"/>
      <c r="J447" s="4"/>
      <c r="K447" s="4"/>
      <c r="L447" s="4"/>
      <c r="R447" s="4"/>
      <c r="S447" s="4"/>
      <c r="T447" s="4"/>
    </row>
    <row r="448" ht="12.0" customHeight="1">
      <c r="C448" s="4"/>
      <c r="D448" s="4"/>
      <c r="E448" s="4"/>
      <c r="F448" s="4"/>
      <c r="G448" s="4"/>
      <c r="J448" s="4"/>
      <c r="K448" s="4"/>
      <c r="L448" s="4"/>
      <c r="R448" s="4"/>
      <c r="S448" s="4"/>
      <c r="T448" s="4"/>
    </row>
    <row r="449" ht="12.0" customHeight="1">
      <c r="C449" s="4"/>
      <c r="D449" s="4"/>
      <c r="E449" s="4"/>
      <c r="F449" s="4"/>
      <c r="G449" s="4"/>
      <c r="J449" s="4"/>
      <c r="K449" s="4"/>
      <c r="L449" s="4"/>
      <c r="R449" s="4"/>
      <c r="S449" s="4"/>
      <c r="T449" s="4"/>
    </row>
    <row r="450" ht="12.0" customHeight="1">
      <c r="C450" s="4"/>
      <c r="D450" s="4"/>
      <c r="E450" s="4"/>
      <c r="F450" s="4"/>
      <c r="G450" s="4"/>
      <c r="J450" s="4"/>
      <c r="K450" s="4"/>
      <c r="L450" s="4"/>
      <c r="R450" s="4"/>
      <c r="S450" s="4"/>
      <c r="T450" s="4"/>
    </row>
    <row r="451" ht="12.0" customHeight="1">
      <c r="C451" s="4"/>
      <c r="D451" s="4"/>
      <c r="E451" s="4"/>
      <c r="F451" s="4"/>
      <c r="G451" s="4"/>
      <c r="J451" s="4"/>
      <c r="K451" s="4"/>
      <c r="L451" s="4"/>
      <c r="R451" s="4"/>
      <c r="S451" s="4"/>
      <c r="T451" s="4"/>
    </row>
    <row r="452" ht="12.0" customHeight="1">
      <c r="C452" s="4"/>
      <c r="D452" s="4"/>
      <c r="E452" s="4"/>
      <c r="F452" s="4"/>
      <c r="G452" s="4"/>
      <c r="J452" s="4"/>
      <c r="K452" s="4"/>
      <c r="L452" s="4"/>
      <c r="R452" s="4"/>
      <c r="S452" s="4"/>
      <c r="T452" s="4"/>
    </row>
    <row r="453" ht="12.0" customHeight="1">
      <c r="C453" s="4"/>
      <c r="D453" s="4"/>
      <c r="E453" s="4"/>
      <c r="F453" s="4"/>
      <c r="G453" s="4"/>
      <c r="J453" s="4"/>
      <c r="K453" s="4"/>
      <c r="L453" s="4"/>
      <c r="R453" s="4"/>
      <c r="S453" s="4"/>
      <c r="T453" s="4"/>
    </row>
    <row r="454" ht="12.0" customHeight="1">
      <c r="C454" s="4"/>
      <c r="D454" s="4"/>
      <c r="E454" s="4"/>
      <c r="F454" s="4"/>
      <c r="G454" s="4"/>
      <c r="J454" s="4"/>
      <c r="K454" s="4"/>
      <c r="L454" s="4"/>
      <c r="R454" s="4"/>
      <c r="S454" s="4"/>
      <c r="T454" s="4"/>
    </row>
    <row r="455" ht="12.0" customHeight="1">
      <c r="C455" s="4"/>
      <c r="D455" s="4"/>
      <c r="E455" s="4"/>
      <c r="F455" s="4"/>
      <c r="G455" s="4"/>
      <c r="J455" s="4"/>
      <c r="K455" s="4"/>
      <c r="L455" s="4"/>
      <c r="R455" s="4"/>
      <c r="S455" s="4"/>
      <c r="T455" s="4"/>
    </row>
    <row r="456" ht="12.0" customHeight="1">
      <c r="C456" s="4"/>
      <c r="D456" s="4"/>
      <c r="E456" s="4"/>
      <c r="F456" s="4"/>
      <c r="G456" s="4"/>
      <c r="J456" s="4"/>
      <c r="K456" s="4"/>
      <c r="L456" s="4"/>
      <c r="R456" s="4"/>
      <c r="S456" s="4"/>
      <c r="T456" s="4"/>
    </row>
    <row r="457" ht="12.0" customHeight="1">
      <c r="C457" s="4"/>
      <c r="D457" s="4"/>
      <c r="E457" s="4"/>
      <c r="F457" s="4"/>
      <c r="G457" s="4"/>
      <c r="J457" s="4"/>
      <c r="K457" s="4"/>
      <c r="L457" s="4"/>
      <c r="R457" s="4"/>
      <c r="S457" s="4"/>
      <c r="T457" s="4"/>
    </row>
    <row r="458" ht="12.0" customHeight="1">
      <c r="C458" s="4"/>
      <c r="D458" s="4"/>
      <c r="E458" s="4"/>
      <c r="F458" s="4"/>
      <c r="G458" s="4"/>
      <c r="J458" s="4"/>
      <c r="K458" s="4"/>
      <c r="L458" s="4"/>
      <c r="R458" s="4"/>
      <c r="S458" s="4"/>
      <c r="T458" s="4"/>
    </row>
    <row r="459" ht="12.0" customHeight="1">
      <c r="C459" s="4"/>
      <c r="D459" s="4"/>
      <c r="E459" s="4"/>
      <c r="F459" s="4"/>
      <c r="G459" s="4"/>
      <c r="J459" s="4"/>
      <c r="K459" s="4"/>
      <c r="L459" s="4"/>
      <c r="R459" s="4"/>
      <c r="S459" s="4"/>
      <c r="T459" s="4"/>
    </row>
    <row r="460" ht="12.0" customHeight="1">
      <c r="C460" s="4"/>
      <c r="D460" s="4"/>
      <c r="E460" s="4"/>
      <c r="F460" s="4"/>
      <c r="G460" s="4"/>
      <c r="J460" s="4"/>
      <c r="K460" s="4"/>
      <c r="L460" s="4"/>
      <c r="R460" s="4"/>
      <c r="S460" s="4"/>
      <c r="T460" s="4"/>
    </row>
    <row r="461" ht="12.0" customHeight="1">
      <c r="C461" s="4"/>
      <c r="D461" s="4"/>
      <c r="E461" s="4"/>
      <c r="F461" s="4"/>
      <c r="G461" s="4"/>
      <c r="J461" s="4"/>
      <c r="K461" s="4"/>
      <c r="L461" s="4"/>
      <c r="R461" s="4"/>
      <c r="S461" s="4"/>
      <c r="T461" s="4"/>
    </row>
    <row r="462" ht="12.0" customHeight="1">
      <c r="C462" s="4"/>
      <c r="D462" s="4"/>
      <c r="E462" s="4"/>
      <c r="F462" s="4"/>
      <c r="G462" s="4"/>
      <c r="J462" s="4"/>
      <c r="K462" s="4"/>
      <c r="L462" s="4"/>
      <c r="R462" s="4"/>
      <c r="S462" s="4"/>
      <c r="T462" s="4"/>
    </row>
    <row r="463" ht="12.0" customHeight="1">
      <c r="C463" s="4"/>
      <c r="D463" s="4"/>
      <c r="E463" s="4"/>
      <c r="F463" s="4"/>
      <c r="G463" s="4"/>
      <c r="J463" s="4"/>
      <c r="K463" s="4"/>
      <c r="L463" s="4"/>
      <c r="R463" s="4"/>
      <c r="S463" s="4"/>
      <c r="T463" s="4"/>
    </row>
    <row r="464" ht="12.0" customHeight="1">
      <c r="C464" s="4"/>
      <c r="D464" s="4"/>
      <c r="E464" s="4"/>
      <c r="F464" s="4"/>
      <c r="G464" s="4"/>
      <c r="J464" s="4"/>
      <c r="K464" s="4"/>
      <c r="L464" s="4"/>
      <c r="R464" s="4"/>
      <c r="S464" s="4"/>
      <c r="T464" s="4"/>
    </row>
    <row r="465" ht="12.0" customHeight="1">
      <c r="C465" s="4"/>
      <c r="D465" s="4"/>
      <c r="E465" s="4"/>
      <c r="F465" s="4"/>
      <c r="G465" s="4"/>
      <c r="J465" s="4"/>
      <c r="K465" s="4"/>
      <c r="L465" s="4"/>
      <c r="R465" s="4"/>
      <c r="S465" s="4"/>
      <c r="T465" s="4"/>
    </row>
    <row r="466" ht="12.0" customHeight="1">
      <c r="C466" s="4"/>
      <c r="D466" s="4"/>
      <c r="E466" s="4"/>
      <c r="F466" s="4"/>
      <c r="G466" s="4"/>
      <c r="J466" s="4"/>
      <c r="K466" s="4"/>
      <c r="L466" s="4"/>
      <c r="R466" s="4"/>
      <c r="S466" s="4"/>
      <c r="T466" s="4"/>
    </row>
    <row r="467" ht="12.0" customHeight="1">
      <c r="C467" s="4"/>
      <c r="D467" s="4"/>
      <c r="E467" s="4"/>
      <c r="F467" s="4"/>
      <c r="G467" s="4"/>
      <c r="J467" s="4"/>
      <c r="K467" s="4"/>
      <c r="L467" s="4"/>
      <c r="R467" s="4"/>
      <c r="S467" s="4"/>
      <c r="T467" s="4"/>
    </row>
    <row r="468" ht="12.0" customHeight="1">
      <c r="C468" s="4"/>
      <c r="D468" s="4"/>
      <c r="E468" s="4"/>
      <c r="F468" s="4"/>
      <c r="G468" s="4"/>
      <c r="J468" s="4"/>
      <c r="K468" s="4"/>
      <c r="L468" s="4"/>
      <c r="R468" s="4"/>
      <c r="S468" s="4"/>
      <c r="T468" s="4"/>
    </row>
    <row r="469" ht="12.0" customHeight="1">
      <c r="C469" s="4"/>
      <c r="D469" s="4"/>
      <c r="E469" s="4"/>
      <c r="F469" s="4"/>
      <c r="G469" s="4"/>
      <c r="J469" s="4"/>
      <c r="K469" s="4"/>
      <c r="L469" s="4"/>
      <c r="R469" s="4"/>
      <c r="S469" s="4"/>
      <c r="T469" s="4"/>
    </row>
    <row r="470" ht="12.0" customHeight="1">
      <c r="C470" s="4"/>
      <c r="D470" s="4"/>
      <c r="E470" s="4"/>
      <c r="F470" s="4"/>
      <c r="G470" s="4"/>
      <c r="J470" s="4"/>
      <c r="K470" s="4"/>
      <c r="L470" s="4"/>
      <c r="R470" s="4"/>
      <c r="S470" s="4"/>
      <c r="T470" s="4"/>
    </row>
    <row r="471" ht="12.0" customHeight="1">
      <c r="C471" s="4"/>
      <c r="D471" s="4"/>
      <c r="E471" s="4"/>
      <c r="F471" s="4"/>
      <c r="G471" s="4"/>
      <c r="J471" s="4"/>
      <c r="K471" s="4"/>
      <c r="L471" s="4"/>
      <c r="R471" s="4"/>
      <c r="S471" s="4"/>
      <c r="T471" s="4"/>
    </row>
    <row r="472" ht="12.0" customHeight="1">
      <c r="C472" s="4"/>
      <c r="D472" s="4"/>
      <c r="E472" s="4"/>
      <c r="F472" s="4"/>
      <c r="G472" s="4"/>
      <c r="J472" s="4"/>
      <c r="K472" s="4"/>
      <c r="L472" s="4"/>
      <c r="R472" s="4"/>
      <c r="S472" s="4"/>
      <c r="T472" s="4"/>
    </row>
    <row r="473" ht="12.0" customHeight="1">
      <c r="C473" s="4"/>
      <c r="D473" s="4"/>
      <c r="E473" s="4"/>
      <c r="F473" s="4"/>
      <c r="G473" s="4"/>
      <c r="J473" s="4"/>
      <c r="K473" s="4"/>
      <c r="L473" s="4"/>
      <c r="R473" s="4"/>
      <c r="S473" s="4"/>
      <c r="T473" s="4"/>
    </row>
    <row r="474" ht="12.0" customHeight="1">
      <c r="C474" s="4"/>
      <c r="D474" s="4"/>
      <c r="E474" s="4"/>
      <c r="F474" s="4"/>
      <c r="G474" s="4"/>
      <c r="J474" s="4"/>
      <c r="K474" s="4"/>
      <c r="L474" s="4"/>
      <c r="R474" s="4"/>
      <c r="S474" s="4"/>
      <c r="T474" s="4"/>
    </row>
    <row r="475" ht="12.0" customHeight="1">
      <c r="C475" s="4"/>
      <c r="D475" s="4"/>
      <c r="E475" s="4"/>
      <c r="F475" s="4"/>
      <c r="G475" s="4"/>
      <c r="J475" s="4"/>
      <c r="K475" s="4"/>
      <c r="L475" s="4"/>
      <c r="R475" s="4"/>
      <c r="S475" s="4"/>
      <c r="T475" s="4"/>
    </row>
    <row r="476" ht="12.0" customHeight="1">
      <c r="C476" s="4"/>
      <c r="D476" s="4"/>
      <c r="E476" s="4"/>
      <c r="F476" s="4"/>
      <c r="G476" s="4"/>
      <c r="J476" s="4"/>
      <c r="K476" s="4"/>
      <c r="L476" s="4"/>
      <c r="R476" s="4"/>
      <c r="S476" s="4"/>
      <c r="T476" s="4"/>
    </row>
    <row r="477" ht="12.0" customHeight="1">
      <c r="C477" s="4"/>
      <c r="D477" s="4"/>
      <c r="E477" s="4"/>
      <c r="F477" s="4"/>
      <c r="G477" s="4"/>
      <c r="J477" s="4"/>
      <c r="K477" s="4"/>
      <c r="L477" s="4"/>
      <c r="R477" s="4"/>
      <c r="S477" s="4"/>
      <c r="T477" s="4"/>
    </row>
    <row r="478" ht="12.0" customHeight="1">
      <c r="C478" s="4"/>
      <c r="D478" s="4"/>
      <c r="E478" s="4"/>
      <c r="F478" s="4"/>
      <c r="G478" s="4"/>
      <c r="J478" s="4"/>
      <c r="K478" s="4"/>
      <c r="L478" s="4"/>
      <c r="R478" s="4"/>
      <c r="S478" s="4"/>
      <c r="T478" s="4"/>
    </row>
    <row r="479" ht="12.0" customHeight="1">
      <c r="C479" s="4"/>
      <c r="D479" s="4"/>
      <c r="E479" s="4"/>
      <c r="F479" s="4"/>
      <c r="G479" s="4"/>
      <c r="J479" s="4"/>
      <c r="K479" s="4"/>
      <c r="L479" s="4"/>
      <c r="R479" s="4"/>
      <c r="S479" s="4"/>
      <c r="T479" s="4"/>
    </row>
    <row r="480" ht="12.0" customHeight="1">
      <c r="C480" s="4"/>
      <c r="D480" s="4"/>
      <c r="E480" s="4"/>
      <c r="F480" s="4"/>
      <c r="G480" s="4"/>
      <c r="J480" s="4"/>
      <c r="K480" s="4"/>
      <c r="L480" s="4"/>
      <c r="R480" s="4"/>
      <c r="S480" s="4"/>
      <c r="T480" s="4"/>
    </row>
    <row r="481" ht="12.0" customHeight="1">
      <c r="C481" s="4"/>
      <c r="D481" s="4"/>
      <c r="E481" s="4"/>
      <c r="F481" s="4"/>
      <c r="G481" s="4"/>
      <c r="J481" s="4"/>
      <c r="K481" s="4"/>
      <c r="L481" s="4"/>
      <c r="R481" s="4"/>
      <c r="S481" s="4"/>
      <c r="T481" s="4"/>
    </row>
    <row r="482" ht="12.0" customHeight="1">
      <c r="C482" s="4"/>
      <c r="D482" s="4"/>
      <c r="E482" s="4"/>
      <c r="F482" s="4"/>
      <c r="G482" s="4"/>
      <c r="J482" s="4"/>
      <c r="K482" s="4"/>
      <c r="L482" s="4"/>
      <c r="R482" s="4"/>
      <c r="S482" s="4"/>
      <c r="T482" s="4"/>
    </row>
    <row r="483" ht="12.0" customHeight="1">
      <c r="C483" s="4"/>
      <c r="D483" s="4"/>
      <c r="E483" s="4"/>
      <c r="F483" s="4"/>
      <c r="G483" s="4"/>
      <c r="J483" s="4"/>
      <c r="K483" s="4"/>
      <c r="L483" s="4"/>
      <c r="R483" s="4"/>
      <c r="S483" s="4"/>
      <c r="T483" s="4"/>
    </row>
    <row r="484" ht="12.0" customHeight="1">
      <c r="C484" s="4"/>
      <c r="D484" s="4"/>
      <c r="E484" s="4"/>
      <c r="F484" s="4"/>
      <c r="G484" s="4"/>
      <c r="J484" s="4"/>
      <c r="K484" s="4"/>
      <c r="L484" s="4"/>
      <c r="R484" s="4"/>
      <c r="S484" s="4"/>
      <c r="T484" s="4"/>
    </row>
    <row r="485" ht="12.0" customHeight="1">
      <c r="C485" s="4"/>
      <c r="D485" s="4"/>
      <c r="E485" s="4"/>
      <c r="F485" s="4"/>
      <c r="G485" s="4"/>
      <c r="J485" s="4"/>
      <c r="K485" s="4"/>
      <c r="L485" s="4"/>
      <c r="R485" s="4"/>
      <c r="S485" s="4"/>
      <c r="T485" s="4"/>
    </row>
    <row r="486" ht="12.0" customHeight="1">
      <c r="C486" s="4"/>
      <c r="D486" s="4"/>
      <c r="E486" s="4"/>
      <c r="F486" s="4"/>
      <c r="G486" s="4"/>
      <c r="J486" s="4"/>
      <c r="K486" s="4"/>
      <c r="L486" s="4"/>
      <c r="R486" s="4"/>
      <c r="S486" s="4"/>
      <c r="T486" s="4"/>
    </row>
    <row r="487" ht="12.0" customHeight="1">
      <c r="C487" s="4"/>
      <c r="D487" s="4"/>
      <c r="E487" s="4"/>
      <c r="F487" s="4"/>
      <c r="G487" s="4"/>
      <c r="J487" s="4"/>
      <c r="K487" s="4"/>
      <c r="L487" s="4"/>
      <c r="R487" s="4"/>
      <c r="S487" s="4"/>
      <c r="T487" s="4"/>
    </row>
    <row r="488" ht="12.0" customHeight="1">
      <c r="C488" s="4"/>
      <c r="D488" s="4"/>
      <c r="E488" s="4"/>
      <c r="F488" s="4"/>
      <c r="G488" s="4"/>
      <c r="J488" s="4"/>
      <c r="K488" s="4"/>
      <c r="L488" s="4"/>
      <c r="R488" s="4"/>
      <c r="S488" s="4"/>
      <c r="T488" s="4"/>
    </row>
    <row r="489" ht="12.0" customHeight="1">
      <c r="C489" s="4"/>
      <c r="D489" s="4"/>
      <c r="E489" s="4"/>
      <c r="F489" s="4"/>
      <c r="G489" s="4"/>
      <c r="J489" s="4"/>
      <c r="K489" s="4"/>
      <c r="L489" s="4"/>
      <c r="R489" s="4"/>
      <c r="S489" s="4"/>
      <c r="T489" s="4"/>
    </row>
    <row r="490" ht="12.0" customHeight="1">
      <c r="C490" s="4"/>
      <c r="D490" s="4"/>
      <c r="E490" s="4"/>
      <c r="F490" s="4"/>
      <c r="G490" s="4"/>
      <c r="J490" s="4"/>
      <c r="K490" s="4"/>
      <c r="L490" s="4"/>
      <c r="R490" s="4"/>
      <c r="S490" s="4"/>
      <c r="T490" s="4"/>
    </row>
    <row r="491" ht="12.0" customHeight="1">
      <c r="C491" s="4"/>
      <c r="D491" s="4"/>
      <c r="E491" s="4"/>
      <c r="F491" s="4"/>
      <c r="G491" s="4"/>
      <c r="J491" s="4"/>
      <c r="K491" s="4"/>
      <c r="L491" s="4"/>
      <c r="R491" s="4"/>
      <c r="S491" s="4"/>
      <c r="T491" s="4"/>
    </row>
    <row r="492" ht="12.0" customHeight="1">
      <c r="C492" s="4"/>
      <c r="D492" s="4"/>
      <c r="E492" s="4"/>
      <c r="F492" s="4"/>
      <c r="G492" s="4"/>
      <c r="J492" s="4"/>
      <c r="K492" s="4"/>
      <c r="L492" s="4"/>
      <c r="R492" s="4"/>
      <c r="S492" s="4"/>
      <c r="T492" s="4"/>
    </row>
    <row r="493" ht="12.0" customHeight="1">
      <c r="C493" s="4"/>
      <c r="D493" s="4"/>
      <c r="E493" s="4"/>
      <c r="F493" s="4"/>
      <c r="G493" s="4"/>
      <c r="J493" s="4"/>
      <c r="K493" s="4"/>
      <c r="L493" s="4"/>
      <c r="R493" s="4"/>
      <c r="S493" s="4"/>
      <c r="T493" s="4"/>
    </row>
    <row r="494" ht="12.0" customHeight="1">
      <c r="C494" s="4"/>
      <c r="D494" s="4"/>
      <c r="E494" s="4"/>
      <c r="F494" s="4"/>
      <c r="G494" s="4"/>
      <c r="J494" s="4"/>
      <c r="K494" s="4"/>
      <c r="L494" s="4"/>
      <c r="R494" s="4"/>
      <c r="S494" s="4"/>
      <c r="T494" s="4"/>
    </row>
    <row r="495" ht="12.0" customHeight="1">
      <c r="C495" s="4"/>
      <c r="D495" s="4"/>
      <c r="E495" s="4"/>
      <c r="F495" s="4"/>
      <c r="G495" s="4"/>
      <c r="J495" s="4"/>
      <c r="K495" s="4"/>
      <c r="L495" s="4"/>
      <c r="R495" s="4"/>
      <c r="S495" s="4"/>
      <c r="T495" s="4"/>
    </row>
    <row r="496" ht="12.0" customHeight="1">
      <c r="C496" s="4"/>
      <c r="D496" s="4"/>
      <c r="E496" s="4"/>
      <c r="F496" s="4"/>
      <c r="G496" s="4"/>
      <c r="J496" s="4"/>
      <c r="K496" s="4"/>
      <c r="L496" s="4"/>
      <c r="R496" s="4"/>
      <c r="S496" s="4"/>
      <c r="T496" s="4"/>
    </row>
    <row r="497" ht="12.0" customHeight="1">
      <c r="C497" s="4"/>
      <c r="D497" s="4"/>
      <c r="E497" s="4"/>
      <c r="F497" s="4"/>
      <c r="G497" s="4"/>
      <c r="J497" s="4"/>
      <c r="K497" s="4"/>
      <c r="L497" s="4"/>
      <c r="R497" s="4"/>
      <c r="S497" s="4"/>
      <c r="T497" s="4"/>
    </row>
    <row r="498" ht="12.0" customHeight="1">
      <c r="C498" s="4"/>
      <c r="D498" s="4"/>
      <c r="E498" s="4"/>
      <c r="F498" s="4"/>
      <c r="G498" s="4"/>
      <c r="J498" s="4"/>
      <c r="K498" s="4"/>
      <c r="L498" s="4"/>
      <c r="R498" s="4"/>
      <c r="S498" s="4"/>
      <c r="T498" s="4"/>
    </row>
    <row r="499" ht="12.0" customHeight="1">
      <c r="C499" s="4"/>
      <c r="D499" s="4"/>
      <c r="E499" s="4"/>
      <c r="F499" s="4"/>
      <c r="G499" s="4"/>
      <c r="J499" s="4"/>
      <c r="K499" s="4"/>
      <c r="L499" s="4"/>
      <c r="R499" s="4"/>
      <c r="S499" s="4"/>
      <c r="T499" s="4"/>
    </row>
    <row r="500" ht="12.0" customHeight="1">
      <c r="C500" s="4"/>
      <c r="D500" s="4"/>
      <c r="E500" s="4"/>
      <c r="F500" s="4"/>
      <c r="G500" s="4"/>
      <c r="J500" s="4"/>
      <c r="K500" s="4"/>
      <c r="L500" s="4"/>
      <c r="R500" s="4"/>
      <c r="S500" s="4"/>
      <c r="T500" s="4"/>
    </row>
    <row r="501" ht="12.0" customHeight="1">
      <c r="C501" s="4"/>
      <c r="D501" s="4"/>
      <c r="E501" s="4"/>
      <c r="F501" s="4"/>
      <c r="G501" s="4"/>
      <c r="J501" s="4"/>
      <c r="K501" s="4"/>
      <c r="L501" s="4"/>
      <c r="R501" s="4"/>
      <c r="S501" s="4"/>
      <c r="T501" s="4"/>
    </row>
    <row r="502" ht="12.0" customHeight="1">
      <c r="C502" s="4"/>
      <c r="D502" s="4"/>
      <c r="E502" s="4"/>
      <c r="F502" s="4"/>
      <c r="G502" s="4"/>
      <c r="J502" s="4"/>
      <c r="K502" s="4"/>
      <c r="L502" s="4"/>
      <c r="R502" s="4"/>
      <c r="S502" s="4"/>
      <c r="T502" s="4"/>
    </row>
    <row r="503" ht="12.0" customHeight="1">
      <c r="C503" s="4"/>
      <c r="D503" s="4"/>
      <c r="E503" s="4"/>
      <c r="F503" s="4"/>
      <c r="G503" s="4"/>
      <c r="J503" s="4"/>
      <c r="K503" s="4"/>
      <c r="L503" s="4"/>
      <c r="R503" s="4"/>
      <c r="S503" s="4"/>
      <c r="T503" s="4"/>
    </row>
    <row r="504" ht="12.0" customHeight="1">
      <c r="C504" s="4"/>
      <c r="D504" s="4"/>
      <c r="E504" s="4"/>
      <c r="F504" s="4"/>
      <c r="G504" s="4"/>
      <c r="J504" s="4"/>
      <c r="K504" s="4"/>
      <c r="L504" s="4"/>
      <c r="R504" s="4"/>
      <c r="S504" s="4"/>
      <c r="T504" s="4"/>
    </row>
    <row r="505" ht="12.0" customHeight="1">
      <c r="C505" s="4"/>
      <c r="D505" s="4"/>
      <c r="E505" s="4"/>
      <c r="F505" s="4"/>
      <c r="G505" s="4"/>
      <c r="J505" s="4"/>
      <c r="K505" s="4"/>
      <c r="L505" s="4"/>
      <c r="R505" s="4"/>
      <c r="S505" s="4"/>
      <c r="T505" s="4"/>
    </row>
    <row r="506" ht="12.0" customHeight="1">
      <c r="C506" s="4"/>
      <c r="D506" s="4"/>
      <c r="E506" s="4"/>
      <c r="F506" s="4"/>
      <c r="G506" s="4"/>
      <c r="J506" s="4"/>
      <c r="K506" s="4"/>
      <c r="L506" s="4"/>
      <c r="R506" s="4"/>
      <c r="S506" s="4"/>
      <c r="T506" s="4"/>
    </row>
    <row r="507" ht="12.0" customHeight="1">
      <c r="C507" s="4"/>
      <c r="D507" s="4"/>
      <c r="E507" s="4"/>
      <c r="F507" s="4"/>
      <c r="G507" s="4"/>
      <c r="J507" s="4"/>
      <c r="K507" s="4"/>
      <c r="L507" s="4"/>
      <c r="R507" s="4"/>
      <c r="S507" s="4"/>
      <c r="T507" s="4"/>
    </row>
    <row r="508" ht="12.0" customHeight="1">
      <c r="C508" s="4"/>
      <c r="D508" s="4"/>
      <c r="E508" s="4"/>
      <c r="F508" s="4"/>
      <c r="G508" s="4"/>
      <c r="J508" s="4"/>
      <c r="K508" s="4"/>
      <c r="L508" s="4"/>
      <c r="R508" s="4"/>
      <c r="S508" s="4"/>
      <c r="T508" s="4"/>
    </row>
    <row r="509" ht="12.0" customHeight="1">
      <c r="C509" s="4"/>
      <c r="D509" s="4"/>
      <c r="E509" s="4"/>
      <c r="F509" s="4"/>
      <c r="G509" s="4"/>
      <c r="J509" s="4"/>
      <c r="K509" s="4"/>
      <c r="L509" s="4"/>
      <c r="R509" s="4"/>
      <c r="S509" s="4"/>
      <c r="T509" s="4"/>
    </row>
    <row r="510" ht="12.0" customHeight="1">
      <c r="C510" s="4"/>
      <c r="D510" s="4"/>
      <c r="E510" s="4"/>
      <c r="F510" s="4"/>
      <c r="G510" s="4"/>
      <c r="J510" s="4"/>
      <c r="K510" s="4"/>
      <c r="L510" s="4"/>
      <c r="R510" s="4"/>
      <c r="S510" s="4"/>
      <c r="T510" s="4"/>
    </row>
    <row r="511" ht="12.0" customHeight="1">
      <c r="C511" s="4"/>
      <c r="D511" s="4"/>
      <c r="E511" s="4"/>
      <c r="F511" s="4"/>
      <c r="G511" s="4"/>
      <c r="J511" s="4"/>
      <c r="K511" s="4"/>
      <c r="L511" s="4"/>
      <c r="R511" s="4"/>
      <c r="S511" s="4"/>
      <c r="T511" s="4"/>
    </row>
    <row r="512" ht="12.0" customHeight="1">
      <c r="C512" s="4"/>
      <c r="D512" s="4"/>
      <c r="E512" s="4"/>
      <c r="F512" s="4"/>
      <c r="G512" s="4"/>
      <c r="J512" s="4"/>
      <c r="K512" s="4"/>
      <c r="L512" s="4"/>
      <c r="R512" s="4"/>
      <c r="S512" s="4"/>
      <c r="T512" s="4"/>
    </row>
    <row r="513" ht="12.0" customHeight="1">
      <c r="C513" s="4"/>
      <c r="D513" s="4"/>
      <c r="E513" s="4"/>
      <c r="F513" s="4"/>
      <c r="G513" s="4"/>
      <c r="J513" s="4"/>
      <c r="K513" s="4"/>
      <c r="L513" s="4"/>
      <c r="R513" s="4"/>
      <c r="S513" s="4"/>
      <c r="T513" s="4"/>
    </row>
    <row r="514" ht="12.0" customHeight="1">
      <c r="C514" s="4"/>
      <c r="D514" s="4"/>
      <c r="E514" s="4"/>
      <c r="F514" s="4"/>
      <c r="G514" s="4"/>
      <c r="J514" s="4"/>
      <c r="K514" s="4"/>
      <c r="L514" s="4"/>
      <c r="R514" s="4"/>
      <c r="S514" s="4"/>
      <c r="T514" s="4"/>
    </row>
    <row r="515" ht="12.0" customHeight="1">
      <c r="C515" s="4"/>
      <c r="D515" s="4"/>
      <c r="E515" s="4"/>
      <c r="F515" s="4"/>
      <c r="G515" s="4"/>
      <c r="J515" s="4"/>
      <c r="K515" s="4"/>
      <c r="L515" s="4"/>
      <c r="R515" s="4"/>
      <c r="S515" s="4"/>
      <c r="T515" s="4"/>
    </row>
    <row r="516" ht="12.0" customHeight="1">
      <c r="C516" s="4"/>
      <c r="D516" s="4"/>
      <c r="E516" s="4"/>
      <c r="F516" s="4"/>
      <c r="G516" s="4"/>
      <c r="J516" s="4"/>
      <c r="K516" s="4"/>
      <c r="L516" s="4"/>
      <c r="R516" s="4"/>
      <c r="S516" s="4"/>
      <c r="T516" s="4"/>
    </row>
    <row r="517" ht="12.0" customHeight="1">
      <c r="C517" s="4"/>
      <c r="D517" s="4"/>
      <c r="E517" s="4"/>
      <c r="F517" s="4"/>
      <c r="G517" s="4"/>
      <c r="J517" s="4"/>
      <c r="K517" s="4"/>
      <c r="L517" s="4"/>
      <c r="R517" s="4"/>
      <c r="S517" s="4"/>
      <c r="T517" s="4"/>
    </row>
    <row r="518" ht="12.0" customHeight="1">
      <c r="C518" s="4"/>
      <c r="D518" s="4"/>
      <c r="E518" s="4"/>
      <c r="F518" s="4"/>
      <c r="G518" s="4"/>
      <c r="J518" s="4"/>
      <c r="K518" s="4"/>
      <c r="L518" s="4"/>
      <c r="R518" s="4"/>
      <c r="S518" s="4"/>
      <c r="T518" s="4"/>
    </row>
    <row r="519" ht="12.0" customHeight="1">
      <c r="C519" s="4"/>
      <c r="D519" s="4"/>
      <c r="E519" s="4"/>
      <c r="F519" s="4"/>
      <c r="G519" s="4"/>
      <c r="J519" s="4"/>
      <c r="K519" s="4"/>
      <c r="L519" s="4"/>
      <c r="R519" s="4"/>
      <c r="S519" s="4"/>
      <c r="T519" s="4"/>
    </row>
    <row r="520" ht="12.0" customHeight="1">
      <c r="C520" s="4"/>
      <c r="D520" s="4"/>
      <c r="E520" s="4"/>
      <c r="F520" s="4"/>
      <c r="G520" s="4"/>
      <c r="J520" s="4"/>
      <c r="K520" s="4"/>
      <c r="L520" s="4"/>
      <c r="R520" s="4"/>
      <c r="S520" s="4"/>
      <c r="T520" s="4"/>
    </row>
    <row r="521" ht="12.0" customHeight="1">
      <c r="C521" s="4"/>
      <c r="D521" s="4"/>
      <c r="E521" s="4"/>
      <c r="F521" s="4"/>
      <c r="G521" s="4"/>
      <c r="J521" s="4"/>
      <c r="K521" s="4"/>
      <c r="L521" s="4"/>
      <c r="R521" s="4"/>
      <c r="S521" s="4"/>
      <c r="T521" s="4"/>
    </row>
    <row r="522" ht="12.0" customHeight="1">
      <c r="C522" s="4"/>
      <c r="D522" s="4"/>
      <c r="E522" s="4"/>
      <c r="F522" s="4"/>
      <c r="G522" s="4"/>
      <c r="J522" s="4"/>
      <c r="K522" s="4"/>
      <c r="L522" s="4"/>
      <c r="R522" s="4"/>
      <c r="S522" s="4"/>
      <c r="T522" s="4"/>
    </row>
    <row r="523" ht="12.0" customHeight="1">
      <c r="C523" s="4"/>
      <c r="D523" s="4"/>
      <c r="E523" s="4"/>
      <c r="F523" s="4"/>
      <c r="G523" s="4"/>
      <c r="J523" s="4"/>
      <c r="K523" s="4"/>
      <c r="L523" s="4"/>
      <c r="R523" s="4"/>
      <c r="S523" s="4"/>
      <c r="T523" s="4"/>
    </row>
    <row r="524" ht="12.0" customHeight="1">
      <c r="C524" s="4"/>
      <c r="D524" s="4"/>
      <c r="E524" s="4"/>
      <c r="F524" s="4"/>
      <c r="G524" s="4"/>
      <c r="J524" s="4"/>
      <c r="K524" s="4"/>
      <c r="L524" s="4"/>
      <c r="R524" s="4"/>
      <c r="S524" s="4"/>
      <c r="T524" s="4"/>
    </row>
    <row r="525" ht="12.0" customHeight="1">
      <c r="C525" s="4"/>
      <c r="D525" s="4"/>
      <c r="E525" s="4"/>
      <c r="F525" s="4"/>
      <c r="G525" s="4"/>
      <c r="J525" s="4"/>
      <c r="K525" s="4"/>
      <c r="L525" s="4"/>
      <c r="R525" s="4"/>
      <c r="S525" s="4"/>
      <c r="T525" s="4"/>
    </row>
    <row r="526" ht="12.0" customHeight="1">
      <c r="C526" s="4"/>
      <c r="D526" s="4"/>
      <c r="E526" s="4"/>
      <c r="F526" s="4"/>
      <c r="G526" s="4"/>
      <c r="J526" s="4"/>
      <c r="K526" s="4"/>
      <c r="L526" s="4"/>
      <c r="R526" s="4"/>
      <c r="S526" s="4"/>
      <c r="T526" s="4"/>
    </row>
    <row r="527" ht="12.0" customHeight="1">
      <c r="C527" s="4"/>
      <c r="D527" s="4"/>
      <c r="E527" s="4"/>
      <c r="F527" s="4"/>
      <c r="G527" s="4"/>
      <c r="J527" s="4"/>
      <c r="K527" s="4"/>
      <c r="L527" s="4"/>
      <c r="R527" s="4"/>
      <c r="S527" s="4"/>
      <c r="T527" s="4"/>
    </row>
    <row r="528" ht="12.0" customHeight="1">
      <c r="C528" s="4"/>
      <c r="D528" s="4"/>
      <c r="E528" s="4"/>
      <c r="F528" s="4"/>
      <c r="G528" s="4"/>
      <c r="J528" s="4"/>
      <c r="K528" s="4"/>
      <c r="L528" s="4"/>
      <c r="R528" s="4"/>
      <c r="S528" s="4"/>
      <c r="T528" s="4"/>
    </row>
    <row r="529" ht="12.0" customHeight="1">
      <c r="C529" s="4"/>
      <c r="D529" s="4"/>
      <c r="E529" s="4"/>
      <c r="F529" s="4"/>
      <c r="G529" s="4"/>
      <c r="J529" s="4"/>
      <c r="K529" s="4"/>
      <c r="L529" s="4"/>
      <c r="R529" s="4"/>
      <c r="S529" s="4"/>
      <c r="T529" s="4"/>
    </row>
    <row r="530" ht="12.0" customHeight="1">
      <c r="C530" s="4"/>
      <c r="D530" s="4"/>
      <c r="E530" s="4"/>
      <c r="F530" s="4"/>
      <c r="G530" s="4"/>
      <c r="J530" s="4"/>
      <c r="K530" s="4"/>
      <c r="L530" s="4"/>
      <c r="R530" s="4"/>
      <c r="S530" s="4"/>
      <c r="T530" s="4"/>
    </row>
    <row r="531" ht="12.0" customHeight="1">
      <c r="C531" s="4"/>
      <c r="D531" s="4"/>
      <c r="E531" s="4"/>
      <c r="F531" s="4"/>
      <c r="G531" s="4"/>
      <c r="J531" s="4"/>
      <c r="K531" s="4"/>
      <c r="L531" s="4"/>
      <c r="R531" s="4"/>
      <c r="S531" s="4"/>
      <c r="T531" s="4"/>
    </row>
    <row r="532" ht="12.0" customHeight="1">
      <c r="C532" s="4"/>
      <c r="D532" s="4"/>
      <c r="E532" s="4"/>
      <c r="F532" s="4"/>
      <c r="G532" s="4"/>
      <c r="J532" s="4"/>
      <c r="K532" s="4"/>
      <c r="L532" s="4"/>
      <c r="R532" s="4"/>
      <c r="S532" s="4"/>
      <c r="T532" s="4"/>
    </row>
    <row r="533" ht="12.0" customHeight="1">
      <c r="C533" s="4"/>
      <c r="D533" s="4"/>
      <c r="E533" s="4"/>
      <c r="F533" s="4"/>
      <c r="G533" s="4"/>
      <c r="J533" s="4"/>
      <c r="K533" s="4"/>
      <c r="L533" s="4"/>
      <c r="R533" s="4"/>
      <c r="S533" s="4"/>
      <c r="T533" s="4"/>
    </row>
    <row r="534" ht="12.0" customHeight="1">
      <c r="C534" s="4"/>
      <c r="D534" s="4"/>
      <c r="E534" s="4"/>
      <c r="F534" s="4"/>
      <c r="G534" s="4"/>
      <c r="J534" s="4"/>
      <c r="K534" s="4"/>
      <c r="L534" s="4"/>
      <c r="R534" s="4"/>
      <c r="S534" s="4"/>
      <c r="T534" s="4"/>
    </row>
    <row r="535" ht="12.0" customHeight="1">
      <c r="C535" s="4"/>
      <c r="D535" s="4"/>
      <c r="E535" s="4"/>
      <c r="F535" s="4"/>
      <c r="G535" s="4"/>
      <c r="J535" s="4"/>
      <c r="K535" s="4"/>
      <c r="L535" s="4"/>
      <c r="R535" s="4"/>
      <c r="S535" s="4"/>
      <c r="T535" s="4"/>
    </row>
    <row r="536" ht="12.0" customHeight="1">
      <c r="C536" s="4"/>
      <c r="D536" s="4"/>
      <c r="E536" s="4"/>
      <c r="F536" s="4"/>
      <c r="G536" s="4"/>
      <c r="J536" s="4"/>
      <c r="K536" s="4"/>
      <c r="L536" s="4"/>
      <c r="R536" s="4"/>
      <c r="S536" s="4"/>
      <c r="T536" s="4"/>
    </row>
    <row r="537" ht="12.0" customHeight="1">
      <c r="C537" s="4"/>
      <c r="D537" s="4"/>
      <c r="E537" s="4"/>
      <c r="F537" s="4"/>
      <c r="G537" s="4"/>
      <c r="J537" s="4"/>
      <c r="K537" s="4"/>
      <c r="L537" s="4"/>
      <c r="R537" s="4"/>
      <c r="S537" s="4"/>
      <c r="T537" s="4"/>
    </row>
    <row r="538" ht="12.0" customHeight="1">
      <c r="C538" s="4"/>
      <c r="D538" s="4"/>
      <c r="E538" s="4"/>
      <c r="F538" s="4"/>
      <c r="G538" s="4"/>
      <c r="J538" s="4"/>
      <c r="K538" s="4"/>
      <c r="L538" s="4"/>
      <c r="R538" s="4"/>
      <c r="S538" s="4"/>
      <c r="T538" s="4"/>
    </row>
    <row r="539" ht="12.0" customHeight="1">
      <c r="C539" s="4"/>
      <c r="D539" s="4"/>
      <c r="E539" s="4"/>
      <c r="F539" s="4"/>
      <c r="G539" s="4"/>
      <c r="J539" s="4"/>
      <c r="K539" s="4"/>
      <c r="L539" s="4"/>
      <c r="R539" s="4"/>
      <c r="S539" s="4"/>
      <c r="T539" s="4"/>
    </row>
    <row r="540" ht="12.0" customHeight="1">
      <c r="C540" s="4"/>
      <c r="D540" s="4"/>
      <c r="E540" s="4"/>
      <c r="F540" s="4"/>
      <c r="G540" s="4"/>
      <c r="J540" s="4"/>
      <c r="K540" s="4"/>
      <c r="L540" s="4"/>
      <c r="R540" s="4"/>
      <c r="S540" s="4"/>
      <c r="T540" s="4"/>
    </row>
    <row r="541" ht="12.0" customHeight="1">
      <c r="C541" s="4"/>
      <c r="D541" s="4"/>
      <c r="E541" s="4"/>
      <c r="F541" s="4"/>
      <c r="G541" s="4"/>
      <c r="J541" s="4"/>
      <c r="K541" s="4"/>
      <c r="L541" s="4"/>
      <c r="R541" s="4"/>
      <c r="S541" s="4"/>
      <c r="T541" s="4"/>
    </row>
    <row r="542" ht="12.0" customHeight="1">
      <c r="C542" s="4"/>
      <c r="D542" s="4"/>
      <c r="E542" s="4"/>
      <c r="F542" s="4"/>
      <c r="G542" s="4"/>
      <c r="J542" s="4"/>
      <c r="K542" s="4"/>
      <c r="L542" s="4"/>
      <c r="R542" s="4"/>
      <c r="S542" s="4"/>
      <c r="T542" s="4"/>
    </row>
    <row r="543" ht="12.0" customHeight="1">
      <c r="C543" s="4"/>
      <c r="D543" s="4"/>
      <c r="E543" s="4"/>
      <c r="F543" s="4"/>
      <c r="G543" s="4"/>
      <c r="J543" s="4"/>
      <c r="K543" s="4"/>
      <c r="L543" s="4"/>
      <c r="R543" s="4"/>
      <c r="S543" s="4"/>
      <c r="T543" s="4"/>
    </row>
    <row r="544" ht="12.0" customHeight="1">
      <c r="C544" s="4"/>
      <c r="D544" s="4"/>
      <c r="E544" s="4"/>
      <c r="F544" s="4"/>
      <c r="G544" s="4"/>
      <c r="J544" s="4"/>
      <c r="K544" s="4"/>
      <c r="L544" s="4"/>
      <c r="R544" s="4"/>
      <c r="S544" s="4"/>
      <c r="T544" s="4"/>
    </row>
    <row r="545" ht="12.0" customHeight="1">
      <c r="C545" s="4"/>
      <c r="D545" s="4"/>
      <c r="E545" s="4"/>
      <c r="F545" s="4"/>
      <c r="G545" s="4"/>
      <c r="J545" s="4"/>
      <c r="K545" s="4"/>
      <c r="L545" s="4"/>
      <c r="R545" s="4"/>
      <c r="S545" s="4"/>
      <c r="T545" s="4"/>
    </row>
    <row r="546" ht="12.0" customHeight="1">
      <c r="C546" s="4"/>
      <c r="D546" s="4"/>
      <c r="E546" s="4"/>
      <c r="F546" s="4"/>
      <c r="G546" s="4"/>
      <c r="J546" s="4"/>
      <c r="K546" s="4"/>
      <c r="L546" s="4"/>
      <c r="R546" s="4"/>
      <c r="S546" s="4"/>
      <c r="T546" s="4"/>
    </row>
    <row r="547" ht="12.0" customHeight="1">
      <c r="C547" s="4"/>
      <c r="D547" s="4"/>
      <c r="E547" s="4"/>
      <c r="F547" s="4"/>
      <c r="G547" s="4"/>
      <c r="J547" s="4"/>
      <c r="K547" s="4"/>
      <c r="L547" s="4"/>
      <c r="R547" s="4"/>
      <c r="S547" s="4"/>
      <c r="T547" s="4"/>
    </row>
    <row r="548" ht="12.0" customHeight="1">
      <c r="C548" s="4"/>
      <c r="D548" s="4"/>
      <c r="E548" s="4"/>
      <c r="F548" s="4"/>
      <c r="G548" s="4"/>
      <c r="J548" s="4"/>
      <c r="K548" s="4"/>
      <c r="L548" s="4"/>
      <c r="R548" s="4"/>
      <c r="S548" s="4"/>
      <c r="T548" s="4"/>
    </row>
    <row r="549" ht="12.0" customHeight="1">
      <c r="C549" s="4"/>
      <c r="D549" s="4"/>
      <c r="E549" s="4"/>
      <c r="F549" s="4"/>
      <c r="G549" s="4"/>
      <c r="J549" s="4"/>
      <c r="K549" s="4"/>
      <c r="L549" s="4"/>
      <c r="R549" s="4"/>
      <c r="S549" s="4"/>
      <c r="T549" s="4"/>
    </row>
    <row r="550" ht="12.0" customHeight="1">
      <c r="C550" s="4"/>
      <c r="D550" s="4"/>
      <c r="E550" s="4"/>
      <c r="F550" s="4"/>
      <c r="G550" s="4"/>
      <c r="J550" s="4"/>
      <c r="K550" s="4"/>
      <c r="L550" s="4"/>
      <c r="R550" s="4"/>
      <c r="S550" s="4"/>
      <c r="T550" s="4"/>
    </row>
    <row r="551" ht="12.0" customHeight="1">
      <c r="C551" s="4"/>
      <c r="D551" s="4"/>
      <c r="E551" s="4"/>
      <c r="F551" s="4"/>
      <c r="G551" s="4"/>
      <c r="J551" s="4"/>
      <c r="K551" s="4"/>
      <c r="L551" s="4"/>
      <c r="R551" s="4"/>
      <c r="S551" s="4"/>
      <c r="T551" s="4"/>
    </row>
    <row r="552" ht="12.0" customHeight="1">
      <c r="C552" s="4"/>
      <c r="D552" s="4"/>
      <c r="E552" s="4"/>
      <c r="F552" s="4"/>
      <c r="G552" s="4"/>
      <c r="J552" s="4"/>
      <c r="K552" s="4"/>
      <c r="L552" s="4"/>
      <c r="R552" s="4"/>
      <c r="S552" s="4"/>
      <c r="T552" s="4"/>
    </row>
    <row r="553" ht="12.0" customHeight="1">
      <c r="C553" s="4"/>
      <c r="D553" s="4"/>
      <c r="E553" s="4"/>
      <c r="F553" s="4"/>
      <c r="G553" s="4"/>
      <c r="J553" s="4"/>
      <c r="K553" s="4"/>
      <c r="L553" s="4"/>
      <c r="R553" s="4"/>
      <c r="S553" s="4"/>
      <c r="T553" s="4"/>
    </row>
    <row r="554" ht="12.0" customHeight="1">
      <c r="C554" s="4"/>
      <c r="D554" s="4"/>
      <c r="E554" s="4"/>
      <c r="F554" s="4"/>
      <c r="G554" s="4"/>
      <c r="J554" s="4"/>
      <c r="K554" s="4"/>
      <c r="L554" s="4"/>
      <c r="R554" s="4"/>
      <c r="S554" s="4"/>
      <c r="T554" s="4"/>
    </row>
    <row r="555" ht="12.0" customHeight="1">
      <c r="C555" s="4"/>
      <c r="D555" s="4"/>
      <c r="E555" s="4"/>
      <c r="F555" s="4"/>
      <c r="G555" s="4"/>
      <c r="J555" s="4"/>
      <c r="K555" s="4"/>
      <c r="L555" s="4"/>
      <c r="R555" s="4"/>
      <c r="S555" s="4"/>
      <c r="T555" s="4"/>
    </row>
    <row r="556" ht="12.0" customHeight="1">
      <c r="C556" s="4"/>
      <c r="D556" s="4"/>
      <c r="E556" s="4"/>
      <c r="F556" s="4"/>
      <c r="G556" s="4"/>
      <c r="J556" s="4"/>
      <c r="K556" s="4"/>
      <c r="L556" s="4"/>
      <c r="R556" s="4"/>
      <c r="S556" s="4"/>
      <c r="T556" s="4"/>
    </row>
    <row r="557" ht="12.0" customHeight="1">
      <c r="C557" s="4"/>
      <c r="D557" s="4"/>
      <c r="E557" s="4"/>
      <c r="F557" s="4"/>
      <c r="G557" s="4"/>
      <c r="J557" s="4"/>
      <c r="K557" s="4"/>
      <c r="L557" s="4"/>
      <c r="R557" s="4"/>
      <c r="S557" s="4"/>
      <c r="T557" s="4"/>
    </row>
    <row r="558" ht="12.0" customHeight="1">
      <c r="C558" s="4"/>
      <c r="D558" s="4"/>
      <c r="E558" s="4"/>
      <c r="F558" s="4"/>
      <c r="G558" s="4"/>
      <c r="J558" s="4"/>
      <c r="K558" s="4"/>
      <c r="L558" s="4"/>
      <c r="R558" s="4"/>
      <c r="S558" s="4"/>
      <c r="T558" s="4"/>
    </row>
    <row r="559" ht="12.0" customHeight="1">
      <c r="C559" s="4"/>
      <c r="D559" s="4"/>
      <c r="E559" s="4"/>
      <c r="F559" s="4"/>
      <c r="G559" s="4"/>
      <c r="J559" s="4"/>
      <c r="K559" s="4"/>
      <c r="L559" s="4"/>
      <c r="R559" s="4"/>
      <c r="S559" s="4"/>
      <c r="T559" s="4"/>
    </row>
    <row r="560" ht="12.0" customHeight="1">
      <c r="C560" s="4"/>
      <c r="D560" s="4"/>
      <c r="E560" s="4"/>
      <c r="F560" s="4"/>
      <c r="G560" s="4"/>
      <c r="J560" s="4"/>
      <c r="K560" s="4"/>
      <c r="L560" s="4"/>
      <c r="R560" s="4"/>
      <c r="S560" s="4"/>
      <c r="T560" s="4"/>
    </row>
    <row r="561" ht="12.0" customHeight="1">
      <c r="C561" s="4"/>
      <c r="D561" s="4"/>
      <c r="E561" s="4"/>
      <c r="F561" s="4"/>
      <c r="G561" s="4"/>
      <c r="J561" s="4"/>
      <c r="K561" s="4"/>
      <c r="L561" s="4"/>
      <c r="R561" s="4"/>
      <c r="S561" s="4"/>
      <c r="T561" s="4"/>
    </row>
    <row r="562" ht="12.0" customHeight="1">
      <c r="C562" s="4"/>
      <c r="D562" s="4"/>
      <c r="E562" s="4"/>
      <c r="F562" s="4"/>
      <c r="G562" s="4"/>
      <c r="J562" s="4"/>
      <c r="K562" s="4"/>
      <c r="L562" s="4"/>
      <c r="R562" s="4"/>
      <c r="S562" s="4"/>
      <c r="T562" s="4"/>
    </row>
    <row r="563" ht="12.0" customHeight="1">
      <c r="C563" s="4"/>
      <c r="D563" s="4"/>
      <c r="E563" s="4"/>
      <c r="F563" s="4"/>
      <c r="G563" s="4"/>
      <c r="J563" s="4"/>
      <c r="K563" s="4"/>
      <c r="L563" s="4"/>
      <c r="R563" s="4"/>
      <c r="S563" s="4"/>
      <c r="T563" s="4"/>
    </row>
    <row r="564" ht="12.0" customHeight="1">
      <c r="C564" s="4"/>
      <c r="D564" s="4"/>
      <c r="E564" s="4"/>
      <c r="F564" s="4"/>
      <c r="G564" s="4"/>
      <c r="J564" s="4"/>
      <c r="K564" s="4"/>
      <c r="L564" s="4"/>
      <c r="R564" s="4"/>
      <c r="S564" s="4"/>
      <c r="T564" s="4"/>
    </row>
    <row r="565" ht="12.0" customHeight="1">
      <c r="C565" s="4"/>
      <c r="D565" s="4"/>
      <c r="E565" s="4"/>
      <c r="F565" s="4"/>
      <c r="G565" s="4"/>
      <c r="J565" s="4"/>
      <c r="K565" s="4"/>
      <c r="L565" s="4"/>
      <c r="R565" s="4"/>
      <c r="S565" s="4"/>
      <c r="T565" s="4"/>
    </row>
    <row r="566" ht="12.0" customHeight="1">
      <c r="C566" s="4"/>
      <c r="D566" s="4"/>
      <c r="E566" s="4"/>
      <c r="F566" s="4"/>
      <c r="G566" s="4"/>
      <c r="J566" s="4"/>
      <c r="K566" s="4"/>
      <c r="L566" s="4"/>
      <c r="R566" s="4"/>
      <c r="S566" s="4"/>
      <c r="T566" s="4"/>
    </row>
    <row r="567" ht="12.0" customHeight="1">
      <c r="C567" s="4"/>
      <c r="D567" s="4"/>
      <c r="E567" s="4"/>
      <c r="F567" s="4"/>
      <c r="G567" s="4"/>
      <c r="J567" s="4"/>
      <c r="K567" s="4"/>
      <c r="L567" s="4"/>
      <c r="R567" s="4"/>
      <c r="S567" s="4"/>
      <c r="T567" s="4"/>
    </row>
    <row r="568" ht="12.0" customHeight="1">
      <c r="C568" s="4"/>
      <c r="D568" s="4"/>
      <c r="E568" s="4"/>
      <c r="F568" s="4"/>
      <c r="G568" s="4"/>
      <c r="J568" s="4"/>
      <c r="K568" s="4"/>
      <c r="L568" s="4"/>
      <c r="R568" s="4"/>
      <c r="S568" s="4"/>
      <c r="T568" s="4"/>
    </row>
    <row r="569" ht="12.0" customHeight="1">
      <c r="C569" s="4"/>
      <c r="D569" s="4"/>
      <c r="E569" s="4"/>
      <c r="F569" s="4"/>
      <c r="G569" s="4"/>
      <c r="J569" s="4"/>
      <c r="K569" s="4"/>
      <c r="L569" s="4"/>
      <c r="R569" s="4"/>
      <c r="S569" s="4"/>
      <c r="T569" s="4"/>
    </row>
    <row r="570" ht="12.0" customHeight="1">
      <c r="C570" s="4"/>
      <c r="D570" s="4"/>
      <c r="E570" s="4"/>
      <c r="F570" s="4"/>
      <c r="G570" s="4"/>
      <c r="J570" s="4"/>
      <c r="K570" s="4"/>
      <c r="L570" s="4"/>
      <c r="R570" s="4"/>
      <c r="S570" s="4"/>
      <c r="T570" s="4"/>
    </row>
    <row r="571" ht="12.0" customHeight="1">
      <c r="C571" s="4"/>
      <c r="D571" s="4"/>
      <c r="E571" s="4"/>
      <c r="F571" s="4"/>
      <c r="G571" s="4"/>
      <c r="J571" s="4"/>
      <c r="K571" s="4"/>
      <c r="L571" s="4"/>
      <c r="R571" s="4"/>
      <c r="S571" s="4"/>
      <c r="T571" s="4"/>
    </row>
    <row r="572" ht="12.0" customHeight="1">
      <c r="C572" s="4"/>
      <c r="D572" s="4"/>
      <c r="E572" s="4"/>
      <c r="F572" s="4"/>
      <c r="G572" s="4"/>
      <c r="J572" s="4"/>
      <c r="K572" s="4"/>
      <c r="L572" s="4"/>
      <c r="R572" s="4"/>
      <c r="S572" s="4"/>
      <c r="T572" s="4"/>
    </row>
    <row r="573" ht="12.0" customHeight="1">
      <c r="C573" s="4"/>
      <c r="D573" s="4"/>
      <c r="E573" s="4"/>
      <c r="F573" s="4"/>
      <c r="G573" s="4"/>
      <c r="J573" s="4"/>
      <c r="K573" s="4"/>
      <c r="L573" s="4"/>
      <c r="R573" s="4"/>
      <c r="S573" s="4"/>
      <c r="T573" s="4"/>
    </row>
    <row r="574" ht="12.0" customHeight="1">
      <c r="C574" s="4"/>
      <c r="D574" s="4"/>
      <c r="E574" s="4"/>
      <c r="F574" s="4"/>
      <c r="G574" s="4"/>
      <c r="J574" s="4"/>
      <c r="K574" s="4"/>
      <c r="L574" s="4"/>
      <c r="R574" s="4"/>
      <c r="S574" s="4"/>
      <c r="T574" s="4"/>
    </row>
    <row r="575" ht="12.0" customHeight="1">
      <c r="C575" s="4"/>
      <c r="D575" s="4"/>
      <c r="E575" s="4"/>
      <c r="F575" s="4"/>
      <c r="G575" s="4"/>
      <c r="J575" s="4"/>
      <c r="K575" s="4"/>
      <c r="L575" s="4"/>
      <c r="R575" s="4"/>
      <c r="S575" s="4"/>
      <c r="T575" s="4"/>
    </row>
    <row r="576" ht="12.0" customHeight="1">
      <c r="C576" s="4"/>
      <c r="D576" s="4"/>
      <c r="E576" s="4"/>
      <c r="F576" s="4"/>
      <c r="G576" s="4"/>
      <c r="J576" s="4"/>
      <c r="K576" s="4"/>
      <c r="L576" s="4"/>
      <c r="R576" s="4"/>
      <c r="S576" s="4"/>
      <c r="T576" s="4"/>
    </row>
    <row r="577" ht="12.0" customHeight="1">
      <c r="C577" s="4"/>
      <c r="D577" s="4"/>
      <c r="E577" s="4"/>
      <c r="F577" s="4"/>
      <c r="G577" s="4"/>
      <c r="J577" s="4"/>
      <c r="K577" s="4"/>
      <c r="L577" s="4"/>
      <c r="R577" s="4"/>
      <c r="S577" s="4"/>
      <c r="T577" s="4"/>
    </row>
    <row r="578" ht="12.0" customHeight="1">
      <c r="C578" s="4"/>
      <c r="D578" s="4"/>
      <c r="E578" s="4"/>
      <c r="F578" s="4"/>
      <c r="G578" s="4"/>
      <c r="J578" s="4"/>
      <c r="K578" s="4"/>
      <c r="L578" s="4"/>
      <c r="R578" s="4"/>
      <c r="S578" s="4"/>
      <c r="T578" s="4"/>
    </row>
    <row r="579" ht="12.0" customHeight="1">
      <c r="C579" s="4"/>
      <c r="D579" s="4"/>
      <c r="E579" s="4"/>
      <c r="F579" s="4"/>
      <c r="G579" s="4"/>
      <c r="J579" s="4"/>
      <c r="K579" s="4"/>
      <c r="L579" s="4"/>
      <c r="R579" s="4"/>
      <c r="S579" s="4"/>
      <c r="T579" s="4"/>
    </row>
    <row r="580" ht="12.0" customHeight="1">
      <c r="C580" s="4"/>
      <c r="D580" s="4"/>
      <c r="E580" s="4"/>
      <c r="F580" s="4"/>
      <c r="G580" s="4"/>
      <c r="J580" s="4"/>
      <c r="K580" s="4"/>
      <c r="L580" s="4"/>
      <c r="R580" s="4"/>
      <c r="S580" s="4"/>
      <c r="T580" s="4"/>
    </row>
    <row r="581" ht="12.0" customHeight="1">
      <c r="C581" s="4"/>
      <c r="D581" s="4"/>
      <c r="E581" s="4"/>
      <c r="F581" s="4"/>
      <c r="G581" s="4"/>
      <c r="J581" s="4"/>
      <c r="K581" s="4"/>
      <c r="L581" s="4"/>
      <c r="R581" s="4"/>
      <c r="S581" s="4"/>
      <c r="T581" s="4"/>
    </row>
    <row r="582" ht="12.0" customHeight="1">
      <c r="C582" s="4"/>
      <c r="D582" s="4"/>
      <c r="E582" s="4"/>
      <c r="F582" s="4"/>
      <c r="G582" s="4"/>
      <c r="J582" s="4"/>
      <c r="K582" s="4"/>
      <c r="L582" s="4"/>
      <c r="R582" s="4"/>
      <c r="S582" s="4"/>
      <c r="T582" s="4"/>
    </row>
    <row r="583" ht="12.0" customHeight="1">
      <c r="C583" s="4"/>
      <c r="D583" s="4"/>
      <c r="E583" s="4"/>
      <c r="F583" s="4"/>
      <c r="G583" s="4"/>
      <c r="J583" s="4"/>
      <c r="K583" s="4"/>
      <c r="L583" s="4"/>
      <c r="R583" s="4"/>
      <c r="S583" s="4"/>
      <c r="T583" s="4"/>
    </row>
    <row r="584" ht="12.0" customHeight="1">
      <c r="C584" s="4"/>
      <c r="D584" s="4"/>
      <c r="E584" s="4"/>
      <c r="F584" s="4"/>
      <c r="G584" s="4"/>
      <c r="J584" s="4"/>
      <c r="K584" s="4"/>
      <c r="L584" s="4"/>
      <c r="R584" s="4"/>
      <c r="S584" s="4"/>
      <c r="T584" s="4"/>
    </row>
    <row r="585" ht="12.0" customHeight="1">
      <c r="C585" s="4"/>
      <c r="D585" s="4"/>
      <c r="E585" s="4"/>
      <c r="F585" s="4"/>
      <c r="G585" s="4"/>
      <c r="J585" s="4"/>
      <c r="K585" s="4"/>
      <c r="L585" s="4"/>
      <c r="R585" s="4"/>
      <c r="S585" s="4"/>
      <c r="T585" s="4"/>
    </row>
    <row r="586" ht="12.0" customHeight="1">
      <c r="C586" s="4"/>
      <c r="D586" s="4"/>
      <c r="E586" s="4"/>
      <c r="F586" s="4"/>
      <c r="G586" s="4"/>
      <c r="J586" s="4"/>
      <c r="K586" s="4"/>
      <c r="L586" s="4"/>
      <c r="R586" s="4"/>
      <c r="S586" s="4"/>
      <c r="T586" s="4"/>
    </row>
    <row r="587" ht="12.0" customHeight="1">
      <c r="C587" s="4"/>
      <c r="D587" s="4"/>
      <c r="E587" s="4"/>
      <c r="F587" s="4"/>
      <c r="G587" s="4"/>
      <c r="J587" s="4"/>
      <c r="K587" s="4"/>
      <c r="L587" s="4"/>
      <c r="R587" s="4"/>
      <c r="S587" s="4"/>
      <c r="T587" s="4"/>
    </row>
    <row r="588" ht="12.0" customHeight="1">
      <c r="C588" s="4"/>
      <c r="D588" s="4"/>
      <c r="E588" s="4"/>
      <c r="F588" s="4"/>
      <c r="G588" s="4"/>
      <c r="J588" s="4"/>
      <c r="K588" s="4"/>
      <c r="L588" s="4"/>
      <c r="R588" s="4"/>
      <c r="S588" s="4"/>
      <c r="T588" s="4"/>
    </row>
    <row r="589" ht="12.0" customHeight="1">
      <c r="C589" s="4"/>
      <c r="D589" s="4"/>
      <c r="E589" s="4"/>
      <c r="F589" s="4"/>
      <c r="G589" s="4"/>
      <c r="J589" s="4"/>
      <c r="K589" s="4"/>
      <c r="L589" s="4"/>
      <c r="R589" s="4"/>
      <c r="S589" s="4"/>
      <c r="T589" s="4"/>
    </row>
    <row r="590" ht="12.0" customHeight="1">
      <c r="C590" s="4"/>
      <c r="D590" s="4"/>
      <c r="E590" s="4"/>
      <c r="F590" s="4"/>
      <c r="G590" s="4"/>
      <c r="J590" s="4"/>
      <c r="K590" s="4"/>
      <c r="L590" s="4"/>
      <c r="R590" s="4"/>
      <c r="S590" s="4"/>
      <c r="T590" s="4"/>
    </row>
    <row r="591" ht="12.0" customHeight="1">
      <c r="C591" s="4"/>
      <c r="D591" s="4"/>
      <c r="E591" s="4"/>
      <c r="F591" s="4"/>
      <c r="G591" s="4"/>
      <c r="J591" s="4"/>
      <c r="K591" s="4"/>
      <c r="L591" s="4"/>
      <c r="R591" s="4"/>
      <c r="S591" s="4"/>
      <c r="T591" s="4"/>
    </row>
    <row r="592" ht="12.0" customHeight="1">
      <c r="C592" s="4"/>
      <c r="D592" s="4"/>
      <c r="E592" s="4"/>
      <c r="F592" s="4"/>
      <c r="G592" s="4"/>
      <c r="J592" s="4"/>
      <c r="K592" s="4"/>
      <c r="L592" s="4"/>
      <c r="R592" s="4"/>
      <c r="S592" s="4"/>
      <c r="T592" s="4"/>
    </row>
    <row r="593" ht="12.0" customHeight="1">
      <c r="C593" s="4"/>
      <c r="D593" s="4"/>
      <c r="E593" s="4"/>
      <c r="F593" s="4"/>
      <c r="G593" s="4"/>
      <c r="J593" s="4"/>
      <c r="K593" s="4"/>
      <c r="L593" s="4"/>
      <c r="R593" s="4"/>
      <c r="S593" s="4"/>
      <c r="T593" s="4"/>
    </row>
    <row r="594" ht="12.0" customHeight="1">
      <c r="C594" s="4"/>
      <c r="D594" s="4"/>
      <c r="E594" s="4"/>
      <c r="F594" s="4"/>
      <c r="G594" s="4"/>
      <c r="J594" s="4"/>
      <c r="K594" s="4"/>
      <c r="L594" s="4"/>
      <c r="R594" s="4"/>
      <c r="S594" s="4"/>
      <c r="T594" s="4"/>
    </row>
    <row r="595" ht="12.0" customHeight="1">
      <c r="C595" s="4"/>
      <c r="D595" s="4"/>
      <c r="E595" s="4"/>
      <c r="F595" s="4"/>
      <c r="G595" s="4"/>
      <c r="J595" s="4"/>
      <c r="K595" s="4"/>
      <c r="L595" s="4"/>
      <c r="R595" s="4"/>
      <c r="S595" s="4"/>
      <c r="T595" s="4"/>
    </row>
    <row r="596" ht="12.0" customHeight="1">
      <c r="C596" s="4"/>
      <c r="D596" s="4"/>
      <c r="E596" s="4"/>
      <c r="F596" s="4"/>
      <c r="G596" s="4"/>
      <c r="J596" s="4"/>
      <c r="K596" s="4"/>
      <c r="L596" s="4"/>
      <c r="R596" s="4"/>
      <c r="S596" s="4"/>
      <c r="T596" s="4"/>
    </row>
    <row r="597" ht="12.0" customHeight="1">
      <c r="C597" s="4"/>
      <c r="D597" s="4"/>
      <c r="E597" s="4"/>
      <c r="F597" s="4"/>
      <c r="G597" s="4"/>
      <c r="J597" s="4"/>
      <c r="K597" s="4"/>
      <c r="L597" s="4"/>
      <c r="R597" s="4"/>
      <c r="S597" s="4"/>
      <c r="T597" s="4"/>
    </row>
    <row r="598" ht="12.0" customHeight="1">
      <c r="C598" s="4"/>
      <c r="D598" s="4"/>
      <c r="E598" s="4"/>
      <c r="F598" s="4"/>
      <c r="G598" s="4"/>
      <c r="J598" s="4"/>
      <c r="K598" s="4"/>
      <c r="L598" s="4"/>
      <c r="R598" s="4"/>
      <c r="S598" s="4"/>
      <c r="T598" s="4"/>
    </row>
    <row r="599" ht="12.0" customHeight="1">
      <c r="C599" s="4"/>
      <c r="D599" s="4"/>
      <c r="E599" s="4"/>
      <c r="F599" s="4"/>
      <c r="G599" s="4"/>
      <c r="J599" s="4"/>
      <c r="K599" s="4"/>
      <c r="L599" s="4"/>
      <c r="R599" s="4"/>
      <c r="S599" s="4"/>
      <c r="T599" s="4"/>
    </row>
    <row r="600" ht="12.0" customHeight="1">
      <c r="C600" s="4"/>
      <c r="D600" s="4"/>
      <c r="E600" s="4"/>
      <c r="F600" s="4"/>
      <c r="G600" s="4"/>
      <c r="J600" s="4"/>
      <c r="K600" s="4"/>
      <c r="L600" s="4"/>
      <c r="R600" s="4"/>
      <c r="S600" s="4"/>
      <c r="T600" s="4"/>
    </row>
    <row r="601" ht="12.0" customHeight="1">
      <c r="C601" s="4"/>
      <c r="D601" s="4"/>
      <c r="E601" s="4"/>
      <c r="F601" s="4"/>
      <c r="G601" s="4"/>
      <c r="J601" s="4"/>
      <c r="K601" s="4"/>
      <c r="L601" s="4"/>
      <c r="R601" s="4"/>
      <c r="S601" s="4"/>
      <c r="T601" s="4"/>
    </row>
    <row r="602" ht="12.0" customHeight="1">
      <c r="C602" s="4"/>
      <c r="D602" s="4"/>
      <c r="E602" s="4"/>
      <c r="F602" s="4"/>
      <c r="G602" s="4"/>
      <c r="J602" s="4"/>
      <c r="K602" s="4"/>
      <c r="L602" s="4"/>
      <c r="R602" s="4"/>
      <c r="S602" s="4"/>
      <c r="T602" s="4"/>
    </row>
    <row r="603" ht="12.0" customHeight="1">
      <c r="C603" s="4"/>
      <c r="D603" s="4"/>
      <c r="E603" s="4"/>
      <c r="F603" s="4"/>
      <c r="G603" s="4"/>
      <c r="J603" s="4"/>
      <c r="K603" s="4"/>
      <c r="L603" s="4"/>
      <c r="R603" s="4"/>
      <c r="S603" s="4"/>
      <c r="T603" s="4"/>
    </row>
    <row r="604" ht="12.0" customHeight="1">
      <c r="C604" s="4"/>
      <c r="D604" s="4"/>
      <c r="E604" s="4"/>
      <c r="F604" s="4"/>
      <c r="G604" s="4"/>
      <c r="J604" s="4"/>
      <c r="K604" s="4"/>
      <c r="L604" s="4"/>
      <c r="R604" s="4"/>
      <c r="S604" s="4"/>
      <c r="T604" s="4"/>
    </row>
    <row r="605" ht="12.0" customHeight="1">
      <c r="C605" s="4"/>
      <c r="D605" s="4"/>
      <c r="E605" s="4"/>
      <c r="F605" s="4"/>
      <c r="G605" s="4"/>
      <c r="J605" s="4"/>
      <c r="K605" s="4"/>
      <c r="L605" s="4"/>
      <c r="R605" s="4"/>
      <c r="S605" s="4"/>
      <c r="T605" s="4"/>
    </row>
    <row r="606" ht="12.0" customHeight="1">
      <c r="C606" s="4"/>
      <c r="D606" s="4"/>
      <c r="E606" s="4"/>
      <c r="F606" s="4"/>
      <c r="G606" s="4"/>
      <c r="J606" s="4"/>
      <c r="K606" s="4"/>
      <c r="L606" s="4"/>
      <c r="R606" s="4"/>
      <c r="S606" s="4"/>
      <c r="T606" s="4"/>
    </row>
    <row r="607" ht="12.0" customHeight="1">
      <c r="C607" s="4"/>
      <c r="D607" s="4"/>
      <c r="E607" s="4"/>
      <c r="F607" s="4"/>
      <c r="G607" s="4"/>
      <c r="J607" s="4"/>
      <c r="K607" s="4"/>
      <c r="L607" s="4"/>
      <c r="R607" s="4"/>
      <c r="S607" s="4"/>
      <c r="T607" s="4"/>
    </row>
    <row r="608" ht="12.0" customHeight="1">
      <c r="C608" s="4"/>
      <c r="D608" s="4"/>
      <c r="E608" s="4"/>
      <c r="F608" s="4"/>
      <c r="G608" s="4"/>
      <c r="J608" s="4"/>
      <c r="K608" s="4"/>
      <c r="L608" s="4"/>
      <c r="R608" s="4"/>
      <c r="S608" s="4"/>
      <c r="T608" s="4"/>
    </row>
    <row r="609" ht="12.0" customHeight="1">
      <c r="C609" s="4"/>
      <c r="D609" s="4"/>
      <c r="E609" s="4"/>
      <c r="F609" s="4"/>
      <c r="G609" s="4"/>
      <c r="J609" s="4"/>
      <c r="K609" s="4"/>
      <c r="L609" s="4"/>
      <c r="R609" s="4"/>
      <c r="S609" s="4"/>
      <c r="T609" s="4"/>
    </row>
    <row r="610" ht="12.0" customHeight="1">
      <c r="C610" s="4"/>
      <c r="D610" s="4"/>
      <c r="E610" s="4"/>
      <c r="F610" s="4"/>
      <c r="G610" s="4"/>
      <c r="J610" s="4"/>
      <c r="K610" s="4"/>
      <c r="L610" s="4"/>
      <c r="R610" s="4"/>
      <c r="S610" s="4"/>
      <c r="T610" s="4"/>
    </row>
    <row r="611" ht="12.0" customHeight="1">
      <c r="C611" s="4"/>
      <c r="D611" s="4"/>
      <c r="E611" s="4"/>
      <c r="F611" s="4"/>
      <c r="G611" s="4"/>
      <c r="J611" s="4"/>
      <c r="K611" s="4"/>
      <c r="L611" s="4"/>
      <c r="R611" s="4"/>
      <c r="S611" s="4"/>
      <c r="T611" s="4"/>
    </row>
    <row r="612" ht="12.0" customHeight="1">
      <c r="C612" s="4"/>
      <c r="D612" s="4"/>
      <c r="E612" s="4"/>
      <c r="F612" s="4"/>
      <c r="G612" s="4"/>
      <c r="J612" s="4"/>
      <c r="K612" s="4"/>
      <c r="L612" s="4"/>
      <c r="R612" s="4"/>
      <c r="S612" s="4"/>
      <c r="T612" s="4"/>
    </row>
    <row r="613" ht="12.0" customHeight="1">
      <c r="C613" s="4"/>
      <c r="D613" s="4"/>
      <c r="E613" s="4"/>
      <c r="F613" s="4"/>
      <c r="G613" s="4"/>
      <c r="J613" s="4"/>
      <c r="K613" s="4"/>
      <c r="L613" s="4"/>
      <c r="R613" s="4"/>
      <c r="S613" s="4"/>
      <c r="T613" s="4"/>
    </row>
    <row r="614" ht="12.0" customHeight="1">
      <c r="C614" s="4"/>
      <c r="D614" s="4"/>
      <c r="E614" s="4"/>
      <c r="F614" s="4"/>
      <c r="G614" s="4"/>
      <c r="J614" s="4"/>
      <c r="K614" s="4"/>
      <c r="L614" s="4"/>
      <c r="R614" s="4"/>
      <c r="S614" s="4"/>
      <c r="T614" s="4"/>
    </row>
    <row r="615" ht="12.0" customHeight="1">
      <c r="C615" s="4"/>
      <c r="D615" s="4"/>
      <c r="E615" s="4"/>
      <c r="F615" s="4"/>
      <c r="G615" s="4"/>
      <c r="J615" s="4"/>
      <c r="K615" s="4"/>
      <c r="L615" s="4"/>
      <c r="R615" s="4"/>
      <c r="S615" s="4"/>
      <c r="T615" s="4"/>
    </row>
    <row r="616" ht="12.0" customHeight="1">
      <c r="C616" s="4"/>
      <c r="D616" s="4"/>
      <c r="E616" s="4"/>
      <c r="F616" s="4"/>
      <c r="G616" s="4"/>
      <c r="J616" s="4"/>
      <c r="K616" s="4"/>
      <c r="L616" s="4"/>
      <c r="R616" s="4"/>
      <c r="S616" s="4"/>
      <c r="T616" s="4"/>
    </row>
    <row r="617" ht="12.0" customHeight="1">
      <c r="C617" s="4"/>
      <c r="D617" s="4"/>
      <c r="E617" s="4"/>
      <c r="F617" s="4"/>
      <c r="G617" s="4"/>
      <c r="J617" s="4"/>
      <c r="K617" s="4"/>
      <c r="L617" s="4"/>
      <c r="R617" s="4"/>
      <c r="S617" s="4"/>
      <c r="T617" s="4"/>
    </row>
    <row r="618" ht="12.0" customHeight="1">
      <c r="C618" s="4"/>
      <c r="D618" s="4"/>
      <c r="E618" s="4"/>
      <c r="F618" s="4"/>
      <c r="G618" s="4"/>
      <c r="J618" s="4"/>
      <c r="K618" s="4"/>
      <c r="L618" s="4"/>
      <c r="R618" s="4"/>
      <c r="S618" s="4"/>
      <c r="T618" s="4"/>
    </row>
    <row r="619" ht="12.0" customHeight="1">
      <c r="C619" s="4"/>
      <c r="D619" s="4"/>
      <c r="E619" s="4"/>
      <c r="F619" s="4"/>
      <c r="G619" s="4"/>
      <c r="J619" s="4"/>
      <c r="K619" s="4"/>
      <c r="L619" s="4"/>
      <c r="R619" s="4"/>
      <c r="S619" s="4"/>
      <c r="T619" s="4"/>
    </row>
    <row r="620" ht="12.0" customHeight="1">
      <c r="C620" s="4"/>
      <c r="D620" s="4"/>
      <c r="E620" s="4"/>
      <c r="F620" s="4"/>
      <c r="G620" s="4"/>
      <c r="J620" s="4"/>
      <c r="K620" s="4"/>
      <c r="L620" s="4"/>
      <c r="R620" s="4"/>
      <c r="S620" s="4"/>
      <c r="T620" s="4"/>
    </row>
    <row r="621" ht="12.0" customHeight="1">
      <c r="C621" s="4"/>
      <c r="D621" s="4"/>
      <c r="E621" s="4"/>
      <c r="F621" s="4"/>
      <c r="G621" s="4"/>
      <c r="J621" s="4"/>
      <c r="K621" s="4"/>
      <c r="L621" s="4"/>
      <c r="R621" s="4"/>
      <c r="S621" s="4"/>
      <c r="T621" s="4"/>
    </row>
    <row r="622" ht="12.0" customHeight="1">
      <c r="C622" s="4"/>
      <c r="D622" s="4"/>
      <c r="E622" s="4"/>
      <c r="F622" s="4"/>
      <c r="G622" s="4"/>
      <c r="J622" s="4"/>
      <c r="K622" s="4"/>
      <c r="L622" s="4"/>
      <c r="R622" s="4"/>
      <c r="S622" s="4"/>
      <c r="T622" s="4"/>
    </row>
    <row r="623" ht="12.0" customHeight="1">
      <c r="C623" s="4"/>
      <c r="D623" s="4"/>
      <c r="E623" s="4"/>
      <c r="F623" s="4"/>
      <c r="G623" s="4"/>
      <c r="J623" s="4"/>
      <c r="K623" s="4"/>
      <c r="L623" s="4"/>
      <c r="R623" s="4"/>
      <c r="S623" s="4"/>
      <c r="T623" s="4"/>
    </row>
    <row r="624" ht="12.0" customHeight="1">
      <c r="C624" s="4"/>
      <c r="D624" s="4"/>
      <c r="E624" s="4"/>
      <c r="F624" s="4"/>
      <c r="G624" s="4"/>
      <c r="J624" s="4"/>
      <c r="K624" s="4"/>
      <c r="L624" s="4"/>
      <c r="R624" s="4"/>
      <c r="S624" s="4"/>
      <c r="T624" s="4"/>
    </row>
    <row r="625" ht="12.0" customHeight="1">
      <c r="C625" s="4"/>
      <c r="D625" s="4"/>
      <c r="E625" s="4"/>
      <c r="F625" s="4"/>
      <c r="G625" s="4"/>
      <c r="J625" s="4"/>
      <c r="K625" s="4"/>
      <c r="L625" s="4"/>
      <c r="R625" s="4"/>
      <c r="S625" s="4"/>
      <c r="T625" s="4"/>
    </row>
    <row r="626" ht="12.0" customHeight="1">
      <c r="C626" s="4"/>
      <c r="D626" s="4"/>
      <c r="E626" s="4"/>
      <c r="F626" s="4"/>
      <c r="G626" s="4"/>
      <c r="J626" s="4"/>
      <c r="K626" s="4"/>
      <c r="L626" s="4"/>
      <c r="R626" s="4"/>
      <c r="S626" s="4"/>
      <c r="T626" s="4"/>
    </row>
    <row r="627" ht="12.0" customHeight="1">
      <c r="C627" s="4"/>
      <c r="D627" s="4"/>
      <c r="E627" s="4"/>
      <c r="F627" s="4"/>
      <c r="G627" s="4"/>
      <c r="J627" s="4"/>
      <c r="K627" s="4"/>
      <c r="L627" s="4"/>
      <c r="R627" s="4"/>
      <c r="S627" s="4"/>
      <c r="T627" s="4"/>
    </row>
    <row r="628" ht="12.0" customHeight="1">
      <c r="C628" s="4"/>
      <c r="D628" s="4"/>
      <c r="E628" s="4"/>
      <c r="F628" s="4"/>
      <c r="G628" s="4"/>
      <c r="J628" s="4"/>
      <c r="K628" s="4"/>
      <c r="L628" s="4"/>
      <c r="R628" s="4"/>
      <c r="S628" s="4"/>
      <c r="T628" s="4"/>
    </row>
    <row r="629" ht="12.0" customHeight="1">
      <c r="C629" s="4"/>
      <c r="D629" s="4"/>
      <c r="E629" s="4"/>
      <c r="F629" s="4"/>
      <c r="G629" s="4"/>
      <c r="J629" s="4"/>
      <c r="K629" s="4"/>
      <c r="L629" s="4"/>
      <c r="R629" s="4"/>
      <c r="S629" s="4"/>
      <c r="T629" s="4"/>
    </row>
    <row r="630" ht="12.0" customHeight="1">
      <c r="C630" s="4"/>
      <c r="D630" s="4"/>
      <c r="E630" s="4"/>
      <c r="F630" s="4"/>
      <c r="G630" s="4"/>
      <c r="J630" s="4"/>
      <c r="K630" s="4"/>
      <c r="L630" s="4"/>
      <c r="R630" s="4"/>
      <c r="S630" s="4"/>
      <c r="T630" s="4"/>
    </row>
    <row r="631" ht="12.0" customHeight="1">
      <c r="C631" s="4"/>
      <c r="D631" s="4"/>
      <c r="E631" s="4"/>
      <c r="F631" s="4"/>
      <c r="G631" s="4"/>
      <c r="J631" s="4"/>
      <c r="K631" s="4"/>
      <c r="L631" s="4"/>
      <c r="R631" s="4"/>
      <c r="S631" s="4"/>
      <c r="T631" s="4"/>
    </row>
    <row r="632" ht="12.0" customHeight="1">
      <c r="C632" s="4"/>
      <c r="D632" s="4"/>
      <c r="E632" s="4"/>
      <c r="F632" s="4"/>
      <c r="G632" s="4"/>
      <c r="J632" s="4"/>
      <c r="K632" s="4"/>
      <c r="L632" s="4"/>
      <c r="R632" s="4"/>
      <c r="S632" s="4"/>
      <c r="T632" s="4"/>
    </row>
    <row r="633" ht="12.0" customHeight="1">
      <c r="C633" s="4"/>
      <c r="D633" s="4"/>
      <c r="E633" s="4"/>
      <c r="F633" s="4"/>
      <c r="G633" s="4"/>
      <c r="J633" s="4"/>
      <c r="K633" s="4"/>
      <c r="L633" s="4"/>
      <c r="R633" s="4"/>
      <c r="S633" s="4"/>
      <c r="T633" s="4"/>
    </row>
    <row r="634" ht="12.0" customHeight="1">
      <c r="C634" s="4"/>
      <c r="D634" s="4"/>
      <c r="E634" s="4"/>
      <c r="F634" s="4"/>
      <c r="G634" s="4"/>
      <c r="J634" s="4"/>
      <c r="K634" s="4"/>
      <c r="L634" s="4"/>
      <c r="R634" s="4"/>
      <c r="S634" s="4"/>
      <c r="T634" s="4"/>
    </row>
    <row r="635" ht="12.0" customHeight="1">
      <c r="C635" s="4"/>
      <c r="D635" s="4"/>
      <c r="E635" s="4"/>
      <c r="F635" s="4"/>
      <c r="G635" s="4"/>
      <c r="J635" s="4"/>
      <c r="K635" s="4"/>
      <c r="L635" s="4"/>
      <c r="R635" s="4"/>
      <c r="S635" s="4"/>
      <c r="T635" s="4"/>
    </row>
    <row r="636" ht="12.0" customHeight="1">
      <c r="C636" s="4"/>
      <c r="D636" s="4"/>
      <c r="E636" s="4"/>
      <c r="F636" s="4"/>
      <c r="G636" s="4"/>
      <c r="J636" s="4"/>
      <c r="K636" s="4"/>
      <c r="L636" s="4"/>
      <c r="R636" s="4"/>
      <c r="S636" s="4"/>
      <c r="T636" s="4"/>
    </row>
    <row r="637" ht="12.0" customHeight="1">
      <c r="C637" s="4"/>
      <c r="D637" s="4"/>
      <c r="E637" s="4"/>
      <c r="F637" s="4"/>
      <c r="G637" s="4"/>
      <c r="J637" s="4"/>
      <c r="K637" s="4"/>
      <c r="L637" s="4"/>
      <c r="R637" s="4"/>
      <c r="S637" s="4"/>
      <c r="T637" s="4"/>
    </row>
    <row r="638" ht="12.0" customHeight="1">
      <c r="C638" s="4"/>
      <c r="D638" s="4"/>
      <c r="E638" s="4"/>
      <c r="F638" s="4"/>
      <c r="G638" s="4"/>
      <c r="J638" s="4"/>
      <c r="K638" s="4"/>
      <c r="L638" s="4"/>
      <c r="R638" s="4"/>
      <c r="S638" s="4"/>
      <c r="T638" s="4"/>
    </row>
    <row r="639" ht="12.0" customHeight="1">
      <c r="C639" s="4"/>
      <c r="D639" s="4"/>
      <c r="E639" s="4"/>
      <c r="F639" s="4"/>
      <c r="G639" s="4"/>
      <c r="J639" s="4"/>
      <c r="K639" s="4"/>
      <c r="L639" s="4"/>
      <c r="R639" s="4"/>
      <c r="S639" s="4"/>
      <c r="T639" s="4"/>
    </row>
    <row r="640" ht="12.0" customHeight="1">
      <c r="C640" s="4"/>
      <c r="D640" s="4"/>
      <c r="E640" s="4"/>
      <c r="F640" s="4"/>
      <c r="G640" s="4"/>
      <c r="J640" s="4"/>
      <c r="K640" s="4"/>
      <c r="L640" s="4"/>
      <c r="R640" s="4"/>
      <c r="S640" s="4"/>
      <c r="T640" s="4"/>
    </row>
    <row r="641" ht="12.0" customHeight="1">
      <c r="C641" s="4"/>
      <c r="D641" s="4"/>
      <c r="E641" s="4"/>
      <c r="F641" s="4"/>
      <c r="G641" s="4"/>
      <c r="J641" s="4"/>
      <c r="K641" s="4"/>
      <c r="L641" s="4"/>
      <c r="R641" s="4"/>
      <c r="S641" s="4"/>
      <c r="T641" s="4"/>
    </row>
    <row r="642" ht="12.0" customHeight="1">
      <c r="C642" s="4"/>
      <c r="D642" s="4"/>
      <c r="E642" s="4"/>
      <c r="F642" s="4"/>
      <c r="G642" s="4"/>
      <c r="J642" s="4"/>
      <c r="K642" s="4"/>
      <c r="L642" s="4"/>
      <c r="R642" s="4"/>
      <c r="S642" s="4"/>
      <c r="T642" s="4"/>
    </row>
    <row r="643" ht="12.0" customHeight="1">
      <c r="C643" s="4"/>
      <c r="D643" s="4"/>
      <c r="E643" s="4"/>
      <c r="F643" s="4"/>
      <c r="G643" s="4"/>
      <c r="J643" s="4"/>
      <c r="K643" s="4"/>
      <c r="L643" s="4"/>
      <c r="R643" s="4"/>
      <c r="S643" s="4"/>
      <c r="T643" s="4"/>
    </row>
    <row r="644" ht="12.0" customHeight="1">
      <c r="C644" s="4"/>
      <c r="D644" s="4"/>
      <c r="E644" s="4"/>
      <c r="F644" s="4"/>
      <c r="G644" s="4"/>
      <c r="J644" s="4"/>
      <c r="K644" s="4"/>
      <c r="L644" s="4"/>
      <c r="R644" s="4"/>
      <c r="S644" s="4"/>
      <c r="T644" s="4"/>
    </row>
    <row r="645" ht="12.0" customHeight="1">
      <c r="C645" s="4"/>
      <c r="D645" s="4"/>
      <c r="E645" s="4"/>
      <c r="F645" s="4"/>
      <c r="G645" s="4"/>
      <c r="J645" s="4"/>
      <c r="K645" s="4"/>
      <c r="L645" s="4"/>
      <c r="R645" s="4"/>
      <c r="S645" s="4"/>
      <c r="T645" s="4"/>
    </row>
    <row r="646" ht="12.0" customHeight="1">
      <c r="C646" s="4"/>
      <c r="D646" s="4"/>
      <c r="E646" s="4"/>
      <c r="F646" s="4"/>
      <c r="G646" s="4"/>
      <c r="J646" s="4"/>
      <c r="K646" s="4"/>
      <c r="L646" s="4"/>
      <c r="R646" s="4"/>
      <c r="S646" s="4"/>
      <c r="T646" s="4"/>
    </row>
    <row r="647" ht="12.0" customHeight="1">
      <c r="C647" s="4"/>
      <c r="D647" s="4"/>
      <c r="E647" s="4"/>
      <c r="F647" s="4"/>
      <c r="G647" s="4"/>
      <c r="J647" s="4"/>
      <c r="K647" s="4"/>
      <c r="L647" s="4"/>
      <c r="R647" s="4"/>
      <c r="S647" s="4"/>
      <c r="T647" s="4"/>
    </row>
    <row r="648" ht="12.0" customHeight="1">
      <c r="C648" s="4"/>
      <c r="D648" s="4"/>
      <c r="E648" s="4"/>
      <c r="F648" s="4"/>
      <c r="G648" s="4"/>
      <c r="J648" s="4"/>
      <c r="K648" s="4"/>
      <c r="L648" s="4"/>
      <c r="R648" s="4"/>
      <c r="S648" s="4"/>
      <c r="T648" s="4"/>
    </row>
    <row r="649" ht="12.0" customHeight="1">
      <c r="C649" s="4"/>
      <c r="D649" s="4"/>
      <c r="E649" s="4"/>
      <c r="F649" s="4"/>
      <c r="G649" s="4"/>
      <c r="J649" s="4"/>
      <c r="K649" s="4"/>
      <c r="L649" s="4"/>
      <c r="R649" s="4"/>
      <c r="S649" s="4"/>
      <c r="T649" s="4"/>
    </row>
    <row r="650" ht="12.0" customHeight="1">
      <c r="C650" s="4"/>
      <c r="D650" s="4"/>
      <c r="E650" s="4"/>
      <c r="F650" s="4"/>
      <c r="G650" s="4"/>
      <c r="J650" s="4"/>
      <c r="K650" s="4"/>
      <c r="L650" s="4"/>
      <c r="R650" s="4"/>
      <c r="S650" s="4"/>
      <c r="T650" s="4"/>
    </row>
    <row r="651" ht="12.0" customHeight="1">
      <c r="C651" s="4"/>
      <c r="D651" s="4"/>
      <c r="E651" s="4"/>
      <c r="F651" s="4"/>
      <c r="G651" s="4"/>
      <c r="J651" s="4"/>
      <c r="K651" s="4"/>
      <c r="L651" s="4"/>
      <c r="R651" s="4"/>
      <c r="S651" s="4"/>
      <c r="T651" s="4"/>
    </row>
    <row r="652" ht="12.0" customHeight="1">
      <c r="C652" s="4"/>
      <c r="D652" s="4"/>
      <c r="E652" s="4"/>
      <c r="F652" s="4"/>
      <c r="G652" s="4"/>
      <c r="J652" s="4"/>
      <c r="K652" s="4"/>
      <c r="L652" s="4"/>
      <c r="R652" s="4"/>
      <c r="S652" s="4"/>
      <c r="T652" s="4"/>
    </row>
    <row r="653" ht="12.0" customHeight="1">
      <c r="C653" s="4"/>
      <c r="D653" s="4"/>
      <c r="E653" s="4"/>
      <c r="F653" s="4"/>
      <c r="G653" s="4"/>
      <c r="J653" s="4"/>
      <c r="K653" s="4"/>
      <c r="L653" s="4"/>
      <c r="R653" s="4"/>
      <c r="S653" s="4"/>
      <c r="T653" s="4"/>
    </row>
    <row r="654" ht="12.0" customHeight="1">
      <c r="C654" s="4"/>
      <c r="D654" s="4"/>
      <c r="E654" s="4"/>
      <c r="F654" s="4"/>
      <c r="G654" s="4"/>
      <c r="J654" s="4"/>
      <c r="K654" s="4"/>
      <c r="L654" s="4"/>
      <c r="R654" s="4"/>
      <c r="S654" s="4"/>
      <c r="T654" s="4"/>
    </row>
    <row r="655" ht="12.0" customHeight="1">
      <c r="C655" s="4"/>
      <c r="D655" s="4"/>
      <c r="E655" s="4"/>
      <c r="F655" s="4"/>
      <c r="G655" s="4"/>
      <c r="J655" s="4"/>
      <c r="K655" s="4"/>
      <c r="L655" s="4"/>
      <c r="R655" s="4"/>
      <c r="S655" s="4"/>
      <c r="T655" s="4"/>
    </row>
    <row r="656" ht="12.0" customHeight="1">
      <c r="C656" s="4"/>
      <c r="D656" s="4"/>
      <c r="E656" s="4"/>
      <c r="F656" s="4"/>
      <c r="G656" s="4"/>
      <c r="J656" s="4"/>
      <c r="K656" s="4"/>
      <c r="L656" s="4"/>
      <c r="R656" s="4"/>
      <c r="S656" s="4"/>
      <c r="T656" s="4"/>
    </row>
    <row r="657" ht="12.0" customHeight="1">
      <c r="C657" s="4"/>
      <c r="D657" s="4"/>
      <c r="E657" s="4"/>
      <c r="F657" s="4"/>
      <c r="G657" s="4"/>
      <c r="J657" s="4"/>
      <c r="K657" s="4"/>
      <c r="L657" s="4"/>
      <c r="R657" s="4"/>
      <c r="S657" s="4"/>
      <c r="T657" s="4"/>
    </row>
    <row r="658" ht="12.0" customHeight="1">
      <c r="C658" s="4"/>
      <c r="D658" s="4"/>
      <c r="E658" s="4"/>
      <c r="F658" s="4"/>
      <c r="G658" s="4"/>
      <c r="J658" s="4"/>
      <c r="K658" s="4"/>
      <c r="L658" s="4"/>
      <c r="R658" s="4"/>
      <c r="S658" s="4"/>
      <c r="T658" s="4"/>
    </row>
    <row r="659" ht="12.0" customHeight="1">
      <c r="C659" s="4"/>
      <c r="D659" s="4"/>
      <c r="E659" s="4"/>
      <c r="F659" s="4"/>
      <c r="G659" s="4"/>
      <c r="J659" s="4"/>
      <c r="K659" s="4"/>
      <c r="L659" s="4"/>
      <c r="R659" s="4"/>
      <c r="S659" s="4"/>
      <c r="T659" s="4"/>
    </row>
    <row r="660" ht="12.0" customHeight="1">
      <c r="C660" s="4"/>
      <c r="D660" s="4"/>
      <c r="E660" s="4"/>
      <c r="F660" s="4"/>
      <c r="G660" s="4"/>
      <c r="J660" s="4"/>
      <c r="K660" s="4"/>
      <c r="L660" s="4"/>
      <c r="R660" s="4"/>
      <c r="S660" s="4"/>
      <c r="T660" s="4"/>
    </row>
    <row r="661" ht="12.0" customHeight="1">
      <c r="C661" s="4"/>
      <c r="D661" s="4"/>
      <c r="E661" s="4"/>
      <c r="F661" s="4"/>
      <c r="G661" s="4"/>
      <c r="J661" s="4"/>
      <c r="K661" s="4"/>
      <c r="L661" s="4"/>
      <c r="R661" s="4"/>
      <c r="S661" s="4"/>
      <c r="T661" s="4"/>
    </row>
    <row r="662" ht="12.0" customHeight="1">
      <c r="C662" s="4"/>
      <c r="D662" s="4"/>
      <c r="E662" s="4"/>
      <c r="F662" s="4"/>
      <c r="G662" s="4"/>
      <c r="J662" s="4"/>
      <c r="K662" s="4"/>
      <c r="L662" s="4"/>
      <c r="R662" s="4"/>
      <c r="S662" s="4"/>
      <c r="T662" s="4"/>
    </row>
    <row r="663" ht="12.0" customHeight="1">
      <c r="C663" s="4"/>
      <c r="D663" s="4"/>
      <c r="E663" s="4"/>
      <c r="F663" s="4"/>
      <c r="G663" s="4"/>
      <c r="J663" s="4"/>
      <c r="K663" s="4"/>
      <c r="L663" s="4"/>
      <c r="R663" s="4"/>
      <c r="S663" s="4"/>
      <c r="T663" s="4"/>
    </row>
    <row r="664" ht="12.0" customHeight="1">
      <c r="C664" s="4"/>
      <c r="D664" s="4"/>
      <c r="E664" s="4"/>
      <c r="F664" s="4"/>
      <c r="G664" s="4"/>
      <c r="J664" s="4"/>
      <c r="K664" s="4"/>
      <c r="L664" s="4"/>
      <c r="R664" s="4"/>
      <c r="S664" s="4"/>
      <c r="T664" s="4"/>
    </row>
    <row r="665" ht="12.0" customHeight="1">
      <c r="C665" s="4"/>
      <c r="D665" s="4"/>
      <c r="E665" s="4"/>
      <c r="F665" s="4"/>
      <c r="G665" s="4"/>
      <c r="J665" s="4"/>
      <c r="K665" s="4"/>
      <c r="L665" s="4"/>
      <c r="R665" s="4"/>
      <c r="S665" s="4"/>
      <c r="T665" s="4"/>
    </row>
    <row r="666" ht="12.0" customHeight="1">
      <c r="C666" s="4"/>
      <c r="D666" s="4"/>
      <c r="E666" s="4"/>
      <c r="F666" s="4"/>
      <c r="G666" s="4"/>
      <c r="J666" s="4"/>
      <c r="K666" s="4"/>
      <c r="L666" s="4"/>
      <c r="R666" s="4"/>
      <c r="S666" s="4"/>
      <c r="T666" s="4"/>
    </row>
    <row r="667" ht="12.0" customHeight="1">
      <c r="C667" s="4"/>
      <c r="D667" s="4"/>
      <c r="E667" s="4"/>
      <c r="F667" s="4"/>
      <c r="G667" s="4"/>
      <c r="J667" s="4"/>
      <c r="K667" s="4"/>
      <c r="L667" s="4"/>
      <c r="R667" s="4"/>
      <c r="S667" s="4"/>
      <c r="T667" s="4"/>
    </row>
    <row r="668" ht="12.0" customHeight="1">
      <c r="C668" s="4"/>
      <c r="D668" s="4"/>
      <c r="E668" s="4"/>
      <c r="F668" s="4"/>
      <c r="G668" s="4"/>
      <c r="J668" s="4"/>
      <c r="K668" s="4"/>
      <c r="L668" s="4"/>
      <c r="R668" s="4"/>
      <c r="S668" s="4"/>
      <c r="T668" s="4"/>
    </row>
    <row r="669" ht="12.0" customHeight="1">
      <c r="C669" s="4"/>
      <c r="D669" s="4"/>
      <c r="E669" s="4"/>
      <c r="F669" s="4"/>
      <c r="G669" s="4"/>
      <c r="J669" s="4"/>
      <c r="K669" s="4"/>
      <c r="L669" s="4"/>
      <c r="R669" s="4"/>
      <c r="S669" s="4"/>
      <c r="T669" s="4"/>
    </row>
    <row r="670" ht="12.0" customHeight="1">
      <c r="C670" s="4"/>
      <c r="D670" s="4"/>
      <c r="E670" s="4"/>
      <c r="F670" s="4"/>
      <c r="G670" s="4"/>
      <c r="J670" s="4"/>
      <c r="K670" s="4"/>
      <c r="L670" s="4"/>
      <c r="R670" s="4"/>
      <c r="S670" s="4"/>
      <c r="T670" s="4"/>
    </row>
    <row r="671" ht="12.0" customHeight="1">
      <c r="C671" s="4"/>
      <c r="D671" s="4"/>
      <c r="E671" s="4"/>
      <c r="F671" s="4"/>
      <c r="G671" s="4"/>
      <c r="J671" s="4"/>
      <c r="K671" s="4"/>
      <c r="L671" s="4"/>
      <c r="R671" s="4"/>
      <c r="S671" s="4"/>
      <c r="T671" s="4"/>
    </row>
    <row r="672" ht="12.0" customHeight="1">
      <c r="C672" s="4"/>
      <c r="D672" s="4"/>
      <c r="E672" s="4"/>
      <c r="F672" s="4"/>
      <c r="G672" s="4"/>
      <c r="J672" s="4"/>
      <c r="K672" s="4"/>
      <c r="L672" s="4"/>
      <c r="R672" s="4"/>
      <c r="S672" s="4"/>
      <c r="T672" s="4"/>
    </row>
    <row r="673" ht="12.0" customHeight="1">
      <c r="C673" s="4"/>
      <c r="D673" s="4"/>
      <c r="E673" s="4"/>
      <c r="F673" s="4"/>
      <c r="G673" s="4"/>
      <c r="J673" s="4"/>
      <c r="K673" s="4"/>
      <c r="L673" s="4"/>
      <c r="R673" s="4"/>
      <c r="S673" s="4"/>
      <c r="T673" s="4"/>
    </row>
    <row r="674" ht="12.0" customHeight="1">
      <c r="C674" s="4"/>
      <c r="D674" s="4"/>
      <c r="E674" s="4"/>
      <c r="F674" s="4"/>
      <c r="G674" s="4"/>
      <c r="J674" s="4"/>
      <c r="K674" s="4"/>
      <c r="L674" s="4"/>
      <c r="R674" s="4"/>
      <c r="S674" s="4"/>
      <c r="T674" s="4"/>
    </row>
    <row r="675" ht="12.0" customHeight="1">
      <c r="C675" s="4"/>
      <c r="D675" s="4"/>
      <c r="E675" s="4"/>
      <c r="F675" s="4"/>
      <c r="G675" s="4"/>
      <c r="J675" s="4"/>
      <c r="K675" s="4"/>
      <c r="L675" s="4"/>
      <c r="R675" s="4"/>
      <c r="S675" s="4"/>
      <c r="T675" s="4"/>
    </row>
    <row r="676" ht="12.0" customHeight="1">
      <c r="C676" s="4"/>
      <c r="D676" s="4"/>
      <c r="E676" s="4"/>
      <c r="F676" s="4"/>
      <c r="G676" s="4"/>
      <c r="J676" s="4"/>
      <c r="K676" s="4"/>
      <c r="L676" s="4"/>
      <c r="R676" s="4"/>
      <c r="S676" s="4"/>
      <c r="T676" s="4"/>
    </row>
    <row r="677" ht="12.0" customHeight="1">
      <c r="C677" s="4"/>
      <c r="D677" s="4"/>
      <c r="E677" s="4"/>
      <c r="F677" s="4"/>
      <c r="G677" s="4"/>
      <c r="J677" s="4"/>
      <c r="K677" s="4"/>
      <c r="L677" s="4"/>
      <c r="R677" s="4"/>
      <c r="S677" s="4"/>
      <c r="T677" s="4"/>
    </row>
    <row r="678" ht="12.0" customHeight="1">
      <c r="C678" s="4"/>
      <c r="D678" s="4"/>
      <c r="E678" s="4"/>
      <c r="F678" s="4"/>
      <c r="G678" s="4"/>
      <c r="J678" s="4"/>
      <c r="K678" s="4"/>
      <c r="L678" s="4"/>
      <c r="R678" s="4"/>
      <c r="S678" s="4"/>
      <c r="T678" s="4"/>
    </row>
    <row r="679" ht="12.0" customHeight="1">
      <c r="C679" s="4"/>
      <c r="D679" s="4"/>
      <c r="E679" s="4"/>
      <c r="F679" s="4"/>
      <c r="G679" s="4"/>
      <c r="J679" s="4"/>
      <c r="K679" s="4"/>
      <c r="L679" s="4"/>
      <c r="R679" s="4"/>
      <c r="S679" s="4"/>
      <c r="T679" s="4"/>
    </row>
    <row r="680" ht="12.0" customHeight="1">
      <c r="C680" s="4"/>
      <c r="D680" s="4"/>
      <c r="E680" s="4"/>
      <c r="F680" s="4"/>
      <c r="G680" s="4"/>
      <c r="J680" s="4"/>
      <c r="K680" s="4"/>
      <c r="L680" s="4"/>
      <c r="R680" s="4"/>
      <c r="S680" s="4"/>
      <c r="T680" s="4"/>
    </row>
    <row r="681" ht="12.0" customHeight="1">
      <c r="C681" s="4"/>
      <c r="D681" s="4"/>
      <c r="E681" s="4"/>
      <c r="F681" s="4"/>
      <c r="G681" s="4"/>
      <c r="J681" s="4"/>
      <c r="K681" s="4"/>
      <c r="L681" s="4"/>
      <c r="R681" s="4"/>
      <c r="S681" s="4"/>
      <c r="T681" s="4"/>
    </row>
    <row r="682" ht="12.0" customHeight="1">
      <c r="C682" s="4"/>
      <c r="D682" s="4"/>
      <c r="E682" s="4"/>
      <c r="F682" s="4"/>
      <c r="G682" s="4"/>
      <c r="J682" s="4"/>
      <c r="K682" s="4"/>
      <c r="L682" s="4"/>
      <c r="R682" s="4"/>
      <c r="S682" s="4"/>
      <c r="T682" s="4"/>
    </row>
    <row r="683" ht="12.0" customHeight="1">
      <c r="C683" s="4"/>
      <c r="D683" s="4"/>
      <c r="E683" s="4"/>
      <c r="F683" s="4"/>
      <c r="G683" s="4"/>
      <c r="J683" s="4"/>
      <c r="K683" s="4"/>
      <c r="L683" s="4"/>
      <c r="R683" s="4"/>
      <c r="S683" s="4"/>
      <c r="T683" s="4"/>
    </row>
    <row r="684" ht="12.0" customHeight="1">
      <c r="C684" s="4"/>
      <c r="D684" s="4"/>
      <c r="E684" s="4"/>
      <c r="F684" s="4"/>
      <c r="G684" s="4"/>
      <c r="J684" s="4"/>
      <c r="K684" s="4"/>
      <c r="L684" s="4"/>
      <c r="R684" s="4"/>
      <c r="S684" s="4"/>
      <c r="T684" s="4"/>
    </row>
    <row r="685" ht="12.0" customHeight="1">
      <c r="C685" s="4"/>
      <c r="D685" s="4"/>
      <c r="E685" s="4"/>
      <c r="F685" s="4"/>
      <c r="G685" s="4"/>
      <c r="J685" s="4"/>
      <c r="K685" s="4"/>
      <c r="L685" s="4"/>
      <c r="R685" s="4"/>
      <c r="S685" s="4"/>
      <c r="T685" s="4"/>
    </row>
    <row r="686" ht="12.0" customHeight="1">
      <c r="C686" s="4"/>
      <c r="D686" s="4"/>
      <c r="E686" s="4"/>
      <c r="F686" s="4"/>
      <c r="G686" s="4"/>
      <c r="J686" s="4"/>
      <c r="K686" s="4"/>
      <c r="L686" s="4"/>
      <c r="R686" s="4"/>
      <c r="S686" s="4"/>
      <c r="T686" s="4"/>
    </row>
    <row r="687" ht="12.0" customHeight="1">
      <c r="C687" s="4"/>
      <c r="D687" s="4"/>
      <c r="E687" s="4"/>
      <c r="F687" s="4"/>
      <c r="G687" s="4"/>
      <c r="J687" s="4"/>
      <c r="K687" s="4"/>
      <c r="L687" s="4"/>
      <c r="R687" s="4"/>
      <c r="S687" s="4"/>
      <c r="T687" s="4"/>
    </row>
    <row r="688" ht="12.0" customHeight="1">
      <c r="C688" s="4"/>
      <c r="D688" s="4"/>
      <c r="E688" s="4"/>
      <c r="F688" s="4"/>
      <c r="G688" s="4"/>
      <c r="J688" s="4"/>
      <c r="K688" s="4"/>
      <c r="L688" s="4"/>
      <c r="R688" s="4"/>
      <c r="S688" s="4"/>
      <c r="T688" s="4"/>
    </row>
    <row r="689" ht="12.0" customHeight="1">
      <c r="C689" s="4"/>
      <c r="D689" s="4"/>
      <c r="E689" s="4"/>
      <c r="F689" s="4"/>
      <c r="G689" s="4"/>
      <c r="J689" s="4"/>
      <c r="K689" s="4"/>
      <c r="L689" s="4"/>
      <c r="R689" s="4"/>
      <c r="S689" s="4"/>
      <c r="T689" s="4"/>
    </row>
    <row r="690" ht="12.0" customHeight="1">
      <c r="C690" s="4"/>
      <c r="D690" s="4"/>
      <c r="E690" s="4"/>
      <c r="F690" s="4"/>
      <c r="G690" s="4"/>
      <c r="J690" s="4"/>
      <c r="K690" s="4"/>
      <c r="L690" s="4"/>
      <c r="R690" s="4"/>
      <c r="S690" s="4"/>
      <c r="T690" s="4"/>
    </row>
    <row r="691" ht="12.0" customHeight="1">
      <c r="C691" s="4"/>
      <c r="D691" s="4"/>
      <c r="E691" s="4"/>
      <c r="F691" s="4"/>
      <c r="G691" s="4"/>
      <c r="J691" s="4"/>
      <c r="K691" s="4"/>
      <c r="L691" s="4"/>
      <c r="R691" s="4"/>
      <c r="S691" s="4"/>
      <c r="T691" s="4"/>
    </row>
    <row r="692" ht="12.0" customHeight="1">
      <c r="C692" s="4"/>
      <c r="D692" s="4"/>
      <c r="E692" s="4"/>
      <c r="F692" s="4"/>
      <c r="G692" s="4"/>
      <c r="J692" s="4"/>
      <c r="K692" s="4"/>
      <c r="L692" s="4"/>
      <c r="R692" s="4"/>
      <c r="S692" s="4"/>
      <c r="T692" s="4"/>
    </row>
    <row r="693" ht="12.0" customHeight="1">
      <c r="C693" s="4"/>
      <c r="D693" s="4"/>
      <c r="E693" s="4"/>
      <c r="F693" s="4"/>
      <c r="G693" s="4"/>
      <c r="J693" s="4"/>
      <c r="K693" s="4"/>
      <c r="L693" s="4"/>
      <c r="R693" s="4"/>
      <c r="S693" s="4"/>
      <c r="T693" s="4"/>
    </row>
    <row r="694" ht="12.0" customHeight="1">
      <c r="C694" s="4"/>
      <c r="D694" s="4"/>
      <c r="E694" s="4"/>
      <c r="F694" s="4"/>
      <c r="G694" s="4"/>
      <c r="J694" s="4"/>
      <c r="K694" s="4"/>
      <c r="L694" s="4"/>
      <c r="R694" s="4"/>
      <c r="S694" s="4"/>
      <c r="T694" s="4"/>
    </row>
    <row r="695" ht="12.0" customHeight="1">
      <c r="C695" s="4"/>
      <c r="D695" s="4"/>
      <c r="E695" s="4"/>
      <c r="F695" s="4"/>
      <c r="G695" s="4"/>
      <c r="J695" s="4"/>
      <c r="K695" s="4"/>
      <c r="L695" s="4"/>
      <c r="R695" s="4"/>
      <c r="S695" s="4"/>
      <c r="T695" s="4"/>
    </row>
    <row r="696" ht="12.0" customHeight="1">
      <c r="C696" s="4"/>
      <c r="D696" s="4"/>
      <c r="E696" s="4"/>
      <c r="F696" s="4"/>
      <c r="G696" s="4"/>
      <c r="J696" s="4"/>
      <c r="K696" s="4"/>
      <c r="L696" s="4"/>
      <c r="R696" s="4"/>
      <c r="S696" s="4"/>
      <c r="T696" s="4"/>
    </row>
    <row r="697" ht="12.0" customHeight="1">
      <c r="C697" s="4"/>
      <c r="D697" s="4"/>
      <c r="E697" s="4"/>
      <c r="F697" s="4"/>
      <c r="G697" s="4"/>
      <c r="J697" s="4"/>
      <c r="K697" s="4"/>
      <c r="L697" s="4"/>
      <c r="R697" s="4"/>
      <c r="S697" s="4"/>
      <c r="T697" s="4"/>
    </row>
    <row r="698" ht="12.0" customHeight="1">
      <c r="C698" s="4"/>
      <c r="D698" s="4"/>
      <c r="E698" s="4"/>
      <c r="F698" s="4"/>
      <c r="G698" s="4"/>
      <c r="J698" s="4"/>
      <c r="K698" s="4"/>
      <c r="L698" s="4"/>
      <c r="R698" s="4"/>
      <c r="S698" s="4"/>
      <c r="T698" s="4"/>
    </row>
    <row r="699" ht="12.0" customHeight="1">
      <c r="C699" s="4"/>
      <c r="D699" s="4"/>
      <c r="E699" s="4"/>
      <c r="F699" s="4"/>
      <c r="G699" s="4"/>
      <c r="J699" s="4"/>
      <c r="K699" s="4"/>
      <c r="L699" s="4"/>
      <c r="R699" s="4"/>
      <c r="S699" s="4"/>
      <c r="T699" s="4"/>
    </row>
    <row r="700" ht="12.0" customHeight="1">
      <c r="C700" s="4"/>
      <c r="D700" s="4"/>
      <c r="E700" s="4"/>
      <c r="F700" s="4"/>
      <c r="G700" s="4"/>
      <c r="J700" s="4"/>
      <c r="K700" s="4"/>
      <c r="L700" s="4"/>
      <c r="R700" s="4"/>
      <c r="S700" s="4"/>
      <c r="T700" s="4"/>
    </row>
    <row r="701" ht="12.0" customHeight="1">
      <c r="C701" s="4"/>
      <c r="D701" s="4"/>
      <c r="E701" s="4"/>
      <c r="F701" s="4"/>
      <c r="G701" s="4"/>
      <c r="J701" s="4"/>
      <c r="K701" s="4"/>
      <c r="L701" s="4"/>
      <c r="R701" s="4"/>
      <c r="S701" s="4"/>
      <c r="T701" s="4"/>
    </row>
    <row r="702" ht="12.0" customHeight="1">
      <c r="C702" s="4"/>
      <c r="D702" s="4"/>
      <c r="E702" s="4"/>
      <c r="F702" s="4"/>
      <c r="G702" s="4"/>
      <c r="J702" s="4"/>
      <c r="K702" s="4"/>
      <c r="L702" s="4"/>
      <c r="R702" s="4"/>
      <c r="S702" s="4"/>
      <c r="T702" s="4"/>
    </row>
    <row r="703" ht="12.0" customHeight="1">
      <c r="C703" s="4"/>
      <c r="D703" s="4"/>
      <c r="E703" s="4"/>
      <c r="F703" s="4"/>
      <c r="G703" s="4"/>
      <c r="J703" s="4"/>
      <c r="K703" s="4"/>
      <c r="L703" s="4"/>
      <c r="R703" s="4"/>
      <c r="S703" s="4"/>
      <c r="T703" s="4"/>
    </row>
    <row r="704" ht="12.0" customHeight="1">
      <c r="C704" s="4"/>
      <c r="D704" s="4"/>
      <c r="E704" s="4"/>
      <c r="F704" s="4"/>
      <c r="G704" s="4"/>
      <c r="J704" s="4"/>
      <c r="K704" s="4"/>
      <c r="L704" s="4"/>
      <c r="R704" s="4"/>
      <c r="S704" s="4"/>
      <c r="T704" s="4"/>
    </row>
    <row r="705" ht="12.0" customHeight="1">
      <c r="C705" s="4"/>
      <c r="D705" s="4"/>
      <c r="E705" s="4"/>
      <c r="F705" s="4"/>
      <c r="G705" s="4"/>
      <c r="J705" s="4"/>
      <c r="K705" s="4"/>
      <c r="L705" s="4"/>
      <c r="R705" s="4"/>
      <c r="S705" s="4"/>
      <c r="T705" s="4"/>
    </row>
    <row r="706" ht="12.0" customHeight="1">
      <c r="C706" s="4"/>
      <c r="D706" s="4"/>
      <c r="E706" s="4"/>
      <c r="F706" s="4"/>
      <c r="G706" s="4"/>
      <c r="J706" s="4"/>
      <c r="K706" s="4"/>
      <c r="L706" s="4"/>
      <c r="R706" s="4"/>
      <c r="S706" s="4"/>
      <c r="T706" s="4"/>
    </row>
    <row r="707" ht="12.0" customHeight="1">
      <c r="C707" s="4"/>
      <c r="D707" s="4"/>
      <c r="E707" s="4"/>
      <c r="F707" s="4"/>
      <c r="G707" s="4"/>
      <c r="J707" s="4"/>
      <c r="K707" s="4"/>
      <c r="L707" s="4"/>
      <c r="R707" s="4"/>
      <c r="S707" s="4"/>
      <c r="T707" s="4"/>
    </row>
    <row r="708" ht="12.0" customHeight="1">
      <c r="C708" s="4"/>
      <c r="D708" s="4"/>
      <c r="E708" s="4"/>
      <c r="F708" s="4"/>
      <c r="G708" s="4"/>
      <c r="J708" s="4"/>
      <c r="K708" s="4"/>
      <c r="L708" s="4"/>
      <c r="R708" s="4"/>
      <c r="S708" s="4"/>
      <c r="T708" s="4"/>
    </row>
    <row r="709" ht="12.0" customHeight="1">
      <c r="C709" s="4"/>
      <c r="D709" s="4"/>
      <c r="E709" s="4"/>
      <c r="F709" s="4"/>
      <c r="G709" s="4"/>
      <c r="J709" s="4"/>
      <c r="K709" s="4"/>
      <c r="L709" s="4"/>
      <c r="R709" s="4"/>
      <c r="S709" s="4"/>
      <c r="T709" s="4"/>
    </row>
    <row r="710" ht="12.0" customHeight="1">
      <c r="C710" s="4"/>
      <c r="D710" s="4"/>
      <c r="E710" s="4"/>
      <c r="F710" s="4"/>
      <c r="G710" s="4"/>
      <c r="J710" s="4"/>
      <c r="K710" s="4"/>
      <c r="L710" s="4"/>
      <c r="R710" s="4"/>
      <c r="S710" s="4"/>
      <c r="T710" s="4"/>
    </row>
    <row r="711" ht="12.0" customHeight="1">
      <c r="C711" s="4"/>
      <c r="D711" s="4"/>
      <c r="E711" s="4"/>
      <c r="F711" s="4"/>
      <c r="G711" s="4"/>
      <c r="J711" s="4"/>
      <c r="K711" s="4"/>
      <c r="L711" s="4"/>
      <c r="R711" s="4"/>
      <c r="S711" s="4"/>
      <c r="T711" s="4"/>
    </row>
    <row r="712" ht="12.0" customHeight="1">
      <c r="C712" s="4"/>
      <c r="D712" s="4"/>
      <c r="E712" s="4"/>
      <c r="F712" s="4"/>
      <c r="G712" s="4"/>
      <c r="J712" s="4"/>
      <c r="K712" s="4"/>
      <c r="L712" s="4"/>
      <c r="R712" s="4"/>
      <c r="S712" s="4"/>
      <c r="T712" s="4"/>
    </row>
    <row r="713" ht="12.0" customHeight="1">
      <c r="C713" s="4"/>
      <c r="D713" s="4"/>
      <c r="E713" s="4"/>
      <c r="F713" s="4"/>
      <c r="G713" s="4"/>
      <c r="J713" s="4"/>
      <c r="K713" s="4"/>
      <c r="L713" s="4"/>
      <c r="R713" s="4"/>
      <c r="S713" s="4"/>
      <c r="T713" s="4"/>
    </row>
    <row r="714" ht="12.0" customHeight="1">
      <c r="C714" s="4"/>
      <c r="D714" s="4"/>
      <c r="E714" s="4"/>
      <c r="F714" s="4"/>
      <c r="G714" s="4"/>
      <c r="J714" s="4"/>
      <c r="K714" s="4"/>
      <c r="L714" s="4"/>
      <c r="R714" s="4"/>
      <c r="S714" s="4"/>
      <c r="T714" s="4"/>
    </row>
    <row r="715" ht="12.0" customHeight="1">
      <c r="C715" s="4"/>
      <c r="D715" s="4"/>
      <c r="E715" s="4"/>
      <c r="F715" s="4"/>
      <c r="G715" s="4"/>
      <c r="J715" s="4"/>
      <c r="K715" s="4"/>
      <c r="L715" s="4"/>
      <c r="R715" s="4"/>
      <c r="S715" s="4"/>
      <c r="T715" s="4"/>
    </row>
    <row r="716" ht="12.0" customHeight="1">
      <c r="C716" s="4"/>
      <c r="D716" s="4"/>
      <c r="E716" s="4"/>
      <c r="F716" s="4"/>
      <c r="G716" s="4"/>
      <c r="J716" s="4"/>
      <c r="K716" s="4"/>
      <c r="L716" s="4"/>
      <c r="R716" s="4"/>
      <c r="S716" s="4"/>
      <c r="T716" s="4"/>
    </row>
    <row r="717" ht="12.0" customHeight="1">
      <c r="C717" s="4"/>
      <c r="D717" s="4"/>
      <c r="E717" s="4"/>
      <c r="F717" s="4"/>
      <c r="G717" s="4"/>
      <c r="J717" s="4"/>
      <c r="K717" s="4"/>
      <c r="L717" s="4"/>
      <c r="R717" s="4"/>
      <c r="S717" s="4"/>
      <c r="T717" s="4"/>
    </row>
    <row r="718" ht="12.0" customHeight="1">
      <c r="C718" s="4"/>
      <c r="D718" s="4"/>
      <c r="E718" s="4"/>
      <c r="F718" s="4"/>
      <c r="G718" s="4"/>
      <c r="J718" s="4"/>
      <c r="K718" s="4"/>
      <c r="L718" s="4"/>
      <c r="R718" s="4"/>
      <c r="S718" s="4"/>
      <c r="T718" s="4"/>
    </row>
    <row r="719" ht="12.0" customHeight="1">
      <c r="C719" s="4"/>
      <c r="D719" s="4"/>
      <c r="E719" s="4"/>
      <c r="F719" s="4"/>
      <c r="G719" s="4"/>
      <c r="J719" s="4"/>
      <c r="K719" s="4"/>
      <c r="L719" s="4"/>
      <c r="R719" s="4"/>
      <c r="S719" s="4"/>
      <c r="T719" s="4"/>
    </row>
    <row r="720" ht="12.0" customHeight="1">
      <c r="C720" s="4"/>
      <c r="D720" s="4"/>
      <c r="E720" s="4"/>
      <c r="F720" s="4"/>
      <c r="G720" s="4"/>
      <c r="J720" s="4"/>
      <c r="K720" s="4"/>
      <c r="L720" s="4"/>
      <c r="R720" s="4"/>
      <c r="S720" s="4"/>
      <c r="T720" s="4"/>
    </row>
    <row r="721" ht="12.0" customHeight="1">
      <c r="C721" s="4"/>
      <c r="D721" s="4"/>
      <c r="E721" s="4"/>
      <c r="F721" s="4"/>
      <c r="G721" s="4"/>
      <c r="J721" s="4"/>
      <c r="K721" s="4"/>
      <c r="L721" s="4"/>
      <c r="R721" s="4"/>
      <c r="S721" s="4"/>
      <c r="T721" s="4"/>
    </row>
    <row r="722" ht="12.0" customHeight="1">
      <c r="C722" s="4"/>
      <c r="D722" s="4"/>
      <c r="E722" s="4"/>
      <c r="F722" s="4"/>
      <c r="G722" s="4"/>
      <c r="J722" s="4"/>
      <c r="K722" s="4"/>
      <c r="L722" s="4"/>
      <c r="R722" s="4"/>
      <c r="S722" s="4"/>
      <c r="T722" s="4"/>
    </row>
    <row r="723" ht="12.0" customHeight="1">
      <c r="C723" s="4"/>
      <c r="D723" s="4"/>
      <c r="E723" s="4"/>
      <c r="F723" s="4"/>
      <c r="G723" s="4"/>
      <c r="J723" s="4"/>
      <c r="K723" s="4"/>
      <c r="L723" s="4"/>
      <c r="R723" s="4"/>
      <c r="S723" s="4"/>
      <c r="T723" s="4"/>
    </row>
    <row r="724" ht="12.0" customHeight="1">
      <c r="C724" s="4"/>
      <c r="D724" s="4"/>
      <c r="E724" s="4"/>
      <c r="F724" s="4"/>
      <c r="G724" s="4"/>
      <c r="J724" s="4"/>
      <c r="K724" s="4"/>
      <c r="L724" s="4"/>
      <c r="R724" s="4"/>
      <c r="S724" s="4"/>
      <c r="T724" s="4"/>
    </row>
    <row r="725" ht="12.0" customHeight="1">
      <c r="C725" s="4"/>
      <c r="D725" s="4"/>
      <c r="E725" s="4"/>
      <c r="F725" s="4"/>
      <c r="G725" s="4"/>
      <c r="J725" s="4"/>
      <c r="K725" s="4"/>
      <c r="L725" s="4"/>
      <c r="R725" s="4"/>
      <c r="S725" s="4"/>
      <c r="T725" s="4"/>
    </row>
    <row r="726" ht="12.0" customHeight="1">
      <c r="C726" s="4"/>
      <c r="D726" s="4"/>
      <c r="E726" s="4"/>
      <c r="F726" s="4"/>
      <c r="G726" s="4"/>
      <c r="J726" s="4"/>
      <c r="K726" s="4"/>
      <c r="L726" s="4"/>
      <c r="R726" s="4"/>
      <c r="S726" s="4"/>
      <c r="T726" s="4"/>
    </row>
    <row r="727" ht="12.0" customHeight="1">
      <c r="C727" s="4"/>
      <c r="D727" s="4"/>
      <c r="E727" s="4"/>
      <c r="F727" s="4"/>
      <c r="G727" s="4"/>
      <c r="J727" s="4"/>
      <c r="K727" s="4"/>
      <c r="L727" s="4"/>
      <c r="R727" s="4"/>
      <c r="S727" s="4"/>
      <c r="T727" s="4"/>
    </row>
    <row r="728" ht="12.0" customHeight="1">
      <c r="C728" s="4"/>
      <c r="D728" s="4"/>
      <c r="E728" s="4"/>
      <c r="F728" s="4"/>
      <c r="G728" s="4"/>
      <c r="J728" s="4"/>
      <c r="K728" s="4"/>
      <c r="L728" s="4"/>
      <c r="R728" s="4"/>
      <c r="S728" s="4"/>
      <c r="T728" s="4"/>
    </row>
    <row r="729" ht="12.0" customHeight="1">
      <c r="C729" s="4"/>
      <c r="D729" s="4"/>
      <c r="E729" s="4"/>
      <c r="F729" s="4"/>
      <c r="G729" s="4"/>
      <c r="J729" s="4"/>
      <c r="K729" s="4"/>
      <c r="L729" s="4"/>
      <c r="R729" s="4"/>
      <c r="S729" s="4"/>
      <c r="T729" s="4"/>
    </row>
    <row r="730" ht="12.0" customHeight="1">
      <c r="C730" s="4"/>
      <c r="D730" s="4"/>
      <c r="E730" s="4"/>
      <c r="F730" s="4"/>
      <c r="G730" s="4"/>
      <c r="J730" s="4"/>
      <c r="K730" s="4"/>
      <c r="L730" s="4"/>
      <c r="R730" s="4"/>
      <c r="S730" s="4"/>
      <c r="T730" s="4"/>
    </row>
    <row r="731" ht="12.0" customHeight="1">
      <c r="C731" s="4"/>
      <c r="D731" s="4"/>
      <c r="E731" s="4"/>
      <c r="F731" s="4"/>
      <c r="G731" s="4"/>
      <c r="J731" s="4"/>
      <c r="K731" s="4"/>
      <c r="L731" s="4"/>
      <c r="R731" s="4"/>
      <c r="S731" s="4"/>
      <c r="T731" s="4"/>
    </row>
    <row r="732" ht="12.0" customHeight="1">
      <c r="C732" s="4"/>
      <c r="D732" s="4"/>
      <c r="E732" s="4"/>
      <c r="F732" s="4"/>
      <c r="G732" s="4"/>
      <c r="J732" s="4"/>
      <c r="K732" s="4"/>
      <c r="L732" s="4"/>
      <c r="R732" s="4"/>
      <c r="S732" s="4"/>
      <c r="T732" s="4"/>
    </row>
    <row r="733" ht="12.0" customHeight="1">
      <c r="C733" s="4"/>
      <c r="D733" s="4"/>
      <c r="E733" s="4"/>
      <c r="F733" s="4"/>
      <c r="G733" s="4"/>
      <c r="J733" s="4"/>
      <c r="K733" s="4"/>
      <c r="L733" s="4"/>
      <c r="R733" s="4"/>
      <c r="S733" s="4"/>
      <c r="T733" s="4"/>
    </row>
    <row r="734" ht="12.0" customHeight="1">
      <c r="C734" s="4"/>
      <c r="D734" s="4"/>
      <c r="E734" s="4"/>
      <c r="F734" s="4"/>
      <c r="G734" s="4"/>
      <c r="J734" s="4"/>
      <c r="K734" s="4"/>
      <c r="L734" s="4"/>
      <c r="R734" s="4"/>
      <c r="S734" s="4"/>
      <c r="T734" s="4"/>
    </row>
    <row r="735" ht="12.0" customHeight="1">
      <c r="C735" s="4"/>
      <c r="D735" s="4"/>
      <c r="E735" s="4"/>
      <c r="F735" s="4"/>
      <c r="G735" s="4"/>
      <c r="J735" s="4"/>
      <c r="K735" s="4"/>
      <c r="L735" s="4"/>
      <c r="R735" s="4"/>
      <c r="S735" s="4"/>
      <c r="T735" s="4"/>
    </row>
    <row r="736" ht="12.0" customHeight="1">
      <c r="C736" s="4"/>
      <c r="D736" s="4"/>
      <c r="E736" s="4"/>
      <c r="F736" s="4"/>
      <c r="G736" s="4"/>
      <c r="J736" s="4"/>
      <c r="K736" s="4"/>
      <c r="L736" s="4"/>
      <c r="R736" s="4"/>
      <c r="S736" s="4"/>
      <c r="T736" s="4"/>
    </row>
    <row r="737" ht="12.0" customHeight="1">
      <c r="C737" s="4"/>
      <c r="D737" s="4"/>
      <c r="E737" s="4"/>
      <c r="F737" s="4"/>
      <c r="G737" s="4"/>
      <c r="J737" s="4"/>
      <c r="K737" s="4"/>
      <c r="L737" s="4"/>
      <c r="R737" s="4"/>
      <c r="S737" s="4"/>
      <c r="T737" s="4"/>
    </row>
    <row r="738" ht="12.0" customHeight="1">
      <c r="C738" s="4"/>
      <c r="D738" s="4"/>
      <c r="E738" s="4"/>
      <c r="F738" s="4"/>
      <c r="G738" s="4"/>
      <c r="J738" s="4"/>
      <c r="K738" s="4"/>
      <c r="L738" s="4"/>
      <c r="R738" s="4"/>
      <c r="S738" s="4"/>
      <c r="T738" s="4"/>
    </row>
    <row r="739" ht="12.0" customHeight="1">
      <c r="C739" s="4"/>
      <c r="D739" s="4"/>
      <c r="E739" s="4"/>
      <c r="F739" s="4"/>
      <c r="G739" s="4"/>
      <c r="J739" s="4"/>
      <c r="K739" s="4"/>
      <c r="L739" s="4"/>
      <c r="R739" s="4"/>
      <c r="S739" s="4"/>
      <c r="T739" s="4"/>
    </row>
    <row r="740" ht="12.0" customHeight="1">
      <c r="C740" s="4"/>
      <c r="D740" s="4"/>
      <c r="E740" s="4"/>
      <c r="F740" s="4"/>
      <c r="G740" s="4"/>
      <c r="J740" s="4"/>
      <c r="K740" s="4"/>
      <c r="L740" s="4"/>
      <c r="R740" s="4"/>
      <c r="S740" s="4"/>
      <c r="T740" s="4"/>
    </row>
    <row r="741" ht="12.0" customHeight="1">
      <c r="C741" s="4"/>
      <c r="D741" s="4"/>
      <c r="E741" s="4"/>
      <c r="F741" s="4"/>
      <c r="G741" s="4"/>
      <c r="J741" s="4"/>
      <c r="K741" s="4"/>
      <c r="L741" s="4"/>
      <c r="R741" s="4"/>
      <c r="S741" s="4"/>
      <c r="T741" s="4"/>
    </row>
    <row r="742" ht="12.0" customHeight="1">
      <c r="C742" s="4"/>
      <c r="D742" s="4"/>
      <c r="E742" s="4"/>
      <c r="F742" s="4"/>
      <c r="G742" s="4"/>
      <c r="J742" s="4"/>
      <c r="K742" s="4"/>
      <c r="L742" s="4"/>
      <c r="R742" s="4"/>
      <c r="S742" s="4"/>
      <c r="T742" s="4"/>
    </row>
    <row r="743" ht="12.0" customHeight="1">
      <c r="C743" s="4"/>
      <c r="D743" s="4"/>
      <c r="E743" s="4"/>
      <c r="F743" s="4"/>
      <c r="G743" s="4"/>
      <c r="J743" s="4"/>
      <c r="K743" s="4"/>
      <c r="L743" s="4"/>
      <c r="R743" s="4"/>
      <c r="S743" s="4"/>
      <c r="T743" s="4"/>
    </row>
    <row r="744" ht="12.0" customHeight="1">
      <c r="C744" s="4"/>
      <c r="D744" s="4"/>
      <c r="E744" s="4"/>
      <c r="F744" s="4"/>
      <c r="G744" s="4"/>
      <c r="J744" s="4"/>
      <c r="K744" s="4"/>
      <c r="L744" s="4"/>
      <c r="R744" s="4"/>
      <c r="S744" s="4"/>
      <c r="T744" s="4"/>
    </row>
    <row r="745" ht="12.0" customHeight="1">
      <c r="C745" s="4"/>
      <c r="D745" s="4"/>
      <c r="E745" s="4"/>
      <c r="F745" s="4"/>
      <c r="G745" s="4"/>
      <c r="J745" s="4"/>
      <c r="K745" s="4"/>
      <c r="L745" s="4"/>
      <c r="R745" s="4"/>
      <c r="S745" s="4"/>
      <c r="T745" s="4"/>
    </row>
    <row r="746" ht="12.0" customHeight="1">
      <c r="C746" s="4"/>
      <c r="D746" s="4"/>
      <c r="E746" s="4"/>
      <c r="F746" s="4"/>
      <c r="G746" s="4"/>
      <c r="J746" s="4"/>
      <c r="K746" s="4"/>
      <c r="L746" s="4"/>
      <c r="R746" s="4"/>
      <c r="S746" s="4"/>
      <c r="T746" s="4"/>
    </row>
    <row r="747" ht="12.0" customHeight="1">
      <c r="C747" s="4"/>
      <c r="D747" s="4"/>
      <c r="E747" s="4"/>
      <c r="F747" s="4"/>
      <c r="G747" s="4"/>
      <c r="J747" s="4"/>
      <c r="K747" s="4"/>
      <c r="L747" s="4"/>
      <c r="R747" s="4"/>
      <c r="S747" s="4"/>
      <c r="T747" s="4"/>
    </row>
    <row r="748" ht="12.0" customHeight="1">
      <c r="C748" s="4"/>
      <c r="D748" s="4"/>
      <c r="E748" s="4"/>
      <c r="F748" s="4"/>
      <c r="G748" s="4"/>
      <c r="J748" s="4"/>
      <c r="K748" s="4"/>
      <c r="L748" s="4"/>
      <c r="R748" s="4"/>
      <c r="S748" s="4"/>
      <c r="T748" s="4"/>
    </row>
    <row r="749" ht="12.0" customHeight="1">
      <c r="C749" s="4"/>
      <c r="D749" s="4"/>
      <c r="E749" s="4"/>
      <c r="F749" s="4"/>
      <c r="G749" s="4"/>
      <c r="J749" s="4"/>
      <c r="K749" s="4"/>
      <c r="L749" s="4"/>
      <c r="R749" s="4"/>
      <c r="S749" s="4"/>
      <c r="T749" s="4"/>
    </row>
    <row r="750" ht="12.0" customHeight="1">
      <c r="C750" s="4"/>
      <c r="D750" s="4"/>
      <c r="E750" s="4"/>
      <c r="F750" s="4"/>
      <c r="G750" s="4"/>
      <c r="J750" s="4"/>
      <c r="K750" s="4"/>
      <c r="L750" s="4"/>
      <c r="R750" s="4"/>
      <c r="S750" s="4"/>
      <c r="T750" s="4"/>
    </row>
    <row r="751" ht="12.0" customHeight="1">
      <c r="C751" s="4"/>
      <c r="D751" s="4"/>
      <c r="E751" s="4"/>
      <c r="F751" s="4"/>
      <c r="G751" s="4"/>
      <c r="J751" s="4"/>
      <c r="K751" s="4"/>
      <c r="L751" s="4"/>
      <c r="R751" s="4"/>
      <c r="S751" s="4"/>
      <c r="T751" s="4"/>
    </row>
    <row r="752" ht="12.0" customHeight="1">
      <c r="C752" s="4"/>
      <c r="D752" s="4"/>
      <c r="E752" s="4"/>
      <c r="F752" s="4"/>
      <c r="G752" s="4"/>
      <c r="J752" s="4"/>
      <c r="K752" s="4"/>
      <c r="L752" s="4"/>
      <c r="R752" s="4"/>
      <c r="S752" s="4"/>
      <c r="T752" s="4"/>
    </row>
    <row r="753" ht="12.0" customHeight="1">
      <c r="C753" s="4"/>
      <c r="D753" s="4"/>
      <c r="E753" s="4"/>
      <c r="F753" s="4"/>
      <c r="G753" s="4"/>
      <c r="J753" s="4"/>
      <c r="K753" s="4"/>
      <c r="L753" s="4"/>
      <c r="R753" s="4"/>
      <c r="S753" s="4"/>
      <c r="T753" s="4"/>
    </row>
    <row r="754" ht="12.0" customHeight="1">
      <c r="C754" s="4"/>
      <c r="D754" s="4"/>
      <c r="E754" s="4"/>
      <c r="F754" s="4"/>
      <c r="G754" s="4"/>
      <c r="J754" s="4"/>
      <c r="K754" s="4"/>
      <c r="L754" s="4"/>
      <c r="R754" s="4"/>
      <c r="S754" s="4"/>
      <c r="T754" s="4"/>
    </row>
    <row r="755" ht="12.0" customHeight="1">
      <c r="C755" s="4"/>
      <c r="D755" s="4"/>
      <c r="E755" s="4"/>
      <c r="F755" s="4"/>
      <c r="G755" s="4"/>
      <c r="J755" s="4"/>
      <c r="K755" s="4"/>
      <c r="L755" s="4"/>
      <c r="R755" s="4"/>
      <c r="S755" s="4"/>
      <c r="T755" s="4"/>
    </row>
    <row r="756" ht="12.0" customHeight="1">
      <c r="C756" s="4"/>
      <c r="D756" s="4"/>
      <c r="E756" s="4"/>
      <c r="F756" s="4"/>
      <c r="G756" s="4"/>
      <c r="J756" s="4"/>
      <c r="K756" s="4"/>
      <c r="L756" s="4"/>
      <c r="R756" s="4"/>
      <c r="S756" s="4"/>
      <c r="T756" s="4"/>
    </row>
    <row r="757" ht="12.0" customHeight="1">
      <c r="C757" s="4"/>
      <c r="D757" s="4"/>
      <c r="E757" s="4"/>
      <c r="F757" s="4"/>
      <c r="G757" s="4"/>
      <c r="J757" s="4"/>
      <c r="K757" s="4"/>
      <c r="L757" s="4"/>
      <c r="R757" s="4"/>
      <c r="S757" s="4"/>
      <c r="T757" s="4"/>
    </row>
    <row r="758" ht="12.0" customHeight="1">
      <c r="C758" s="4"/>
      <c r="D758" s="4"/>
      <c r="E758" s="4"/>
      <c r="F758" s="4"/>
      <c r="G758" s="4"/>
      <c r="J758" s="4"/>
      <c r="K758" s="4"/>
      <c r="L758" s="4"/>
      <c r="R758" s="4"/>
      <c r="S758" s="4"/>
      <c r="T758" s="4"/>
    </row>
    <row r="759" ht="12.0" customHeight="1">
      <c r="C759" s="4"/>
      <c r="D759" s="4"/>
      <c r="E759" s="4"/>
      <c r="F759" s="4"/>
      <c r="G759" s="4"/>
      <c r="J759" s="4"/>
      <c r="K759" s="4"/>
      <c r="L759" s="4"/>
      <c r="R759" s="4"/>
      <c r="S759" s="4"/>
      <c r="T759" s="4"/>
    </row>
    <row r="760" ht="12.0" customHeight="1">
      <c r="C760" s="4"/>
      <c r="D760" s="4"/>
      <c r="E760" s="4"/>
      <c r="F760" s="4"/>
      <c r="G760" s="4"/>
      <c r="J760" s="4"/>
      <c r="K760" s="4"/>
      <c r="L760" s="4"/>
      <c r="R760" s="4"/>
      <c r="S760" s="4"/>
      <c r="T760" s="4"/>
    </row>
    <row r="761" ht="12.0" customHeight="1">
      <c r="C761" s="4"/>
      <c r="D761" s="4"/>
      <c r="E761" s="4"/>
      <c r="F761" s="4"/>
      <c r="G761" s="4"/>
      <c r="J761" s="4"/>
      <c r="K761" s="4"/>
      <c r="L761" s="4"/>
      <c r="R761" s="4"/>
      <c r="S761" s="4"/>
      <c r="T761" s="4"/>
    </row>
    <row r="762" ht="12.0" customHeight="1">
      <c r="C762" s="4"/>
      <c r="D762" s="4"/>
      <c r="E762" s="4"/>
      <c r="F762" s="4"/>
      <c r="G762" s="4"/>
      <c r="J762" s="4"/>
      <c r="K762" s="4"/>
      <c r="L762" s="4"/>
      <c r="R762" s="4"/>
      <c r="S762" s="4"/>
      <c r="T762" s="4"/>
    </row>
    <row r="763" ht="12.0" customHeight="1">
      <c r="C763" s="4"/>
      <c r="D763" s="4"/>
      <c r="E763" s="4"/>
      <c r="F763" s="4"/>
      <c r="G763" s="4"/>
      <c r="J763" s="4"/>
      <c r="K763" s="4"/>
      <c r="L763" s="4"/>
      <c r="R763" s="4"/>
      <c r="S763" s="4"/>
      <c r="T763" s="4"/>
    </row>
    <row r="764" ht="12.0" customHeight="1">
      <c r="C764" s="4"/>
      <c r="D764" s="4"/>
      <c r="E764" s="4"/>
      <c r="F764" s="4"/>
      <c r="G764" s="4"/>
      <c r="J764" s="4"/>
      <c r="K764" s="4"/>
      <c r="L764" s="4"/>
      <c r="R764" s="4"/>
      <c r="S764" s="4"/>
      <c r="T764" s="4"/>
    </row>
    <row r="765" ht="12.0" customHeight="1">
      <c r="C765" s="4"/>
      <c r="D765" s="4"/>
      <c r="E765" s="4"/>
      <c r="F765" s="4"/>
      <c r="G765" s="4"/>
      <c r="J765" s="4"/>
      <c r="K765" s="4"/>
      <c r="L765" s="4"/>
      <c r="R765" s="4"/>
      <c r="S765" s="4"/>
      <c r="T765" s="4"/>
    </row>
    <row r="766" ht="12.0" customHeight="1">
      <c r="C766" s="4"/>
      <c r="D766" s="4"/>
      <c r="E766" s="4"/>
      <c r="F766" s="4"/>
      <c r="G766" s="4"/>
      <c r="J766" s="4"/>
      <c r="K766" s="4"/>
      <c r="L766" s="4"/>
      <c r="R766" s="4"/>
      <c r="S766" s="4"/>
      <c r="T766" s="4"/>
    </row>
    <row r="767" ht="12.0" customHeight="1">
      <c r="C767" s="4"/>
      <c r="D767" s="4"/>
      <c r="E767" s="4"/>
      <c r="F767" s="4"/>
      <c r="G767" s="4"/>
      <c r="J767" s="4"/>
      <c r="K767" s="4"/>
      <c r="L767" s="4"/>
      <c r="R767" s="4"/>
      <c r="S767" s="4"/>
      <c r="T767" s="4"/>
    </row>
    <row r="768" ht="12.0" customHeight="1">
      <c r="C768" s="4"/>
      <c r="D768" s="4"/>
      <c r="E768" s="4"/>
      <c r="F768" s="4"/>
      <c r="G768" s="4"/>
      <c r="J768" s="4"/>
      <c r="K768" s="4"/>
      <c r="L768" s="4"/>
      <c r="R768" s="4"/>
      <c r="S768" s="4"/>
      <c r="T768" s="4"/>
    </row>
    <row r="769" ht="12.0" customHeight="1">
      <c r="C769" s="4"/>
      <c r="D769" s="4"/>
      <c r="E769" s="4"/>
      <c r="F769" s="4"/>
      <c r="G769" s="4"/>
      <c r="J769" s="4"/>
      <c r="K769" s="4"/>
      <c r="L769" s="4"/>
      <c r="R769" s="4"/>
      <c r="S769" s="4"/>
      <c r="T769" s="4"/>
    </row>
    <row r="770" ht="12.0" customHeight="1">
      <c r="C770" s="4"/>
      <c r="D770" s="4"/>
      <c r="E770" s="4"/>
      <c r="F770" s="4"/>
      <c r="G770" s="4"/>
      <c r="J770" s="4"/>
      <c r="K770" s="4"/>
      <c r="L770" s="4"/>
      <c r="R770" s="4"/>
      <c r="S770" s="4"/>
      <c r="T770" s="4"/>
    </row>
    <row r="771" ht="12.0" customHeight="1">
      <c r="C771" s="4"/>
      <c r="D771" s="4"/>
      <c r="E771" s="4"/>
      <c r="F771" s="4"/>
      <c r="G771" s="4"/>
      <c r="J771" s="4"/>
      <c r="K771" s="4"/>
      <c r="L771" s="4"/>
      <c r="R771" s="4"/>
      <c r="S771" s="4"/>
      <c r="T771" s="4"/>
    </row>
    <row r="772" ht="12.0" customHeight="1">
      <c r="C772" s="4"/>
      <c r="D772" s="4"/>
      <c r="E772" s="4"/>
      <c r="F772" s="4"/>
      <c r="G772" s="4"/>
      <c r="J772" s="4"/>
      <c r="K772" s="4"/>
      <c r="L772" s="4"/>
      <c r="R772" s="4"/>
      <c r="S772" s="4"/>
      <c r="T772" s="4"/>
    </row>
    <row r="773" ht="12.0" customHeight="1">
      <c r="C773" s="4"/>
      <c r="D773" s="4"/>
      <c r="E773" s="4"/>
      <c r="F773" s="4"/>
      <c r="G773" s="4"/>
      <c r="J773" s="4"/>
      <c r="K773" s="4"/>
      <c r="L773" s="4"/>
      <c r="R773" s="4"/>
      <c r="S773" s="4"/>
      <c r="T773" s="4"/>
    </row>
    <row r="774" ht="12.0" customHeight="1">
      <c r="C774" s="4"/>
      <c r="D774" s="4"/>
      <c r="E774" s="4"/>
      <c r="F774" s="4"/>
      <c r="G774" s="4"/>
      <c r="J774" s="4"/>
      <c r="K774" s="4"/>
      <c r="L774" s="4"/>
      <c r="R774" s="4"/>
      <c r="S774" s="4"/>
      <c r="T774" s="4"/>
    </row>
    <row r="775" ht="12.0" customHeight="1">
      <c r="C775" s="4"/>
      <c r="D775" s="4"/>
      <c r="E775" s="4"/>
      <c r="F775" s="4"/>
      <c r="G775" s="4"/>
      <c r="J775" s="4"/>
      <c r="K775" s="4"/>
      <c r="L775" s="4"/>
      <c r="R775" s="4"/>
      <c r="S775" s="4"/>
      <c r="T775" s="4"/>
    </row>
    <row r="776" ht="12.0" customHeight="1">
      <c r="C776" s="4"/>
      <c r="D776" s="4"/>
      <c r="E776" s="4"/>
      <c r="F776" s="4"/>
      <c r="G776" s="4"/>
      <c r="J776" s="4"/>
      <c r="K776" s="4"/>
      <c r="L776" s="4"/>
      <c r="R776" s="4"/>
      <c r="S776" s="4"/>
      <c r="T776" s="4"/>
    </row>
    <row r="777" ht="12.0" customHeight="1">
      <c r="C777" s="4"/>
      <c r="D777" s="4"/>
      <c r="E777" s="4"/>
      <c r="F777" s="4"/>
      <c r="G777" s="4"/>
      <c r="J777" s="4"/>
      <c r="K777" s="4"/>
      <c r="L777" s="4"/>
      <c r="R777" s="4"/>
      <c r="S777" s="4"/>
      <c r="T777" s="4"/>
    </row>
    <row r="778" ht="12.0" customHeight="1">
      <c r="C778" s="4"/>
      <c r="D778" s="4"/>
      <c r="E778" s="4"/>
      <c r="F778" s="4"/>
      <c r="G778" s="4"/>
      <c r="J778" s="4"/>
      <c r="K778" s="4"/>
      <c r="L778" s="4"/>
      <c r="R778" s="4"/>
      <c r="S778" s="4"/>
      <c r="T778" s="4"/>
    </row>
    <row r="779" ht="12.0" customHeight="1">
      <c r="C779" s="4"/>
      <c r="D779" s="4"/>
      <c r="E779" s="4"/>
      <c r="F779" s="4"/>
      <c r="G779" s="4"/>
      <c r="J779" s="4"/>
      <c r="K779" s="4"/>
      <c r="L779" s="4"/>
      <c r="R779" s="4"/>
      <c r="S779" s="4"/>
      <c r="T779" s="4"/>
    </row>
    <row r="780" ht="12.0" customHeight="1">
      <c r="C780" s="4"/>
      <c r="D780" s="4"/>
      <c r="E780" s="4"/>
      <c r="F780" s="4"/>
      <c r="G780" s="4"/>
      <c r="J780" s="4"/>
      <c r="K780" s="4"/>
      <c r="L780" s="4"/>
      <c r="R780" s="4"/>
      <c r="S780" s="4"/>
      <c r="T780" s="4"/>
    </row>
    <row r="781" ht="12.0" customHeight="1">
      <c r="C781" s="4"/>
      <c r="D781" s="4"/>
      <c r="E781" s="4"/>
      <c r="F781" s="4"/>
      <c r="G781" s="4"/>
      <c r="J781" s="4"/>
      <c r="K781" s="4"/>
      <c r="L781" s="4"/>
      <c r="R781" s="4"/>
      <c r="S781" s="4"/>
      <c r="T781" s="4"/>
    </row>
    <row r="782" ht="12.0" customHeight="1">
      <c r="C782" s="4"/>
      <c r="D782" s="4"/>
      <c r="E782" s="4"/>
      <c r="F782" s="4"/>
      <c r="G782" s="4"/>
      <c r="J782" s="4"/>
      <c r="K782" s="4"/>
      <c r="L782" s="4"/>
      <c r="R782" s="4"/>
      <c r="S782" s="4"/>
      <c r="T782" s="4"/>
    </row>
    <row r="783" ht="12.0" customHeight="1">
      <c r="C783" s="4"/>
      <c r="D783" s="4"/>
      <c r="E783" s="4"/>
      <c r="F783" s="4"/>
      <c r="G783" s="4"/>
      <c r="J783" s="4"/>
      <c r="K783" s="4"/>
      <c r="L783" s="4"/>
      <c r="R783" s="4"/>
      <c r="S783" s="4"/>
      <c r="T783" s="4"/>
    </row>
    <row r="784" ht="12.0" customHeight="1">
      <c r="C784" s="4"/>
      <c r="D784" s="4"/>
      <c r="E784" s="4"/>
      <c r="F784" s="4"/>
      <c r="G784" s="4"/>
      <c r="J784" s="4"/>
      <c r="K784" s="4"/>
      <c r="L784" s="4"/>
      <c r="R784" s="4"/>
      <c r="S784" s="4"/>
      <c r="T784" s="4"/>
    </row>
    <row r="785" ht="12.0" customHeight="1">
      <c r="C785" s="4"/>
      <c r="D785" s="4"/>
      <c r="E785" s="4"/>
      <c r="F785" s="4"/>
      <c r="G785" s="4"/>
      <c r="J785" s="4"/>
      <c r="K785" s="4"/>
      <c r="L785" s="4"/>
      <c r="R785" s="4"/>
      <c r="S785" s="4"/>
      <c r="T785" s="4"/>
    </row>
    <row r="786" ht="12.0" customHeight="1">
      <c r="C786" s="4"/>
      <c r="D786" s="4"/>
      <c r="E786" s="4"/>
      <c r="F786" s="4"/>
      <c r="G786" s="4"/>
      <c r="J786" s="4"/>
      <c r="K786" s="4"/>
      <c r="L786" s="4"/>
      <c r="R786" s="4"/>
      <c r="S786" s="4"/>
      <c r="T786" s="4"/>
    </row>
    <row r="787" ht="12.0" customHeight="1">
      <c r="C787" s="4"/>
      <c r="D787" s="4"/>
      <c r="E787" s="4"/>
      <c r="F787" s="4"/>
      <c r="G787" s="4"/>
      <c r="J787" s="4"/>
      <c r="K787" s="4"/>
      <c r="L787" s="4"/>
      <c r="R787" s="4"/>
      <c r="S787" s="4"/>
      <c r="T787" s="4"/>
    </row>
    <row r="788" ht="12.0" customHeight="1">
      <c r="C788" s="4"/>
      <c r="D788" s="4"/>
      <c r="E788" s="4"/>
      <c r="F788" s="4"/>
      <c r="G788" s="4"/>
      <c r="J788" s="4"/>
      <c r="K788" s="4"/>
      <c r="L788" s="4"/>
      <c r="R788" s="4"/>
      <c r="S788" s="4"/>
      <c r="T788" s="4"/>
    </row>
    <row r="789" ht="12.0" customHeight="1">
      <c r="C789" s="4"/>
      <c r="D789" s="4"/>
      <c r="E789" s="4"/>
      <c r="F789" s="4"/>
      <c r="G789" s="4"/>
      <c r="J789" s="4"/>
      <c r="K789" s="4"/>
      <c r="L789" s="4"/>
      <c r="R789" s="4"/>
      <c r="S789" s="4"/>
      <c r="T789" s="4"/>
    </row>
    <row r="790" ht="12.0" customHeight="1">
      <c r="C790" s="4"/>
      <c r="D790" s="4"/>
      <c r="E790" s="4"/>
      <c r="F790" s="4"/>
      <c r="G790" s="4"/>
      <c r="J790" s="4"/>
      <c r="K790" s="4"/>
      <c r="L790" s="4"/>
      <c r="R790" s="4"/>
      <c r="S790" s="4"/>
      <c r="T790" s="4"/>
    </row>
    <row r="791" ht="12.0" customHeight="1">
      <c r="C791" s="4"/>
      <c r="D791" s="4"/>
      <c r="E791" s="4"/>
      <c r="F791" s="4"/>
      <c r="G791" s="4"/>
      <c r="J791" s="4"/>
      <c r="K791" s="4"/>
      <c r="L791" s="4"/>
      <c r="R791" s="4"/>
      <c r="S791" s="4"/>
      <c r="T791" s="4"/>
    </row>
    <row r="792" ht="12.0" customHeight="1">
      <c r="C792" s="4"/>
      <c r="D792" s="4"/>
      <c r="E792" s="4"/>
      <c r="F792" s="4"/>
      <c r="G792" s="4"/>
      <c r="J792" s="4"/>
      <c r="K792" s="4"/>
      <c r="L792" s="4"/>
      <c r="R792" s="4"/>
      <c r="S792" s="4"/>
      <c r="T792" s="4"/>
    </row>
    <row r="793" ht="12.0" customHeight="1">
      <c r="C793" s="4"/>
      <c r="D793" s="4"/>
      <c r="E793" s="4"/>
      <c r="F793" s="4"/>
      <c r="G793" s="4"/>
      <c r="J793" s="4"/>
      <c r="K793" s="4"/>
      <c r="L793" s="4"/>
      <c r="R793" s="4"/>
      <c r="S793" s="4"/>
      <c r="T793" s="4"/>
    </row>
    <row r="794" ht="12.0" customHeight="1">
      <c r="C794" s="4"/>
      <c r="D794" s="4"/>
      <c r="E794" s="4"/>
      <c r="F794" s="4"/>
      <c r="G794" s="4"/>
      <c r="J794" s="4"/>
      <c r="K794" s="4"/>
      <c r="L794" s="4"/>
      <c r="R794" s="4"/>
      <c r="S794" s="4"/>
      <c r="T794" s="4"/>
    </row>
    <row r="795" ht="12.0" customHeight="1">
      <c r="C795" s="4"/>
      <c r="D795" s="4"/>
      <c r="E795" s="4"/>
      <c r="F795" s="4"/>
      <c r="G795" s="4"/>
      <c r="J795" s="4"/>
      <c r="K795" s="4"/>
      <c r="L795" s="4"/>
      <c r="R795" s="4"/>
      <c r="S795" s="4"/>
      <c r="T795" s="4"/>
    </row>
    <row r="796" ht="12.0" customHeight="1">
      <c r="C796" s="4"/>
      <c r="D796" s="4"/>
      <c r="E796" s="4"/>
      <c r="F796" s="4"/>
      <c r="G796" s="4"/>
      <c r="J796" s="4"/>
      <c r="K796" s="4"/>
      <c r="L796" s="4"/>
      <c r="R796" s="4"/>
      <c r="S796" s="4"/>
      <c r="T796" s="4"/>
    </row>
    <row r="797" ht="12.0" customHeight="1">
      <c r="C797" s="4"/>
      <c r="D797" s="4"/>
      <c r="E797" s="4"/>
      <c r="F797" s="4"/>
      <c r="G797" s="4"/>
      <c r="J797" s="4"/>
      <c r="K797" s="4"/>
      <c r="L797" s="4"/>
      <c r="R797" s="4"/>
      <c r="S797" s="4"/>
      <c r="T797" s="4"/>
    </row>
    <row r="798" ht="12.0" customHeight="1">
      <c r="C798" s="4"/>
      <c r="D798" s="4"/>
      <c r="E798" s="4"/>
      <c r="F798" s="4"/>
      <c r="G798" s="4"/>
      <c r="J798" s="4"/>
      <c r="K798" s="4"/>
      <c r="L798" s="4"/>
      <c r="R798" s="4"/>
      <c r="S798" s="4"/>
      <c r="T798" s="4"/>
    </row>
    <row r="799" ht="12.0" customHeight="1">
      <c r="C799" s="4"/>
      <c r="D799" s="4"/>
      <c r="E799" s="4"/>
      <c r="F799" s="4"/>
      <c r="G799" s="4"/>
      <c r="J799" s="4"/>
      <c r="K799" s="4"/>
      <c r="L799" s="4"/>
      <c r="R799" s="4"/>
      <c r="S799" s="4"/>
      <c r="T799" s="4"/>
    </row>
    <row r="800" ht="12.0" customHeight="1">
      <c r="C800" s="4"/>
      <c r="D800" s="4"/>
      <c r="E800" s="4"/>
      <c r="F800" s="4"/>
      <c r="G800" s="4"/>
      <c r="J800" s="4"/>
      <c r="K800" s="4"/>
      <c r="L800" s="4"/>
      <c r="R800" s="4"/>
      <c r="S800" s="4"/>
      <c r="T800" s="4"/>
    </row>
    <row r="801" ht="12.0" customHeight="1">
      <c r="C801" s="4"/>
      <c r="D801" s="4"/>
      <c r="E801" s="4"/>
      <c r="F801" s="4"/>
      <c r="G801" s="4"/>
      <c r="J801" s="4"/>
      <c r="K801" s="4"/>
      <c r="L801" s="4"/>
      <c r="R801" s="4"/>
      <c r="S801" s="4"/>
      <c r="T801" s="4"/>
    </row>
    <row r="802" ht="12.0" customHeight="1">
      <c r="C802" s="4"/>
      <c r="D802" s="4"/>
      <c r="E802" s="4"/>
      <c r="F802" s="4"/>
      <c r="G802" s="4"/>
      <c r="J802" s="4"/>
      <c r="K802" s="4"/>
      <c r="L802" s="4"/>
      <c r="R802" s="4"/>
      <c r="S802" s="4"/>
      <c r="T802" s="4"/>
    </row>
    <row r="803" ht="12.0" customHeight="1">
      <c r="C803" s="4"/>
      <c r="D803" s="4"/>
      <c r="E803" s="4"/>
      <c r="F803" s="4"/>
      <c r="G803" s="4"/>
      <c r="J803" s="4"/>
      <c r="K803" s="4"/>
      <c r="L803" s="4"/>
      <c r="R803" s="4"/>
      <c r="S803" s="4"/>
      <c r="T803" s="4"/>
    </row>
    <row r="804" ht="12.0" customHeight="1">
      <c r="C804" s="4"/>
      <c r="D804" s="4"/>
      <c r="E804" s="4"/>
      <c r="F804" s="4"/>
      <c r="G804" s="4"/>
      <c r="J804" s="4"/>
      <c r="K804" s="4"/>
      <c r="L804" s="4"/>
      <c r="R804" s="4"/>
      <c r="S804" s="4"/>
      <c r="T804" s="4"/>
    </row>
    <row r="805" ht="12.0" customHeight="1">
      <c r="C805" s="4"/>
      <c r="D805" s="4"/>
      <c r="E805" s="4"/>
      <c r="F805" s="4"/>
      <c r="G805" s="4"/>
      <c r="J805" s="4"/>
      <c r="K805" s="4"/>
      <c r="L805" s="4"/>
      <c r="R805" s="4"/>
      <c r="S805" s="4"/>
      <c r="T805" s="4"/>
    </row>
    <row r="806" ht="12.0" customHeight="1">
      <c r="C806" s="4"/>
      <c r="D806" s="4"/>
      <c r="E806" s="4"/>
      <c r="F806" s="4"/>
      <c r="G806" s="4"/>
      <c r="J806" s="4"/>
      <c r="K806" s="4"/>
      <c r="L806" s="4"/>
      <c r="R806" s="4"/>
      <c r="S806" s="4"/>
      <c r="T806" s="4"/>
    </row>
    <row r="807" ht="12.0" customHeight="1">
      <c r="C807" s="4"/>
      <c r="D807" s="4"/>
      <c r="E807" s="4"/>
      <c r="F807" s="4"/>
      <c r="G807" s="4"/>
      <c r="J807" s="4"/>
      <c r="K807" s="4"/>
      <c r="L807" s="4"/>
      <c r="R807" s="4"/>
      <c r="S807" s="4"/>
      <c r="T807" s="4"/>
    </row>
    <row r="808" ht="12.0" customHeight="1">
      <c r="C808" s="4"/>
      <c r="D808" s="4"/>
      <c r="E808" s="4"/>
      <c r="F808" s="4"/>
      <c r="G808" s="4"/>
      <c r="J808" s="4"/>
      <c r="K808" s="4"/>
      <c r="L808" s="4"/>
      <c r="R808" s="4"/>
      <c r="S808" s="4"/>
      <c r="T808" s="4"/>
    </row>
    <row r="809" ht="12.0" customHeight="1">
      <c r="C809" s="4"/>
      <c r="D809" s="4"/>
      <c r="E809" s="4"/>
      <c r="F809" s="4"/>
      <c r="G809" s="4"/>
      <c r="J809" s="4"/>
      <c r="K809" s="4"/>
      <c r="L809" s="4"/>
      <c r="R809" s="4"/>
      <c r="S809" s="4"/>
      <c r="T809" s="4"/>
    </row>
    <row r="810" ht="12.0" customHeight="1">
      <c r="C810" s="4"/>
      <c r="D810" s="4"/>
      <c r="E810" s="4"/>
      <c r="F810" s="4"/>
      <c r="G810" s="4"/>
      <c r="J810" s="4"/>
      <c r="K810" s="4"/>
      <c r="L810" s="4"/>
      <c r="R810" s="4"/>
      <c r="S810" s="4"/>
      <c r="T810" s="4"/>
    </row>
    <row r="811" ht="12.0" customHeight="1">
      <c r="C811" s="4"/>
      <c r="D811" s="4"/>
      <c r="E811" s="4"/>
      <c r="F811" s="4"/>
      <c r="G811" s="4"/>
      <c r="J811" s="4"/>
      <c r="K811" s="4"/>
      <c r="L811" s="4"/>
      <c r="R811" s="4"/>
      <c r="S811" s="4"/>
      <c r="T811" s="4"/>
    </row>
    <row r="812" ht="12.0" customHeight="1">
      <c r="C812" s="4"/>
      <c r="D812" s="4"/>
      <c r="E812" s="4"/>
      <c r="F812" s="4"/>
      <c r="G812" s="4"/>
      <c r="J812" s="4"/>
      <c r="K812" s="4"/>
      <c r="L812" s="4"/>
      <c r="R812" s="4"/>
      <c r="S812" s="4"/>
      <c r="T812" s="4"/>
    </row>
    <row r="813" ht="12.0" customHeight="1">
      <c r="C813" s="4"/>
      <c r="D813" s="4"/>
      <c r="E813" s="4"/>
      <c r="F813" s="4"/>
      <c r="G813" s="4"/>
      <c r="J813" s="4"/>
      <c r="K813" s="4"/>
      <c r="L813" s="4"/>
      <c r="R813" s="4"/>
      <c r="S813" s="4"/>
      <c r="T813" s="4"/>
    </row>
    <row r="814" ht="12.0" customHeight="1">
      <c r="C814" s="4"/>
      <c r="D814" s="4"/>
      <c r="E814" s="4"/>
      <c r="F814" s="4"/>
      <c r="G814" s="4"/>
      <c r="J814" s="4"/>
      <c r="K814" s="4"/>
      <c r="L814" s="4"/>
      <c r="R814" s="4"/>
      <c r="S814" s="4"/>
      <c r="T814" s="4"/>
    </row>
    <row r="815" ht="12.0" customHeight="1">
      <c r="C815" s="4"/>
      <c r="D815" s="4"/>
      <c r="E815" s="4"/>
      <c r="F815" s="4"/>
      <c r="G815" s="4"/>
      <c r="J815" s="4"/>
      <c r="K815" s="4"/>
      <c r="L815" s="4"/>
      <c r="R815" s="4"/>
      <c r="S815" s="4"/>
      <c r="T815" s="4"/>
    </row>
    <row r="816" ht="12.0" customHeight="1">
      <c r="C816" s="4"/>
      <c r="D816" s="4"/>
      <c r="E816" s="4"/>
      <c r="F816" s="4"/>
      <c r="G816" s="4"/>
      <c r="J816" s="4"/>
      <c r="K816" s="4"/>
      <c r="L816" s="4"/>
      <c r="R816" s="4"/>
      <c r="S816" s="4"/>
      <c r="T816" s="4"/>
    </row>
    <row r="817" ht="12.0" customHeight="1">
      <c r="C817" s="4"/>
      <c r="D817" s="4"/>
      <c r="E817" s="4"/>
      <c r="F817" s="4"/>
      <c r="G817" s="4"/>
      <c r="J817" s="4"/>
      <c r="K817" s="4"/>
      <c r="L817" s="4"/>
      <c r="R817" s="4"/>
      <c r="S817" s="4"/>
      <c r="T817" s="4"/>
    </row>
    <row r="818" ht="12.0" customHeight="1">
      <c r="C818" s="4"/>
      <c r="D818" s="4"/>
      <c r="E818" s="4"/>
      <c r="F818" s="4"/>
      <c r="G818" s="4"/>
      <c r="J818" s="4"/>
      <c r="K818" s="4"/>
      <c r="L818" s="4"/>
      <c r="R818" s="4"/>
      <c r="S818" s="4"/>
      <c r="T818" s="4"/>
    </row>
    <row r="819" ht="12.0" customHeight="1">
      <c r="C819" s="4"/>
      <c r="D819" s="4"/>
      <c r="E819" s="4"/>
      <c r="F819" s="4"/>
      <c r="G819" s="4"/>
      <c r="J819" s="4"/>
      <c r="K819" s="4"/>
      <c r="L819" s="4"/>
      <c r="R819" s="4"/>
      <c r="S819" s="4"/>
      <c r="T819" s="4"/>
    </row>
    <row r="820" ht="12.0" customHeight="1">
      <c r="C820" s="4"/>
      <c r="D820" s="4"/>
      <c r="E820" s="4"/>
      <c r="F820" s="4"/>
      <c r="G820" s="4"/>
      <c r="J820" s="4"/>
      <c r="K820" s="4"/>
      <c r="L820" s="4"/>
      <c r="R820" s="4"/>
      <c r="S820" s="4"/>
      <c r="T820" s="4"/>
    </row>
    <row r="821" ht="12.0" customHeight="1">
      <c r="C821" s="4"/>
      <c r="D821" s="4"/>
      <c r="E821" s="4"/>
      <c r="F821" s="4"/>
      <c r="G821" s="4"/>
      <c r="J821" s="4"/>
      <c r="K821" s="4"/>
      <c r="L821" s="4"/>
      <c r="R821" s="4"/>
      <c r="S821" s="4"/>
      <c r="T821" s="4"/>
    </row>
    <row r="822" ht="12.0" customHeight="1">
      <c r="C822" s="4"/>
      <c r="D822" s="4"/>
      <c r="E822" s="4"/>
      <c r="F822" s="4"/>
      <c r="G822" s="4"/>
      <c r="J822" s="4"/>
      <c r="K822" s="4"/>
      <c r="L822" s="4"/>
      <c r="R822" s="4"/>
      <c r="S822" s="4"/>
      <c r="T822" s="4"/>
    </row>
    <row r="823" ht="12.0" customHeight="1">
      <c r="C823" s="4"/>
      <c r="D823" s="4"/>
      <c r="E823" s="4"/>
      <c r="F823" s="4"/>
      <c r="G823" s="4"/>
      <c r="J823" s="4"/>
      <c r="K823" s="4"/>
      <c r="L823" s="4"/>
      <c r="R823" s="4"/>
      <c r="S823" s="4"/>
      <c r="T823" s="4"/>
    </row>
    <row r="824" ht="12.0" customHeight="1">
      <c r="C824" s="4"/>
      <c r="D824" s="4"/>
      <c r="E824" s="4"/>
      <c r="F824" s="4"/>
      <c r="G824" s="4"/>
      <c r="J824" s="4"/>
      <c r="K824" s="4"/>
      <c r="L824" s="4"/>
      <c r="R824" s="4"/>
      <c r="S824" s="4"/>
      <c r="T824" s="4"/>
    </row>
    <row r="825" ht="12.0" customHeight="1">
      <c r="C825" s="4"/>
      <c r="D825" s="4"/>
      <c r="E825" s="4"/>
      <c r="F825" s="4"/>
      <c r="G825" s="4"/>
      <c r="J825" s="4"/>
      <c r="K825" s="4"/>
      <c r="L825" s="4"/>
      <c r="R825" s="4"/>
      <c r="S825" s="4"/>
      <c r="T825" s="4"/>
    </row>
    <row r="826" ht="12.0" customHeight="1">
      <c r="C826" s="4"/>
      <c r="D826" s="4"/>
      <c r="E826" s="4"/>
      <c r="F826" s="4"/>
      <c r="G826" s="4"/>
      <c r="J826" s="4"/>
      <c r="K826" s="4"/>
      <c r="L826" s="4"/>
      <c r="R826" s="4"/>
      <c r="S826" s="4"/>
      <c r="T826" s="4"/>
    </row>
    <row r="827" ht="12.0" customHeight="1">
      <c r="C827" s="4"/>
      <c r="D827" s="4"/>
      <c r="E827" s="4"/>
      <c r="F827" s="4"/>
      <c r="G827" s="4"/>
      <c r="J827" s="4"/>
      <c r="K827" s="4"/>
      <c r="L827" s="4"/>
      <c r="R827" s="4"/>
      <c r="S827" s="4"/>
      <c r="T827" s="4"/>
    </row>
    <row r="828" ht="12.0" customHeight="1">
      <c r="C828" s="4"/>
      <c r="D828" s="4"/>
      <c r="E828" s="4"/>
      <c r="F828" s="4"/>
      <c r="G828" s="4"/>
      <c r="J828" s="4"/>
      <c r="K828" s="4"/>
      <c r="L828" s="4"/>
      <c r="R828" s="4"/>
      <c r="S828" s="4"/>
      <c r="T828" s="4"/>
    </row>
    <row r="829" ht="12.0" customHeight="1">
      <c r="C829" s="4"/>
      <c r="D829" s="4"/>
      <c r="E829" s="4"/>
      <c r="F829" s="4"/>
      <c r="G829" s="4"/>
      <c r="J829" s="4"/>
      <c r="K829" s="4"/>
      <c r="L829" s="4"/>
      <c r="R829" s="4"/>
      <c r="S829" s="4"/>
      <c r="T829" s="4"/>
    </row>
    <row r="830" ht="12.0" customHeight="1">
      <c r="C830" s="4"/>
      <c r="D830" s="4"/>
      <c r="E830" s="4"/>
      <c r="F830" s="4"/>
      <c r="G830" s="4"/>
      <c r="J830" s="4"/>
      <c r="K830" s="4"/>
      <c r="L830" s="4"/>
      <c r="R830" s="4"/>
      <c r="S830" s="4"/>
      <c r="T830" s="4"/>
    </row>
    <row r="831" ht="12.0" customHeight="1">
      <c r="C831" s="4"/>
      <c r="D831" s="4"/>
      <c r="E831" s="4"/>
      <c r="F831" s="4"/>
      <c r="G831" s="4"/>
      <c r="J831" s="4"/>
      <c r="K831" s="4"/>
      <c r="L831" s="4"/>
      <c r="R831" s="4"/>
      <c r="S831" s="4"/>
      <c r="T831" s="4"/>
    </row>
    <row r="832" ht="12.0" customHeight="1">
      <c r="C832" s="4"/>
      <c r="D832" s="4"/>
      <c r="E832" s="4"/>
      <c r="F832" s="4"/>
      <c r="G832" s="4"/>
      <c r="J832" s="4"/>
      <c r="K832" s="4"/>
      <c r="L832" s="4"/>
      <c r="R832" s="4"/>
      <c r="S832" s="4"/>
      <c r="T832" s="4"/>
    </row>
    <row r="833" ht="12.0" customHeight="1">
      <c r="C833" s="4"/>
      <c r="D833" s="4"/>
      <c r="E833" s="4"/>
      <c r="F833" s="4"/>
      <c r="G833" s="4"/>
      <c r="J833" s="4"/>
      <c r="K833" s="4"/>
      <c r="L833" s="4"/>
      <c r="R833" s="4"/>
      <c r="S833" s="4"/>
      <c r="T833" s="4"/>
    </row>
    <row r="834" ht="12.0" customHeight="1">
      <c r="C834" s="4"/>
      <c r="D834" s="4"/>
      <c r="E834" s="4"/>
      <c r="F834" s="4"/>
      <c r="G834" s="4"/>
      <c r="J834" s="4"/>
      <c r="K834" s="4"/>
      <c r="L834" s="4"/>
      <c r="R834" s="4"/>
      <c r="S834" s="4"/>
      <c r="T834" s="4"/>
    </row>
    <row r="835" ht="12.0" customHeight="1">
      <c r="C835" s="4"/>
      <c r="D835" s="4"/>
      <c r="E835" s="4"/>
      <c r="F835" s="4"/>
      <c r="G835" s="4"/>
      <c r="J835" s="4"/>
      <c r="K835" s="4"/>
      <c r="L835" s="4"/>
      <c r="R835" s="4"/>
      <c r="S835" s="4"/>
      <c r="T835" s="4"/>
    </row>
    <row r="836" ht="12.0" customHeight="1">
      <c r="C836" s="4"/>
      <c r="D836" s="4"/>
      <c r="E836" s="4"/>
      <c r="F836" s="4"/>
      <c r="G836" s="4"/>
      <c r="J836" s="4"/>
      <c r="K836" s="4"/>
      <c r="L836" s="4"/>
      <c r="R836" s="4"/>
      <c r="S836" s="4"/>
      <c r="T836" s="4"/>
    </row>
    <row r="837" ht="12.0" customHeight="1">
      <c r="C837" s="4"/>
      <c r="D837" s="4"/>
      <c r="E837" s="4"/>
      <c r="F837" s="4"/>
      <c r="G837" s="4"/>
      <c r="J837" s="4"/>
      <c r="K837" s="4"/>
      <c r="L837" s="4"/>
      <c r="R837" s="4"/>
      <c r="S837" s="4"/>
      <c r="T837" s="4"/>
    </row>
    <row r="838" ht="12.0" customHeight="1">
      <c r="C838" s="4"/>
      <c r="D838" s="4"/>
      <c r="E838" s="4"/>
      <c r="F838" s="4"/>
      <c r="G838" s="4"/>
      <c r="J838" s="4"/>
      <c r="K838" s="4"/>
      <c r="L838" s="4"/>
      <c r="R838" s="4"/>
      <c r="S838" s="4"/>
      <c r="T838" s="4"/>
    </row>
    <row r="839" ht="12.0" customHeight="1">
      <c r="C839" s="4"/>
      <c r="D839" s="4"/>
      <c r="E839" s="4"/>
      <c r="F839" s="4"/>
      <c r="G839" s="4"/>
      <c r="J839" s="4"/>
      <c r="K839" s="4"/>
      <c r="L839" s="4"/>
      <c r="R839" s="4"/>
      <c r="S839" s="4"/>
      <c r="T839" s="4"/>
    </row>
    <row r="840" ht="12.0" customHeight="1">
      <c r="C840" s="4"/>
      <c r="D840" s="4"/>
      <c r="E840" s="4"/>
      <c r="F840" s="4"/>
      <c r="G840" s="4"/>
      <c r="J840" s="4"/>
      <c r="K840" s="4"/>
      <c r="L840" s="4"/>
      <c r="R840" s="4"/>
      <c r="S840" s="4"/>
      <c r="T840" s="4"/>
    </row>
    <row r="841" ht="12.0" customHeight="1">
      <c r="C841" s="4"/>
      <c r="D841" s="4"/>
      <c r="E841" s="4"/>
      <c r="F841" s="4"/>
      <c r="G841" s="4"/>
      <c r="J841" s="4"/>
      <c r="K841" s="4"/>
      <c r="L841" s="4"/>
      <c r="R841" s="4"/>
      <c r="S841" s="4"/>
      <c r="T841" s="4"/>
    </row>
    <row r="842" ht="12.0" customHeight="1">
      <c r="C842" s="4"/>
      <c r="D842" s="4"/>
      <c r="E842" s="4"/>
      <c r="F842" s="4"/>
      <c r="G842" s="4"/>
      <c r="J842" s="4"/>
      <c r="K842" s="4"/>
      <c r="L842" s="4"/>
      <c r="R842" s="4"/>
      <c r="S842" s="4"/>
      <c r="T842" s="4"/>
    </row>
    <row r="843" ht="12.0" customHeight="1">
      <c r="C843" s="4"/>
      <c r="D843" s="4"/>
      <c r="E843" s="4"/>
      <c r="F843" s="4"/>
      <c r="G843" s="4"/>
      <c r="J843" s="4"/>
      <c r="K843" s="4"/>
      <c r="L843" s="4"/>
      <c r="R843" s="4"/>
      <c r="S843" s="4"/>
      <c r="T843" s="4"/>
    </row>
    <row r="844" ht="12.0" customHeight="1">
      <c r="C844" s="4"/>
      <c r="D844" s="4"/>
      <c r="E844" s="4"/>
      <c r="F844" s="4"/>
      <c r="G844" s="4"/>
      <c r="J844" s="4"/>
      <c r="K844" s="4"/>
      <c r="L844" s="4"/>
      <c r="R844" s="4"/>
      <c r="S844" s="4"/>
      <c r="T844" s="4"/>
    </row>
    <row r="845" ht="12.0" customHeight="1">
      <c r="C845" s="4"/>
      <c r="D845" s="4"/>
      <c r="E845" s="4"/>
      <c r="F845" s="4"/>
      <c r="G845" s="4"/>
      <c r="J845" s="4"/>
      <c r="K845" s="4"/>
      <c r="L845" s="4"/>
      <c r="R845" s="4"/>
      <c r="S845" s="4"/>
      <c r="T845" s="4"/>
    </row>
    <row r="846" ht="12.0" customHeight="1">
      <c r="C846" s="4"/>
      <c r="D846" s="4"/>
      <c r="E846" s="4"/>
      <c r="F846" s="4"/>
      <c r="G846" s="4"/>
      <c r="J846" s="4"/>
      <c r="K846" s="4"/>
      <c r="L846" s="4"/>
      <c r="R846" s="4"/>
      <c r="S846" s="4"/>
      <c r="T846" s="4"/>
    </row>
    <row r="847" ht="12.0" customHeight="1">
      <c r="C847" s="4"/>
      <c r="D847" s="4"/>
      <c r="E847" s="4"/>
      <c r="F847" s="4"/>
      <c r="G847" s="4"/>
      <c r="J847" s="4"/>
      <c r="K847" s="4"/>
      <c r="L847" s="4"/>
      <c r="R847" s="4"/>
      <c r="S847" s="4"/>
      <c r="T847" s="4"/>
    </row>
    <row r="848" ht="12.0" customHeight="1">
      <c r="C848" s="4"/>
      <c r="D848" s="4"/>
      <c r="E848" s="4"/>
      <c r="F848" s="4"/>
      <c r="G848" s="4"/>
      <c r="J848" s="4"/>
      <c r="K848" s="4"/>
      <c r="L848" s="4"/>
      <c r="R848" s="4"/>
      <c r="S848" s="4"/>
      <c r="T848" s="4"/>
    </row>
    <row r="849" ht="12.0" customHeight="1">
      <c r="C849" s="4"/>
      <c r="D849" s="4"/>
      <c r="E849" s="4"/>
      <c r="F849" s="4"/>
      <c r="G849" s="4"/>
      <c r="J849" s="4"/>
      <c r="K849" s="4"/>
      <c r="L849" s="4"/>
      <c r="R849" s="4"/>
      <c r="S849" s="4"/>
      <c r="T849" s="4"/>
    </row>
    <row r="850" ht="12.0" customHeight="1">
      <c r="C850" s="4"/>
      <c r="D850" s="4"/>
      <c r="E850" s="4"/>
      <c r="F850" s="4"/>
      <c r="G850" s="4"/>
      <c r="J850" s="4"/>
      <c r="K850" s="4"/>
      <c r="L850" s="4"/>
      <c r="R850" s="4"/>
      <c r="S850" s="4"/>
      <c r="T850" s="4"/>
    </row>
    <row r="851" ht="12.0" customHeight="1">
      <c r="C851" s="4"/>
      <c r="D851" s="4"/>
      <c r="E851" s="4"/>
      <c r="F851" s="4"/>
      <c r="G851" s="4"/>
      <c r="J851" s="4"/>
      <c r="K851" s="4"/>
      <c r="L851" s="4"/>
      <c r="R851" s="4"/>
      <c r="S851" s="4"/>
      <c r="T851" s="4"/>
    </row>
    <row r="852" ht="12.0" customHeight="1">
      <c r="C852" s="4"/>
      <c r="D852" s="4"/>
      <c r="E852" s="4"/>
      <c r="F852" s="4"/>
      <c r="G852" s="4"/>
      <c r="J852" s="4"/>
      <c r="K852" s="4"/>
      <c r="L852" s="4"/>
      <c r="R852" s="4"/>
      <c r="S852" s="4"/>
      <c r="T852" s="4"/>
    </row>
    <row r="853" ht="12.0" customHeight="1">
      <c r="C853" s="4"/>
      <c r="D853" s="4"/>
      <c r="E853" s="4"/>
      <c r="F853" s="4"/>
      <c r="G853" s="4"/>
      <c r="J853" s="4"/>
      <c r="K853" s="4"/>
      <c r="L853" s="4"/>
      <c r="R853" s="4"/>
      <c r="S853" s="4"/>
      <c r="T853" s="4"/>
    </row>
    <row r="854" ht="12.0" customHeight="1">
      <c r="C854" s="4"/>
      <c r="D854" s="4"/>
      <c r="E854" s="4"/>
      <c r="F854" s="4"/>
      <c r="G854" s="4"/>
      <c r="J854" s="4"/>
      <c r="K854" s="4"/>
      <c r="L854" s="4"/>
      <c r="R854" s="4"/>
      <c r="S854" s="4"/>
      <c r="T854" s="4"/>
    </row>
    <row r="855" ht="12.0" customHeight="1">
      <c r="C855" s="4"/>
      <c r="D855" s="4"/>
      <c r="E855" s="4"/>
      <c r="F855" s="4"/>
      <c r="G855" s="4"/>
      <c r="J855" s="4"/>
      <c r="K855" s="4"/>
      <c r="L855" s="4"/>
      <c r="R855" s="4"/>
      <c r="S855" s="4"/>
      <c r="T855" s="4"/>
    </row>
    <row r="856" ht="12.0" customHeight="1">
      <c r="C856" s="4"/>
      <c r="D856" s="4"/>
      <c r="E856" s="4"/>
      <c r="F856" s="4"/>
      <c r="G856" s="4"/>
      <c r="J856" s="4"/>
      <c r="K856" s="4"/>
      <c r="L856" s="4"/>
      <c r="R856" s="4"/>
      <c r="S856" s="4"/>
      <c r="T856" s="4"/>
    </row>
    <row r="857" ht="12.0" customHeight="1">
      <c r="C857" s="4"/>
      <c r="D857" s="4"/>
      <c r="E857" s="4"/>
      <c r="F857" s="4"/>
      <c r="G857" s="4"/>
      <c r="J857" s="4"/>
      <c r="K857" s="4"/>
      <c r="L857" s="4"/>
      <c r="R857" s="4"/>
      <c r="S857" s="4"/>
      <c r="T857" s="4"/>
    </row>
    <row r="858" ht="12.0" customHeight="1">
      <c r="C858" s="4"/>
      <c r="D858" s="4"/>
      <c r="E858" s="4"/>
      <c r="F858" s="4"/>
      <c r="G858" s="4"/>
      <c r="J858" s="4"/>
      <c r="K858" s="4"/>
      <c r="L858" s="4"/>
      <c r="R858" s="4"/>
      <c r="S858" s="4"/>
      <c r="T858" s="4"/>
    </row>
    <row r="859" ht="12.0" customHeight="1">
      <c r="C859" s="4"/>
      <c r="D859" s="4"/>
      <c r="E859" s="4"/>
      <c r="F859" s="4"/>
      <c r="G859" s="4"/>
      <c r="J859" s="4"/>
      <c r="K859" s="4"/>
      <c r="L859" s="4"/>
      <c r="R859" s="4"/>
      <c r="S859" s="4"/>
      <c r="T859" s="4"/>
    </row>
    <row r="860" ht="12.0" customHeight="1">
      <c r="C860" s="4"/>
      <c r="D860" s="4"/>
      <c r="E860" s="4"/>
      <c r="F860" s="4"/>
      <c r="G860" s="4"/>
      <c r="J860" s="4"/>
      <c r="K860" s="4"/>
      <c r="L860" s="4"/>
      <c r="R860" s="4"/>
      <c r="S860" s="4"/>
      <c r="T860" s="4"/>
    </row>
    <row r="861" ht="12.0" customHeight="1">
      <c r="C861" s="4"/>
      <c r="D861" s="4"/>
      <c r="E861" s="4"/>
      <c r="F861" s="4"/>
      <c r="G861" s="4"/>
      <c r="J861" s="4"/>
      <c r="K861" s="4"/>
      <c r="L861" s="4"/>
      <c r="R861" s="4"/>
      <c r="S861" s="4"/>
      <c r="T861" s="4"/>
    </row>
    <row r="862" ht="12.0" customHeight="1">
      <c r="C862" s="4"/>
      <c r="D862" s="4"/>
      <c r="E862" s="4"/>
      <c r="F862" s="4"/>
      <c r="G862" s="4"/>
      <c r="J862" s="4"/>
      <c r="K862" s="4"/>
      <c r="L862" s="4"/>
      <c r="R862" s="4"/>
      <c r="S862" s="4"/>
      <c r="T862" s="4"/>
    </row>
    <row r="863" ht="12.0" customHeight="1">
      <c r="C863" s="4"/>
      <c r="D863" s="4"/>
      <c r="E863" s="4"/>
      <c r="F863" s="4"/>
      <c r="G863" s="4"/>
      <c r="J863" s="4"/>
      <c r="K863" s="4"/>
      <c r="L863" s="4"/>
      <c r="R863" s="4"/>
      <c r="S863" s="4"/>
      <c r="T863" s="4"/>
    </row>
    <row r="864" ht="12.0" customHeight="1">
      <c r="C864" s="4"/>
      <c r="D864" s="4"/>
      <c r="E864" s="4"/>
      <c r="F864" s="4"/>
      <c r="G864" s="4"/>
      <c r="J864" s="4"/>
      <c r="K864" s="4"/>
      <c r="L864" s="4"/>
      <c r="R864" s="4"/>
      <c r="S864" s="4"/>
      <c r="T864" s="4"/>
    </row>
    <row r="865" ht="12.0" customHeight="1">
      <c r="C865" s="4"/>
      <c r="D865" s="4"/>
      <c r="E865" s="4"/>
      <c r="F865" s="4"/>
      <c r="G865" s="4"/>
      <c r="J865" s="4"/>
      <c r="K865" s="4"/>
      <c r="L865" s="4"/>
      <c r="R865" s="4"/>
      <c r="S865" s="4"/>
      <c r="T865" s="4"/>
    </row>
    <row r="866" ht="12.0" customHeight="1">
      <c r="C866" s="4"/>
      <c r="D866" s="4"/>
      <c r="E866" s="4"/>
      <c r="F866" s="4"/>
      <c r="G866" s="4"/>
      <c r="J866" s="4"/>
      <c r="K866" s="4"/>
      <c r="L866" s="4"/>
      <c r="R866" s="4"/>
      <c r="S866" s="4"/>
      <c r="T866" s="4"/>
    </row>
    <row r="867" ht="12.0" customHeight="1">
      <c r="C867" s="4"/>
      <c r="D867" s="4"/>
      <c r="E867" s="4"/>
      <c r="F867" s="4"/>
      <c r="G867" s="4"/>
      <c r="J867" s="4"/>
      <c r="K867" s="4"/>
      <c r="L867" s="4"/>
      <c r="R867" s="4"/>
      <c r="S867" s="4"/>
      <c r="T867" s="4"/>
    </row>
    <row r="868" ht="12.0" customHeight="1">
      <c r="C868" s="4"/>
      <c r="D868" s="4"/>
      <c r="E868" s="4"/>
      <c r="F868" s="4"/>
      <c r="G868" s="4"/>
      <c r="J868" s="4"/>
      <c r="K868" s="4"/>
      <c r="L868" s="4"/>
      <c r="R868" s="4"/>
      <c r="S868" s="4"/>
      <c r="T868" s="4"/>
    </row>
    <row r="869" ht="12.0" customHeight="1">
      <c r="C869" s="4"/>
      <c r="D869" s="4"/>
      <c r="E869" s="4"/>
      <c r="F869" s="4"/>
      <c r="G869" s="4"/>
      <c r="J869" s="4"/>
      <c r="K869" s="4"/>
      <c r="L869" s="4"/>
      <c r="R869" s="4"/>
      <c r="S869" s="4"/>
      <c r="T869" s="4"/>
    </row>
    <row r="870" ht="12.0" customHeight="1">
      <c r="C870" s="4"/>
      <c r="D870" s="4"/>
      <c r="E870" s="4"/>
      <c r="F870" s="4"/>
      <c r="G870" s="4"/>
      <c r="J870" s="4"/>
      <c r="K870" s="4"/>
      <c r="L870" s="4"/>
      <c r="R870" s="4"/>
      <c r="S870" s="4"/>
      <c r="T870" s="4"/>
    </row>
    <row r="871" ht="12.0" customHeight="1">
      <c r="C871" s="4"/>
      <c r="D871" s="4"/>
      <c r="E871" s="4"/>
      <c r="F871" s="4"/>
      <c r="G871" s="4"/>
      <c r="J871" s="4"/>
      <c r="K871" s="4"/>
      <c r="L871" s="4"/>
      <c r="R871" s="4"/>
      <c r="S871" s="4"/>
      <c r="T871" s="4"/>
    </row>
    <row r="872" ht="12.0" customHeight="1">
      <c r="C872" s="4"/>
      <c r="D872" s="4"/>
      <c r="E872" s="4"/>
      <c r="F872" s="4"/>
      <c r="G872" s="4"/>
      <c r="J872" s="4"/>
      <c r="K872" s="4"/>
      <c r="L872" s="4"/>
      <c r="R872" s="4"/>
      <c r="S872" s="4"/>
      <c r="T872" s="4"/>
    </row>
    <row r="873" ht="12.0" customHeight="1">
      <c r="C873" s="4"/>
      <c r="D873" s="4"/>
      <c r="E873" s="4"/>
      <c r="F873" s="4"/>
      <c r="G873" s="4"/>
      <c r="J873" s="4"/>
      <c r="K873" s="4"/>
      <c r="L873" s="4"/>
      <c r="R873" s="4"/>
      <c r="S873" s="4"/>
      <c r="T873" s="4"/>
    </row>
    <row r="874" ht="12.0" customHeight="1">
      <c r="C874" s="4"/>
      <c r="D874" s="4"/>
      <c r="E874" s="4"/>
      <c r="F874" s="4"/>
      <c r="G874" s="4"/>
      <c r="J874" s="4"/>
      <c r="K874" s="4"/>
      <c r="L874" s="4"/>
      <c r="R874" s="4"/>
      <c r="S874" s="4"/>
      <c r="T874" s="4"/>
    </row>
    <row r="875" ht="12.0" customHeight="1">
      <c r="C875" s="4"/>
      <c r="D875" s="4"/>
      <c r="E875" s="4"/>
      <c r="F875" s="4"/>
      <c r="G875" s="4"/>
      <c r="J875" s="4"/>
      <c r="K875" s="4"/>
      <c r="L875" s="4"/>
      <c r="R875" s="4"/>
      <c r="S875" s="4"/>
      <c r="T875" s="4"/>
    </row>
    <row r="876" ht="12.0" customHeight="1">
      <c r="C876" s="4"/>
      <c r="D876" s="4"/>
      <c r="E876" s="4"/>
      <c r="F876" s="4"/>
      <c r="G876" s="4"/>
      <c r="J876" s="4"/>
      <c r="K876" s="4"/>
      <c r="L876" s="4"/>
      <c r="R876" s="4"/>
      <c r="S876" s="4"/>
      <c r="T876" s="4"/>
    </row>
    <row r="877" ht="12.0" customHeight="1">
      <c r="C877" s="4"/>
      <c r="D877" s="4"/>
      <c r="E877" s="4"/>
      <c r="F877" s="4"/>
      <c r="G877" s="4"/>
      <c r="J877" s="4"/>
      <c r="K877" s="4"/>
      <c r="L877" s="4"/>
      <c r="R877" s="4"/>
      <c r="S877" s="4"/>
      <c r="T877" s="4"/>
    </row>
    <row r="878" ht="12.0" customHeight="1">
      <c r="C878" s="4"/>
      <c r="D878" s="4"/>
      <c r="E878" s="4"/>
      <c r="F878" s="4"/>
      <c r="G878" s="4"/>
      <c r="J878" s="4"/>
      <c r="K878" s="4"/>
      <c r="L878" s="4"/>
      <c r="R878" s="4"/>
      <c r="S878" s="4"/>
      <c r="T878" s="4"/>
    </row>
    <row r="879" ht="12.0" customHeight="1">
      <c r="C879" s="4"/>
      <c r="D879" s="4"/>
      <c r="E879" s="4"/>
      <c r="F879" s="4"/>
      <c r="G879" s="4"/>
      <c r="J879" s="4"/>
      <c r="K879" s="4"/>
      <c r="L879" s="4"/>
      <c r="R879" s="4"/>
      <c r="S879" s="4"/>
      <c r="T879" s="4"/>
    </row>
    <row r="880" ht="12.0" customHeight="1">
      <c r="C880" s="4"/>
      <c r="D880" s="4"/>
      <c r="E880" s="4"/>
      <c r="F880" s="4"/>
      <c r="G880" s="4"/>
      <c r="J880" s="4"/>
      <c r="K880" s="4"/>
      <c r="L880" s="4"/>
      <c r="R880" s="4"/>
      <c r="S880" s="4"/>
      <c r="T880" s="4"/>
    </row>
    <row r="881" ht="12.0" customHeight="1">
      <c r="C881" s="4"/>
      <c r="D881" s="4"/>
      <c r="E881" s="4"/>
      <c r="F881" s="4"/>
      <c r="G881" s="4"/>
      <c r="J881" s="4"/>
      <c r="K881" s="4"/>
      <c r="L881" s="4"/>
      <c r="R881" s="4"/>
      <c r="S881" s="4"/>
      <c r="T881" s="4"/>
    </row>
    <row r="882" ht="12.0" customHeight="1">
      <c r="C882" s="4"/>
      <c r="D882" s="4"/>
      <c r="E882" s="4"/>
      <c r="F882" s="4"/>
      <c r="G882" s="4"/>
      <c r="J882" s="4"/>
      <c r="K882" s="4"/>
      <c r="L882" s="4"/>
      <c r="R882" s="4"/>
      <c r="S882" s="4"/>
      <c r="T882" s="4"/>
    </row>
    <row r="883" ht="12.0" customHeight="1">
      <c r="C883" s="4"/>
      <c r="D883" s="4"/>
      <c r="E883" s="4"/>
      <c r="F883" s="4"/>
      <c r="G883" s="4"/>
      <c r="J883" s="4"/>
      <c r="K883" s="4"/>
      <c r="L883" s="4"/>
      <c r="R883" s="4"/>
      <c r="S883" s="4"/>
      <c r="T883" s="4"/>
    </row>
    <row r="884" ht="12.0" customHeight="1">
      <c r="C884" s="4"/>
      <c r="D884" s="4"/>
      <c r="E884" s="4"/>
      <c r="F884" s="4"/>
      <c r="G884" s="4"/>
      <c r="J884" s="4"/>
      <c r="K884" s="4"/>
      <c r="L884" s="4"/>
      <c r="R884" s="4"/>
      <c r="S884" s="4"/>
      <c r="T884" s="4"/>
    </row>
    <row r="885" ht="12.0" customHeight="1">
      <c r="C885" s="4"/>
      <c r="D885" s="4"/>
      <c r="E885" s="4"/>
      <c r="F885" s="4"/>
      <c r="G885" s="4"/>
      <c r="J885" s="4"/>
      <c r="K885" s="4"/>
      <c r="L885" s="4"/>
      <c r="R885" s="4"/>
      <c r="S885" s="4"/>
      <c r="T885" s="4"/>
    </row>
    <row r="886" ht="12.0" customHeight="1">
      <c r="C886" s="4"/>
      <c r="D886" s="4"/>
      <c r="E886" s="4"/>
      <c r="F886" s="4"/>
      <c r="G886" s="4"/>
      <c r="J886" s="4"/>
      <c r="K886" s="4"/>
      <c r="L886" s="4"/>
      <c r="R886" s="4"/>
      <c r="S886" s="4"/>
      <c r="T886" s="4"/>
    </row>
    <row r="887" ht="12.0" customHeight="1">
      <c r="C887" s="4"/>
      <c r="D887" s="4"/>
      <c r="E887" s="4"/>
      <c r="F887" s="4"/>
      <c r="G887" s="4"/>
      <c r="J887" s="4"/>
      <c r="K887" s="4"/>
      <c r="L887" s="4"/>
      <c r="R887" s="4"/>
      <c r="S887" s="4"/>
      <c r="T887" s="4"/>
    </row>
    <row r="888" ht="12.0" customHeight="1">
      <c r="C888" s="4"/>
      <c r="D888" s="4"/>
      <c r="E888" s="4"/>
      <c r="F888" s="4"/>
      <c r="G888" s="4"/>
      <c r="J888" s="4"/>
      <c r="K888" s="4"/>
      <c r="L888" s="4"/>
      <c r="R888" s="4"/>
      <c r="S888" s="4"/>
      <c r="T888" s="4"/>
    </row>
    <row r="889" ht="12.0" customHeight="1">
      <c r="C889" s="4"/>
      <c r="D889" s="4"/>
      <c r="E889" s="4"/>
      <c r="F889" s="4"/>
      <c r="G889" s="4"/>
      <c r="J889" s="4"/>
      <c r="K889" s="4"/>
      <c r="L889" s="4"/>
      <c r="R889" s="4"/>
      <c r="S889" s="4"/>
      <c r="T889" s="4"/>
    </row>
    <row r="890" ht="12.0" customHeight="1">
      <c r="C890" s="4"/>
      <c r="D890" s="4"/>
      <c r="E890" s="4"/>
      <c r="F890" s="4"/>
      <c r="G890" s="4"/>
      <c r="J890" s="4"/>
      <c r="K890" s="4"/>
      <c r="L890" s="4"/>
      <c r="R890" s="4"/>
      <c r="S890" s="4"/>
      <c r="T890" s="4"/>
    </row>
    <row r="891" ht="12.0" customHeight="1">
      <c r="C891" s="4"/>
      <c r="D891" s="4"/>
      <c r="E891" s="4"/>
      <c r="F891" s="4"/>
      <c r="G891" s="4"/>
      <c r="J891" s="4"/>
      <c r="K891" s="4"/>
      <c r="L891" s="4"/>
      <c r="R891" s="4"/>
      <c r="S891" s="4"/>
      <c r="T891" s="4"/>
    </row>
    <row r="892" ht="12.0" customHeight="1">
      <c r="C892" s="4"/>
      <c r="D892" s="4"/>
      <c r="E892" s="4"/>
      <c r="F892" s="4"/>
      <c r="G892" s="4"/>
      <c r="J892" s="4"/>
      <c r="K892" s="4"/>
      <c r="L892" s="4"/>
      <c r="R892" s="4"/>
      <c r="S892" s="4"/>
      <c r="T892" s="4"/>
    </row>
    <row r="893" ht="12.0" customHeight="1">
      <c r="C893" s="4"/>
      <c r="D893" s="4"/>
      <c r="E893" s="4"/>
      <c r="F893" s="4"/>
      <c r="G893" s="4"/>
      <c r="J893" s="4"/>
      <c r="K893" s="4"/>
      <c r="L893" s="4"/>
      <c r="R893" s="4"/>
      <c r="S893" s="4"/>
      <c r="T893" s="4"/>
    </row>
    <row r="894" ht="12.0" customHeight="1">
      <c r="C894" s="4"/>
      <c r="D894" s="4"/>
      <c r="E894" s="4"/>
      <c r="F894" s="4"/>
      <c r="G894" s="4"/>
      <c r="J894" s="4"/>
      <c r="K894" s="4"/>
      <c r="L894" s="4"/>
      <c r="R894" s="4"/>
      <c r="S894" s="4"/>
      <c r="T894" s="4"/>
    </row>
    <row r="895" ht="12.0" customHeight="1">
      <c r="C895" s="4"/>
      <c r="D895" s="4"/>
      <c r="E895" s="4"/>
      <c r="F895" s="4"/>
      <c r="G895" s="4"/>
      <c r="J895" s="4"/>
      <c r="K895" s="4"/>
      <c r="L895" s="4"/>
      <c r="R895" s="4"/>
      <c r="S895" s="4"/>
      <c r="T895" s="4"/>
    </row>
    <row r="896" ht="12.0" customHeight="1">
      <c r="C896" s="4"/>
      <c r="D896" s="4"/>
      <c r="E896" s="4"/>
      <c r="F896" s="4"/>
      <c r="G896" s="4"/>
      <c r="J896" s="4"/>
      <c r="K896" s="4"/>
      <c r="L896" s="4"/>
      <c r="R896" s="4"/>
      <c r="S896" s="4"/>
      <c r="T896" s="4"/>
    </row>
    <row r="897" ht="12.0" customHeight="1">
      <c r="C897" s="4"/>
      <c r="D897" s="4"/>
      <c r="E897" s="4"/>
      <c r="F897" s="4"/>
      <c r="G897" s="4"/>
      <c r="J897" s="4"/>
      <c r="K897" s="4"/>
      <c r="L897" s="4"/>
      <c r="R897" s="4"/>
      <c r="S897" s="4"/>
      <c r="T897" s="4"/>
    </row>
    <row r="898" ht="12.0" customHeight="1">
      <c r="C898" s="4"/>
      <c r="D898" s="4"/>
      <c r="E898" s="4"/>
      <c r="F898" s="4"/>
      <c r="G898" s="4"/>
      <c r="J898" s="4"/>
      <c r="K898" s="4"/>
      <c r="L898" s="4"/>
      <c r="R898" s="4"/>
      <c r="S898" s="4"/>
      <c r="T898" s="4"/>
    </row>
    <row r="899" ht="12.0" customHeight="1">
      <c r="C899" s="4"/>
      <c r="D899" s="4"/>
      <c r="E899" s="4"/>
      <c r="F899" s="4"/>
      <c r="G899" s="4"/>
      <c r="J899" s="4"/>
      <c r="K899" s="4"/>
      <c r="L899" s="4"/>
      <c r="R899" s="4"/>
      <c r="S899" s="4"/>
      <c r="T899" s="4"/>
    </row>
    <row r="900" ht="12.0" customHeight="1">
      <c r="C900" s="4"/>
      <c r="D900" s="4"/>
      <c r="E900" s="4"/>
      <c r="F900" s="4"/>
      <c r="G900" s="4"/>
      <c r="J900" s="4"/>
      <c r="K900" s="4"/>
      <c r="L900" s="4"/>
      <c r="R900" s="4"/>
      <c r="S900" s="4"/>
      <c r="T900" s="4"/>
    </row>
    <row r="901" ht="12.0" customHeight="1">
      <c r="C901" s="4"/>
      <c r="D901" s="4"/>
      <c r="E901" s="4"/>
      <c r="F901" s="4"/>
      <c r="G901" s="4"/>
      <c r="J901" s="4"/>
      <c r="K901" s="4"/>
      <c r="L901" s="4"/>
      <c r="R901" s="4"/>
      <c r="S901" s="4"/>
      <c r="T901" s="4"/>
    </row>
    <row r="902" ht="12.0" customHeight="1">
      <c r="C902" s="4"/>
      <c r="D902" s="4"/>
      <c r="E902" s="4"/>
      <c r="F902" s="4"/>
      <c r="G902" s="4"/>
      <c r="J902" s="4"/>
      <c r="K902" s="4"/>
      <c r="L902" s="4"/>
      <c r="R902" s="4"/>
      <c r="S902" s="4"/>
      <c r="T902" s="4"/>
    </row>
    <row r="903" ht="12.0" customHeight="1">
      <c r="C903" s="4"/>
      <c r="D903" s="4"/>
      <c r="E903" s="4"/>
      <c r="F903" s="4"/>
      <c r="G903" s="4"/>
      <c r="J903" s="4"/>
      <c r="K903" s="4"/>
      <c r="L903" s="4"/>
      <c r="R903" s="4"/>
      <c r="S903" s="4"/>
      <c r="T903" s="4"/>
    </row>
    <row r="904" ht="12.0" customHeight="1">
      <c r="C904" s="4"/>
      <c r="D904" s="4"/>
      <c r="E904" s="4"/>
      <c r="F904" s="4"/>
      <c r="G904" s="4"/>
      <c r="J904" s="4"/>
      <c r="K904" s="4"/>
      <c r="L904" s="4"/>
      <c r="R904" s="4"/>
      <c r="S904" s="4"/>
      <c r="T904" s="4"/>
    </row>
    <row r="905" ht="12.0" customHeight="1">
      <c r="C905" s="4"/>
      <c r="D905" s="4"/>
      <c r="E905" s="4"/>
      <c r="F905" s="4"/>
      <c r="G905" s="4"/>
      <c r="J905" s="4"/>
      <c r="K905" s="4"/>
      <c r="L905" s="4"/>
      <c r="R905" s="4"/>
      <c r="S905" s="4"/>
      <c r="T905" s="4"/>
    </row>
    <row r="906" ht="12.0" customHeight="1">
      <c r="C906" s="4"/>
      <c r="D906" s="4"/>
      <c r="E906" s="4"/>
      <c r="F906" s="4"/>
      <c r="G906" s="4"/>
      <c r="J906" s="4"/>
      <c r="K906" s="4"/>
      <c r="L906" s="4"/>
      <c r="R906" s="4"/>
      <c r="S906" s="4"/>
      <c r="T906" s="4"/>
    </row>
    <row r="907" ht="12.0" customHeight="1">
      <c r="C907" s="4"/>
      <c r="D907" s="4"/>
      <c r="E907" s="4"/>
      <c r="F907" s="4"/>
      <c r="G907" s="4"/>
      <c r="J907" s="4"/>
      <c r="K907" s="4"/>
      <c r="L907" s="4"/>
      <c r="R907" s="4"/>
      <c r="S907" s="4"/>
      <c r="T907" s="4"/>
    </row>
    <row r="908" ht="12.0" customHeight="1">
      <c r="C908" s="4"/>
      <c r="D908" s="4"/>
      <c r="E908" s="4"/>
      <c r="F908" s="4"/>
      <c r="G908" s="4"/>
      <c r="J908" s="4"/>
      <c r="K908" s="4"/>
      <c r="L908" s="4"/>
      <c r="R908" s="4"/>
      <c r="S908" s="4"/>
      <c r="T908" s="4"/>
    </row>
    <row r="909" ht="12.0" customHeight="1">
      <c r="C909" s="4"/>
      <c r="D909" s="4"/>
      <c r="E909" s="4"/>
      <c r="F909" s="4"/>
      <c r="G909" s="4"/>
      <c r="J909" s="4"/>
      <c r="K909" s="4"/>
      <c r="L909" s="4"/>
      <c r="R909" s="4"/>
      <c r="S909" s="4"/>
      <c r="T909" s="4"/>
    </row>
    <row r="910" ht="12.0" customHeight="1">
      <c r="C910" s="4"/>
      <c r="D910" s="4"/>
      <c r="E910" s="4"/>
      <c r="F910" s="4"/>
      <c r="G910" s="4"/>
      <c r="J910" s="4"/>
      <c r="K910" s="4"/>
      <c r="L910" s="4"/>
      <c r="R910" s="4"/>
      <c r="S910" s="4"/>
      <c r="T910" s="4"/>
    </row>
    <row r="911" ht="12.0" customHeight="1">
      <c r="C911" s="4"/>
      <c r="D911" s="4"/>
      <c r="E911" s="4"/>
      <c r="F911" s="4"/>
      <c r="G911" s="4"/>
      <c r="J911" s="4"/>
      <c r="K911" s="4"/>
      <c r="L911" s="4"/>
      <c r="R911" s="4"/>
      <c r="S911" s="4"/>
      <c r="T911" s="4"/>
    </row>
    <row r="912" ht="12.0" customHeight="1">
      <c r="C912" s="4"/>
      <c r="D912" s="4"/>
      <c r="E912" s="4"/>
      <c r="F912" s="4"/>
      <c r="G912" s="4"/>
      <c r="J912" s="4"/>
      <c r="K912" s="4"/>
      <c r="L912" s="4"/>
      <c r="R912" s="4"/>
      <c r="S912" s="4"/>
      <c r="T912" s="4"/>
    </row>
    <row r="913" ht="12.0" customHeight="1">
      <c r="C913" s="4"/>
      <c r="D913" s="4"/>
      <c r="E913" s="4"/>
      <c r="F913" s="4"/>
      <c r="G913" s="4"/>
      <c r="J913" s="4"/>
      <c r="K913" s="4"/>
      <c r="L913" s="4"/>
      <c r="R913" s="4"/>
      <c r="S913" s="4"/>
      <c r="T913" s="4"/>
    </row>
    <row r="914" ht="12.0" customHeight="1">
      <c r="C914" s="4"/>
      <c r="D914" s="4"/>
      <c r="E914" s="4"/>
      <c r="F914" s="4"/>
      <c r="G914" s="4"/>
      <c r="J914" s="4"/>
      <c r="K914" s="4"/>
      <c r="L914" s="4"/>
      <c r="R914" s="4"/>
      <c r="S914" s="4"/>
      <c r="T914" s="4"/>
    </row>
    <row r="915" ht="12.0" customHeight="1">
      <c r="C915" s="4"/>
      <c r="D915" s="4"/>
      <c r="E915" s="4"/>
      <c r="F915" s="4"/>
      <c r="G915" s="4"/>
      <c r="J915" s="4"/>
      <c r="K915" s="4"/>
      <c r="L915" s="4"/>
      <c r="R915" s="4"/>
      <c r="S915" s="4"/>
      <c r="T915" s="4"/>
    </row>
    <row r="916" ht="12.0" customHeight="1">
      <c r="C916" s="4"/>
      <c r="D916" s="4"/>
      <c r="E916" s="4"/>
      <c r="F916" s="4"/>
      <c r="G916" s="4"/>
      <c r="J916" s="4"/>
      <c r="K916" s="4"/>
      <c r="L916" s="4"/>
      <c r="R916" s="4"/>
      <c r="S916" s="4"/>
      <c r="T916" s="4"/>
    </row>
    <row r="917" ht="12.0" customHeight="1">
      <c r="C917" s="4"/>
      <c r="D917" s="4"/>
      <c r="E917" s="4"/>
      <c r="F917" s="4"/>
      <c r="G917" s="4"/>
      <c r="J917" s="4"/>
      <c r="K917" s="4"/>
      <c r="L917" s="4"/>
      <c r="R917" s="4"/>
      <c r="S917" s="4"/>
      <c r="T917" s="4"/>
    </row>
    <row r="918" ht="12.0" customHeight="1">
      <c r="C918" s="4"/>
      <c r="D918" s="4"/>
      <c r="E918" s="4"/>
      <c r="F918" s="4"/>
      <c r="G918" s="4"/>
      <c r="J918" s="4"/>
      <c r="K918" s="4"/>
      <c r="L918" s="4"/>
      <c r="R918" s="4"/>
      <c r="S918" s="4"/>
      <c r="T918" s="4"/>
    </row>
    <row r="919" ht="12.0" customHeight="1">
      <c r="C919" s="4"/>
      <c r="D919" s="4"/>
      <c r="E919" s="4"/>
      <c r="F919" s="4"/>
      <c r="G919" s="4"/>
      <c r="J919" s="4"/>
      <c r="K919" s="4"/>
      <c r="L919" s="4"/>
      <c r="R919" s="4"/>
      <c r="S919" s="4"/>
      <c r="T919" s="4"/>
    </row>
    <row r="920" ht="12.0" customHeight="1">
      <c r="C920" s="4"/>
      <c r="D920" s="4"/>
      <c r="E920" s="4"/>
      <c r="F920" s="4"/>
      <c r="G920" s="4"/>
      <c r="J920" s="4"/>
      <c r="K920" s="4"/>
      <c r="L920" s="4"/>
      <c r="R920" s="4"/>
      <c r="S920" s="4"/>
      <c r="T920" s="4"/>
    </row>
    <row r="921" ht="12.0" customHeight="1">
      <c r="C921" s="4"/>
      <c r="D921" s="4"/>
      <c r="E921" s="4"/>
      <c r="F921" s="4"/>
      <c r="G921" s="4"/>
      <c r="J921" s="4"/>
      <c r="K921" s="4"/>
      <c r="L921" s="4"/>
      <c r="R921" s="4"/>
      <c r="S921" s="4"/>
      <c r="T921" s="4"/>
    </row>
    <row r="922" ht="12.0" customHeight="1">
      <c r="C922" s="4"/>
      <c r="D922" s="4"/>
      <c r="E922" s="4"/>
      <c r="F922" s="4"/>
      <c r="G922" s="4"/>
      <c r="J922" s="4"/>
      <c r="K922" s="4"/>
      <c r="L922" s="4"/>
      <c r="R922" s="4"/>
      <c r="S922" s="4"/>
      <c r="T922" s="4"/>
    </row>
    <row r="923" ht="12.0" customHeight="1">
      <c r="C923" s="4"/>
      <c r="D923" s="4"/>
      <c r="E923" s="4"/>
      <c r="F923" s="4"/>
      <c r="G923" s="4"/>
      <c r="J923" s="4"/>
      <c r="K923" s="4"/>
      <c r="L923" s="4"/>
      <c r="R923" s="4"/>
      <c r="S923" s="4"/>
      <c r="T923" s="4"/>
    </row>
    <row r="924" ht="12.0" customHeight="1">
      <c r="C924" s="4"/>
      <c r="D924" s="4"/>
      <c r="E924" s="4"/>
      <c r="F924" s="4"/>
      <c r="G924" s="4"/>
      <c r="J924" s="4"/>
      <c r="K924" s="4"/>
      <c r="L924" s="4"/>
      <c r="R924" s="4"/>
      <c r="S924" s="4"/>
      <c r="T924" s="4"/>
    </row>
    <row r="925" ht="12.0" customHeight="1">
      <c r="C925" s="4"/>
      <c r="D925" s="4"/>
      <c r="E925" s="4"/>
      <c r="F925" s="4"/>
      <c r="G925" s="4"/>
      <c r="J925" s="4"/>
      <c r="K925" s="4"/>
      <c r="L925" s="4"/>
      <c r="R925" s="4"/>
      <c r="S925" s="4"/>
      <c r="T925" s="4"/>
    </row>
    <row r="926" ht="12.0" customHeight="1">
      <c r="C926" s="4"/>
      <c r="D926" s="4"/>
      <c r="E926" s="4"/>
      <c r="F926" s="4"/>
      <c r="G926" s="4"/>
      <c r="J926" s="4"/>
      <c r="K926" s="4"/>
      <c r="L926" s="4"/>
      <c r="R926" s="4"/>
      <c r="S926" s="4"/>
      <c r="T926" s="4"/>
    </row>
    <row r="927" ht="12.0" customHeight="1">
      <c r="C927" s="4"/>
      <c r="D927" s="4"/>
      <c r="E927" s="4"/>
      <c r="F927" s="4"/>
      <c r="G927" s="4"/>
      <c r="J927" s="4"/>
      <c r="K927" s="4"/>
      <c r="L927" s="4"/>
      <c r="R927" s="4"/>
      <c r="S927" s="4"/>
      <c r="T927" s="4"/>
    </row>
    <row r="928" ht="12.0" customHeight="1">
      <c r="C928" s="4"/>
      <c r="D928" s="4"/>
      <c r="E928" s="4"/>
      <c r="F928" s="4"/>
      <c r="G928" s="4"/>
      <c r="J928" s="4"/>
      <c r="K928" s="4"/>
      <c r="L928" s="4"/>
      <c r="R928" s="4"/>
      <c r="S928" s="4"/>
      <c r="T928" s="4"/>
    </row>
    <row r="929" ht="12.0" customHeight="1">
      <c r="C929" s="4"/>
      <c r="D929" s="4"/>
      <c r="E929" s="4"/>
      <c r="F929" s="4"/>
      <c r="G929" s="4"/>
      <c r="J929" s="4"/>
      <c r="K929" s="4"/>
      <c r="L929" s="4"/>
      <c r="R929" s="4"/>
      <c r="S929" s="4"/>
      <c r="T929" s="4"/>
    </row>
    <row r="930" ht="12.0" customHeight="1">
      <c r="C930" s="4"/>
      <c r="D930" s="4"/>
      <c r="E930" s="4"/>
      <c r="F930" s="4"/>
      <c r="G930" s="4"/>
      <c r="J930" s="4"/>
      <c r="K930" s="4"/>
      <c r="L930" s="4"/>
      <c r="R930" s="4"/>
      <c r="S930" s="4"/>
      <c r="T930" s="4"/>
    </row>
    <row r="931" ht="12.0" customHeight="1">
      <c r="C931" s="4"/>
      <c r="D931" s="4"/>
      <c r="E931" s="4"/>
      <c r="F931" s="4"/>
      <c r="G931" s="4"/>
      <c r="J931" s="4"/>
      <c r="K931" s="4"/>
      <c r="L931" s="4"/>
      <c r="R931" s="4"/>
      <c r="S931" s="4"/>
      <c r="T931" s="4"/>
    </row>
    <row r="932" ht="12.0" customHeight="1">
      <c r="C932" s="4"/>
      <c r="D932" s="4"/>
      <c r="E932" s="4"/>
      <c r="F932" s="4"/>
      <c r="G932" s="4"/>
      <c r="J932" s="4"/>
      <c r="K932" s="4"/>
      <c r="L932" s="4"/>
      <c r="R932" s="4"/>
      <c r="S932" s="4"/>
      <c r="T932" s="4"/>
    </row>
    <row r="933" ht="12.0" customHeight="1">
      <c r="C933" s="4"/>
      <c r="D933" s="4"/>
      <c r="E933" s="4"/>
      <c r="F933" s="4"/>
      <c r="G933" s="4"/>
      <c r="J933" s="4"/>
      <c r="K933" s="4"/>
      <c r="L933" s="4"/>
      <c r="R933" s="4"/>
      <c r="S933" s="4"/>
      <c r="T933" s="4"/>
    </row>
    <row r="934" ht="12.0" customHeight="1">
      <c r="C934" s="4"/>
      <c r="D934" s="4"/>
      <c r="E934" s="4"/>
      <c r="F934" s="4"/>
      <c r="G934" s="4"/>
      <c r="J934" s="4"/>
      <c r="K934" s="4"/>
      <c r="L934" s="4"/>
      <c r="R934" s="4"/>
      <c r="S934" s="4"/>
      <c r="T934" s="4"/>
    </row>
    <row r="935" ht="12.0" customHeight="1">
      <c r="C935" s="4"/>
      <c r="D935" s="4"/>
      <c r="E935" s="4"/>
      <c r="F935" s="4"/>
      <c r="G935" s="4"/>
      <c r="J935" s="4"/>
      <c r="K935" s="4"/>
      <c r="L935" s="4"/>
      <c r="R935" s="4"/>
      <c r="S935" s="4"/>
      <c r="T935" s="4"/>
    </row>
    <row r="936" ht="12.0" customHeight="1">
      <c r="C936" s="4"/>
      <c r="D936" s="4"/>
      <c r="E936" s="4"/>
      <c r="F936" s="4"/>
      <c r="G936" s="4"/>
      <c r="J936" s="4"/>
      <c r="K936" s="4"/>
      <c r="L936" s="4"/>
      <c r="R936" s="4"/>
      <c r="S936" s="4"/>
      <c r="T936" s="4"/>
    </row>
    <row r="937" ht="12.0" customHeight="1">
      <c r="C937" s="4"/>
      <c r="D937" s="4"/>
      <c r="E937" s="4"/>
      <c r="F937" s="4"/>
      <c r="G937" s="4"/>
      <c r="J937" s="4"/>
      <c r="K937" s="4"/>
      <c r="L937" s="4"/>
      <c r="R937" s="4"/>
      <c r="S937" s="4"/>
      <c r="T937" s="4"/>
    </row>
    <row r="938" ht="12.0" customHeight="1">
      <c r="C938" s="4"/>
      <c r="D938" s="4"/>
      <c r="E938" s="4"/>
      <c r="F938" s="4"/>
      <c r="G938" s="4"/>
      <c r="J938" s="4"/>
      <c r="K938" s="4"/>
      <c r="L938" s="4"/>
      <c r="R938" s="4"/>
      <c r="S938" s="4"/>
      <c r="T938" s="4"/>
    </row>
    <row r="939" ht="12.0" customHeight="1">
      <c r="C939" s="4"/>
      <c r="D939" s="4"/>
      <c r="E939" s="4"/>
      <c r="F939" s="4"/>
      <c r="G939" s="4"/>
      <c r="J939" s="4"/>
      <c r="K939" s="4"/>
      <c r="L939" s="4"/>
      <c r="R939" s="4"/>
      <c r="S939" s="4"/>
      <c r="T939" s="4"/>
    </row>
    <row r="940" ht="12.0" customHeight="1">
      <c r="C940" s="4"/>
      <c r="D940" s="4"/>
      <c r="E940" s="4"/>
      <c r="F940" s="4"/>
      <c r="G940" s="4"/>
      <c r="J940" s="4"/>
      <c r="K940" s="4"/>
      <c r="L940" s="4"/>
      <c r="R940" s="4"/>
      <c r="S940" s="4"/>
      <c r="T940" s="4"/>
    </row>
    <row r="941" ht="12.0" customHeight="1">
      <c r="C941" s="4"/>
      <c r="D941" s="4"/>
      <c r="E941" s="4"/>
      <c r="F941" s="4"/>
      <c r="G941" s="4"/>
      <c r="J941" s="4"/>
      <c r="K941" s="4"/>
      <c r="L941" s="4"/>
      <c r="R941" s="4"/>
      <c r="S941" s="4"/>
      <c r="T941" s="4"/>
    </row>
    <row r="942" ht="12.0" customHeight="1">
      <c r="C942" s="4"/>
      <c r="D942" s="4"/>
      <c r="E942" s="4"/>
      <c r="F942" s="4"/>
      <c r="G942" s="4"/>
      <c r="J942" s="4"/>
      <c r="K942" s="4"/>
      <c r="L942" s="4"/>
      <c r="R942" s="4"/>
      <c r="S942" s="4"/>
      <c r="T942" s="4"/>
    </row>
    <row r="943" ht="12.0" customHeight="1">
      <c r="C943" s="4"/>
      <c r="D943" s="4"/>
      <c r="E943" s="4"/>
      <c r="F943" s="4"/>
      <c r="G943" s="4"/>
      <c r="J943" s="4"/>
      <c r="K943" s="4"/>
      <c r="L943" s="4"/>
      <c r="R943" s="4"/>
      <c r="S943" s="4"/>
      <c r="T943" s="4"/>
    </row>
    <row r="944" ht="12.0" customHeight="1">
      <c r="C944" s="4"/>
      <c r="D944" s="4"/>
      <c r="E944" s="4"/>
      <c r="F944" s="4"/>
      <c r="G944" s="4"/>
      <c r="J944" s="4"/>
      <c r="K944" s="4"/>
      <c r="L944" s="4"/>
      <c r="R944" s="4"/>
      <c r="S944" s="4"/>
      <c r="T944" s="4"/>
    </row>
    <row r="945" ht="12.0" customHeight="1">
      <c r="C945" s="4"/>
      <c r="D945" s="4"/>
      <c r="E945" s="4"/>
      <c r="F945" s="4"/>
      <c r="G945" s="4"/>
      <c r="J945" s="4"/>
      <c r="K945" s="4"/>
      <c r="L945" s="4"/>
      <c r="R945" s="4"/>
      <c r="S945" s="4"/>
      <c r="T945" s="4"/>
    </row>
    <row r="946" ht="12.0" customHeight="1">
      <c r="C946" s="4"/>
      <c r="D946" s="4"/>
      <c r="E946" s="4"/>
      <c r="F946" s="4"/>
      <c r="G946" s="4"/>
      <c r="J946" s="4"/>
      <c r="K946" s="4"/>
      <c r="L946" s="4"/>
      <c r="R946" s="4"/>
      <c r="S946" s="4"/>
      <c r="T946" s="4"/>
    </row>
    <row r="947" ht="12.0" customHeight="1">
      <c r="C947" s="4"/>
      <c r="D947" s="4"/>
      <c r="E947" s="4"/>
      <c r="F947" s="4"/>
      <c r="G947" s="4"/>
      <c r="J947" s="4"/>
      <c r="K947" s="4"/>
      <c r="L947" s="4"/>
      <c r="R947" s="4"/>
      <c r="S947" s="4"/>
      <c r="T947" s="4"/>
    </row>
    <row r="948" ht="12.0" customHeight="1">
      <c r="C948" s="4"/>
      <c r="D948" s="4"/>
      <c r="E948" s="4"/>
      <c r="F948" s="4"/>
      <c r="G948" s="4"/>
      <c r="J948" s="4"/>
      <c r="K948" s="4"/>
      <c r="L948" s="4"/>
      <c r="R948" s="4"/>
      <c r="S948" s="4"/>
      <c r="T948" s="4"/>
    </row>
    <row r="949" ht="12.0" customHeight="1">
      <c r="C949" s="4"/>
      <c r="D949" s="4"/>
      <c r="E949" s="4"/>
      <c r="F949" s="4"/>
      <c r="G949" s="4"/>
      <c r="J949" s="4"/>
      <c r="K949" s="4"/>
      <c r="L949" s="4"/>
      <c r="R949" s="4"/>
      <c r="S949" s="4"/>
      <c r="T949" s="4"/>
    </row>
    <row r="950" ht="12.0" customHeight="1">
      <c r="C950" s="4"/>
      <c r="D950" s="4"/>
      <c r="E950" s="4"/>
      <c r="F950" s="4"/>
      <c r="G950" s="4"/>
      <c r="J950" s="4"/>
      <c r="K950" s="4"/>
      <c r="L950" s="4"/>
      <c r="R950" s="4"/>
      <c r="S950" s="4"/>
      <c r="T950" s="4"/>
    </row>
    <row r="951" ht="12.0" customHeight="1">
      <c r="C951" s="4"/>
      <c r="D951" s="4"/>
      <c r="E951" s="4"/>
      <c r="F951" s="4"/>
      <c r="G951" s="4"/>
      <c r="J951" s="4"/>
      <c r="K951" s="4"/>
      <c r="L951" s="4"/>
      <c r="R951" s="4"/>
      <c r="S951" s="4"/>
      <c r="T951" s="4"/>
    </row>
    <row r="952" ht="12.0" customHeight="1">
      <c r="C952" s="4"/>
      <c r="D952" s="4"/>
      <c r="E952" s="4"/>
      <c r="F952" s="4"/>
      <c r="G952" s="4"/>
      <c r="J952" s="4"/>
      <c r="K952" s="4"/>
      <c r="L952" s="4"/>
      <c r="R952" s="4"/>
      <c r="S952" s="4"/>
      <c r="T952" s="4"/>
    </row>
    <row r="953" ht="12.0" customHeight="1">
      <c r="C953" s="4"/>
      <c r="D953" s="4"/>
      <c r="E953" s="4"/>
      <c r="F953" s="4"/>
      <c r="G953" s="4"/>
      <c r="J953" s="4"/>
      <c r="K953" s="4"/>
      <c r="L953" s="4"/>
      <c r="R953" s="4"/>
      <c r="S953" s="4"/>
      <c r="T953" s="4"/>
    </row>
    <row r="954" ht="12.0" customHeight="1">
      <c r="C954" s="4"/>
      <c r="D954" s="4"/>
      <c r="E954" s="4"/>
      <c r="F954" s="4"/>
      <c r="G954" s="4"/>
      <c r="J954" s="4"/>
      <c r="K954" s="4"/>
      <c r="L954" s="4"/>
      <c r="R954" s="4"/>
      <c r="S954" s="4"/>
      <c r="T954" s="4"/>
    </row>
    <row r="955" ht="12.0" customHeight="1">
      <c r="C955" s="4"/>
      <c r="D955" s="4"/>
      <c r="E955" s="4"/>
      <c r="F955" s="4"/>
      <c r="G955" s="4"/>
      <c r="J955" s="4"/>
      <c r="K955" s="4"/>
      <c r="L955" s="4"/>
      <c r="R955" s="4"/>
      <c r="S955" s="4"/>
      <c r="T955" s="4"/>
    </row>
    <row r="956" ht="12.0" customHeight="1">
      <c r="C956" s="4"/>
      <c r="D956" s="4"/>
      <c r="E956" s="4"/>
      <c r="F956" s="4"/>
      <c r="G956" s="4"/>
      <c r="J956" s="4"/>
      <c r="K956" s="4"/>
      <c r="L956" s="4"/>
      <c r="R956" s="4"/>
      <c r="S956" s="4"/>
      <c r="T956" s="4"/>
    </row>
    <row r="957" ht="12.0" customHeight="1">
      <c r="C957" s="4"/>
      <c r="D957" s="4"/>
      <c r="E957" s="4"/>
      <c r="F957" s="4"/>
      <c r="G957" s="4"/>
      <c r="J957" s="4"/>
      <c r="K957" s="4"/>
      <c r="L957" s="4"/>
      <c r="R957" s="4"/>
      <c r="S957" s="4"/>
      <c r="T957" s="4"/>
    </row>
    <row r="958" ht="12.0" customHeight="1">
      <c r="C958" s="4"/>
      <c r="D958" s="4"/>
      <c r="E958" s="4"/>
      <c r="F958" s="4"/>
      <c r="G958" s="4"/>
      <c r="J958" s="4"/>
      <c r="K958" s="4"/>
      <c r="L958" s="4"/>
      <c r="R958" s="4"/>
      <c r="S958" s="4"/>
      <c r="T958" s="4"/>
    </row>
    <row r="959" ht="12.0" customHeight="1">
      <c r="C959" s="4"/>
      <c r="D959" s="4"/>
      <c r="E959" s="4"/>
      <c r="F959" s="4"/>
      <c r="G959" s="4"/>
      <c r="J959" s="4"/>
      <c r="K959" s="4"/>
      <c r="L959" s="4"/>
      <c r="R959" s="4"/>
      <c r="S959" s="4"/>
      <c r="T959" s="4"/>
    </row>
    <row r="960" ht="12.0" customHeight="1">
      <c r="C960" s="4"/>
      <c r="D960" s="4"/>
      <c r="E960" s="4"/>
      <c r="F960" s="4"/>
      <c r="G960" s="4"/>
      <c r="J960" s="4"/>
      <c r="K960" s="4"/>
      <c r="L960" s="4"/>
      <c r="R960" s="4"/>
      <c r="S960" s="4"/>
      <c r="T960" s="4"/>
    </row>
    <row r="961" ht="12.0" customHeight="1">
      <c r="C961" s="4"/>
      <c r="D961" s="4"/>
      <c r="E961" s="4"/>
      <c r="F961" s="4"/>
      <c r="G961" s="4"/>
      <c r="J961" s="4"/>
      <c r="K961" s="4"/>
      <c r="L961" s="4"/>
      <c r="R961" s="4"/>
      <c r="S961" s="4"/>
      <c r="T961" s="4"/>
    </row>
    <row r="962" ht="12.0" customHeight="1">
      <c r="C962" s="4"/>
      <c r="D962" s="4"/>
      <c r="E962" s="4"/>
      <c r="F962" s="4"/>
      <c r="G962" s="4"/>
      <c r="J962" s="4"/>
      <c r="K962" s="4"/>
      <c r="L962" s="4"/>
      <c r="R962" s="4"/>
      <c r="S962" s="4"/>
      <c r="T962" s="4"/>
    </row>
    <row r="963" ht="12.0" customHeight="1">
      <c r="C963" s="4"/>
      <c r="D963" s="4"/>
      <c r="E963" s="4"/>
      <c r="F963" s="4"/>
      <c r="G963" s="4"/>
      <c r="J963" s="4"/>
      <c r="K963" s="4"/>
      <c r="L963" s="4"/>
      <c r="R963" s="4"/>
      <c r="S963" s="4"/>
      <c r="T963" s="4"/>
    </row>
    <row r="964" ht="12.0" customHeight="1">
      <c r="C964" s="4"/>
      <c r="D964" s="4"/>
      <c r="E964" s="4"/>
      <c r="F964" s="4"/>
      <c r="G964" s="4"/>
      <c r="J964" s="4"/>
      <c r="K964" s="4"/>
      <c r="L964" s="4"/>
      <c r="R964" s="4"/>
      <c r="S964" s="4"/>
      <c r="T964" s="4"/>
    </row>
    <row r="965" ht="12.0" customHeight="1">
      <c r="C965" s="4"/>
      <c r="D965" s="4"/>
      <c r="E965" s="4"/>
      <c r="F965" s="4"/>
      <c r="G965" s="4"/>
      <c r="J965" s="4"/>
      <c r="K965" s="4"/>
      <c r="L965" s="4"/>
      <c r="R965" s="4"/>
      <c r="S965" s="4"/>
      <c r="T965" s="4"/>
    </row>
    <row r="966" ht="12.0" customHeight="1">
      <c r="C966" s="4"/>
      <c r="D966" s="4"/>
      <c r="E966" s="4"/>
      <c r="F966" s="4"/>
      <c r="G966" s="4"/>
      <c r="J966" s="4"/>
      <c r="K966" s="4"/>
      <c r="L966" s="4"/>
      <c r="R966" s="4"/>
      <c r="S966" s="4"/>
      <c r="T966" s="4"/>
    </row>
    <row r="967" ht="12.0" customHeight="1">
      <c r="C967" s="4"/>
      <c r="D967" s="4"/>
      <c r="E967" s="4"/>
      <c r="F967" s="4"/>
      <c r="G967" s="4"/>
      <c r="J967" s="4"/>
      <c r="K967" s="4"/>
      <c r="L967" s="4"/>
      <c r="R967" s="4"/>
      <c r="S967" s="4"/>
      <c r="T967" s="4"/>
    </row>
    <row r="968" ht="12.0" customHeight="1">
      <c r="C968" s="4"/>
      <c r="D968" s="4"/>
      <c r="E968" s="4"/>
      <c r="F968" s="4"/>
      <c r="G968" s="4"/>
      <c r="J968" s="4"/>
      <c r="K968" s="4"/>
      <c r="L968" s="4"/>
      <c r="R968" s="4"/>
      <c r="S968" s="4"/>
      <c r="T968" s="4"/>
    </row>
    <row r="969" ht="12.0" customHeight="1">
      <c r="C969" s="4"/>
      <c r="D969" s="4"/>
      <c r="E969" s="4"/>
      <c r="F969" s="4"/>
      <c r="G969" s="4"/>
      <c r="J969" s="4"/>
      <c r="K969" s="4"/>
      <c r="L969" s="4"/>
      <c r="R969" s="4"/>
      <c r="S969" s="4"/>
      <c r="T969" s="4"/>
    </row>
    <row r="970" ht="12.0" customHeight="1">
      <c r="C970" s="4"/>
      <c r="D970" s="4"/>
      <c r="E970" s="4"/>
      <c r="F970" s="4"/>
      <c r="G970" s="4"/>
      <c r="J970" s="4"/>
      <c r="K970" s="4"/>
      <c r="L970" s="4"/>
      <c r="R970" s="4"/>
      <c r="S970" s="4"/>
      <c r="T970" s="4"/>
    </row>
    <row r="971" ht="12.0" customHeight="1">
      <c r="C971" s="4"/>
      <c r="D971" s="4"/>
      <c r="E971" s="4"/>
      <c r="F971" s="4"/>
      <c r="G971" s="4"/>
      <c r="J971" s="4"/>
      <c r="K971" s="4"/>
      <c r="L971" s="4"/>
      <c r="R971" s="4"/>
      <c r="S971" s="4"/>
      <c r="T971" s="4"/>
    </row>
    <row r="972" ht="12.0" customHeight="1">
      <c r="C972" s="4"/>
      <c r="D972" s="4"/>
      <c r="E972" s="4"/>
      <c r="F972" s="4"/>
      <c r="G972" s="4"/>
      <c r="J972" s="4"/>
      <c r="K972" s="4"/>
      <c r="L972" s="4"/>
      <c r="R972" s="4"/>
      <c r="S972" s="4"/>
      <c r="T972" s="4"/>
    </row>
    <row r="973" ht="12.0" customHeight="1">
      <c r="C973" s="4"/>
      <c r="D973" s="4"/>
      <c r="E973" s="4"/>
      <c r="F973" s="4"/>
      <c r="G973" s="4"/>
      <c r="J973" s="4"/>
      <c r="K973" s="4"/>
      <c r="L973" s="4"/>
      <c r="R973" s="4"/>
      <c r="S973" s="4"/>
      <c r="T973" s="4"/>
    </row>
    <row r="974" ht="12.0" customHeight="1">
      <c r="C974" s="4"/>
      <c r="D974" s="4"/>
      <c r="E974" s="4"/>
      <c r="F974" s="4"/>
      <c r="G974" s="4"/>
      <c r="J974" s="4"/>
      <c r="K974" s="4"/>
      <c r="L974" s="4"/>
      <c r="R974" s="4"/>
      <c r="S974" s="4"/>
      <c r="T974" s="4"/>
    </row>
    <row r="975" ht="12.0" customHeight="1">
      <c r="C975" s="4"/>
      <c r="D975" s="4"/>
      <c r="E975" s="4"/>
      <c r="F975" s="4"/>
      <c r="G975" s="4"/>
      <c r="J975" s="4"/>
      <c r="K975" s="4"/>
      <c r="L975" s="4"/>
      <c r="R975" s="4"/>
      <c r="S975" s="4"/>
      <c r="T975" s="4"/>
    </row>
    <row r="976" ht="12.0" customHeight="1">
      <c r="C976" s="4"/>
      <c r="D976" s="4"/>
      <c r="E976" s="4"/>
      <c r="F976" s="4"/>
      <c r="G976" s="4"/>
      <c r="J976" s="4"/>
      <c r="K976" s="4"/>
      <c r="L976" s="4"/>
      <c r="R976" s="4"/>
      <c r="S976" s="4"/>
      <c r="T976" s="4"/>
    </row>
    <row r="977" ht="12.0" customHeight="1">
      <c r="C977" s="4"/>
      <c r="D977" s="4"/>
      <c r="E977" s="4"/>
      <c r="F977" s="4"/>
      <c r="G977" s="4"/>
      <c r="J977" s="4"/>
      <c r="K977" s="4"/>
      <c r="L977" s="4"/>
      <c r="R977" s="4"/>
      <c r="S977" s="4"/>
      <c r="T977" s="4"/>
    </row>
    <row r="978" ht="12.0" customHeight="1">
      <c r="C978" s="4"/>
      <c r="D978" s="4"/>
      <c r="E978" s="4"/>
      <c r="F978" s="4"/>
      <c r="G978" s="4"/>
      <c r="J978" s="4"/>
      <c r="K978" s="4"/>
      <c r="L978" s="4"/>
      <c r="R978" s="4"/>
      <c r="S978" s="4"/>
      <c r="T978" s="4"/>
    </row>
    <row r="979" ht="12.0" customHeight="1">
      <c r="C979" s="4"/>
      <c r="D979" s="4"/>
      <c r="E979" s="4"/>
      <c r="F979" s="4"/>
      <c r="G979" s="4"/>
      <c r="J979" s="4"/>
      <c r="K979" s="4"/>
      <c r="L979" s="4"/>
      <c r="R979" s="4"/>
      <c r="S979" s="4"/>
      <c r="T979" s="4"/>
    </row>
    <row r="980" ht="12.0" customHeight="1">
      <c r="C980" s="4"/>
      <c r="D980" s="4"/>
      <c r="E980" s="4"/>
      <c r="F980" s="4"/>
      <c r="G980" s="4"/>
      <c r="J980" s="4"/>
      <c r="K980" s="4"/>
      <c r="L980" s="4"/>
      <c r="R980" s="4"/>
      <c r="S980" s="4"/>
      <c r="T980" s="4"/>
    </row>
    <row r="981" ht="12.0" customHeight="1">
      <c r="C981" s="4"/>
      <c r="D981" s="4"/>
      <c r="E981" s="4"/>
      <c r="F981" s="4"/>
      <c r="G981" s="4"/>
      <c r="J981" s="4"/>
      <c r="K981" s="4"/>
      <c r="L981" s="4"/>
      <c r="R981" s="4"/>
      <c r="S981" s="4"/>
      <c r="T981" s="4"/>
    </row>
    <row r="982" ht="12.0" customHeight="1">
      <c r="C982" s="4"/>
      <c r="D982" s="4"/>
      <c r="E982" s="4"/>
      <c r="F982" s="4"/>
      <c r="G982" s="4"/>
      <c r="J982" s="4"/>
      <c r="K982" s="4"/>
      <c r="L982" s="4"/>
      <c r="R982" s="4"/>
      <c r="S982" s="4"/>
      <c r="T982" s="4"/>
    </row>
    <row r="983" ht="12.0" customHeight="1">
      <c r="C983" s="4"/>
      <c r="D983" s="4"/>
      <c r="E983" s="4"/>
      <c r="F983" s="4"/>
      <c r="G983" s="4"/>
      <c r="J983" s="4"/>
      <c r="K983" s="4"/>
      <c r="L983" s="4"/>
      <c r="R983" s="4"/>
      <c r="S983" s="4"/>
      <c r="T983" s="4"/>
    </row>
    <row r="984" ht="12.0" customHeight="1">
      <c r="C984" s="4"/>
      <c r="D984" s="4"/>
      <c r="E984" s="4"/>
      <c r="F984" s="4"/>
      <c r="G984" s="4"/>
      <c r="J984" s="4"/>
      <c r="K984" s="4"/>
      <c r="L984" s="4"/>
      <c r="R984" s="4"/>
      <c r="S984" s="4"/>
      <c r="T984" s="4"/>
    </row>
    <row r="985" ht="12.0" customHeight="1">
      <c r="C985" s="4"/>
      <c r="D985" s="4"/>
      <c r="E985" s="4"/>
      <c r="F985" s="4"/>
      <c r="G985" s="4"/>
      <c r="J985" s="4"/>
      <c r="K985" s="4"/>
      <c r="L985" s="4"/>
      <c r="R985" s="4"/>
      <c r="S985" s="4"/>
      <c r="T985" s="4"/>
    </row>
    <row r="986" ht="12.0" customHeight="1">
      <c r="C986" s="4"/>
      <c r="D986" s="4"/>
      <c r="E986" s="4"/>
      <c r="F986" s="4"/>
      <c r="G986" s="4"/>
      <c r="J986" s="4"/>
      <c r="K986" s="4"/>
      <c r="L986" s="4"/>
      <c r="R986" s="4"/>
      <c r="S986" s="4"/>
      <c r="T986" s="4"/>
    </row>
    <row r="987" ht="12.0" customHeight="1">
      <c r="C987" s="4"/>
      <c r="D987" s="4"/>
      <c r="E987" s="4"/>
      <c r="F987" s="4"/>
      <c r="G987" s="4"/>
      <c r="J987" s="4"/>
      <c r="K987" s="4"/>
      <c r="L987" s="4"/>
      <c r="R987" s="4"/>
      <c r="S987" s="4"/>
      <c r="T987" s="4"/>
    </row>
    <row r="988" ht="12.0" customHeight="1">
      <c r="C988" s="4"/>
      <c r="D988" s="4"/>
      <c r="E988" s="4"/>
      <c r="F988" s="4"/>
      <c r="G988" s="4"/>
      <c r="J988" s="4"/>
      <c r="K988" s="4"/>
      <c r="L988" s="4"/>
      <c r="R988" s="4"/>
      <c r="S988" s="4"/>
      <c r="T988" s="4"/>
    </row>
    <row r="989" ht="12.0" customHeight="1">
      <c r="C989" s="4"/>
      <c r="D989" s="4"/>
      <c r="E989" s="4"/>
      <c r="F989" s="4"/>
      <c r="G989" s="4"/>
      <c r="J989" s="4"/>
      <c r="K989" s="4"/>
      <c r="L989" s="4"/>
      <c r="R989" s="4"/>
      <c r="S989" s="4"/>
      <c r="T989" s="4"/>
    </row>
    <row r="990" ht="12.0" customHeight="1">
      <c r="C990" s="4"/>
      <c r="D990" s="4"/>
      <c r="E990" s="4"/>
      <c r="F990" s="4"/>
      <c r="G990" s="4"/>
      <c r="J990" s="4"/>
      <c r="K990" s="4"/>
      <c r="L990" s="4"/>
      <c r="R990" s="4"/>
      <c r="S990" s="4"/>
      <c r="T990" s="4"/>
    </row>
    <row r="991" ht="12.0" customHeight="1">
      <c r="C991" s="4"/>
      <c r="D991" s="4"/>
      <c r="E991" s="4"/>
      <c r="F991" s="4"/>
      <c r="G991" s="4"/>
      <c r="J991" s="4"/>
      <c r="K991" s="4"/>
      <c r="L991" s="4"/>
      <c r="R991" s="4"/>
      <c r="S991" s="4"/>
      <c r="T991" s="4"/>
    </row>
    <row r="992" ht="12.0" customHeight="1">
      <c r="C992" s="4"/>
      <c r="D992" s="4"/>
      <c r="E992" s="4"/>
      <c r="F992" s="4"/>
      <c r="G992" s="4"/>
      <c r="J992" s="4"/>
      <c r="K992" s="4"/>
      <c r="L992" s="4"/>
      <c r="R992" s="4"/>
      <c r="S992" s="4"/>
      <c r="T992" s="4"/>
    </row>
    <row r="993" ht="12.0" customHeight="1">
      <c r="C993" s="4"/>
      <c r="D993" s="4"/>
      <c r="E993" s="4"/>
      <c r="F993" s="4"/>
      <c r="G993" s="4"/>
      <c r="J993" s="4"/>
      <c r="K993" s="4"/>
      <c r="L993" s="4"/>
      <c r="R993" s="4"/>
      <c r="S993" s="4"/>
      <c r="T993" s="4"/>
    </row>
    <row r="994" ht="12.0" customHeight="1">
      <c r="C994" s="4"/>
      <c r="D994" s="4"/>
      <c r="E994" s="4"/>
      <c r="F994" s="4"/>
      <c r="G994" s="4"/>
      <c r="J994" s="4"/>
      <c r="K994" s="4"/>
      <c r="L994" s="4"/>
      <c r="R994" s="4"/>
      <c r="S994" s="4"/>
      <c r="T994" s="4"/>
    </row>
    <row r="995" ht="12.0" customHeight="1">
      <c r="C995" s="4"/>
      <c r="D995" s="4"/>
      <c r="E995" s="4"/>
      <c r="F995" s="4"/>
      <c r="G995" s="4"/>
      <c r="J995" s="4"/>
      <c r="K995" s="4"/>
      <c r="L995" s="4"/>
      <c r="R995" s="4"/>
      <c r="S995" s="4"/>
      <c r="T995" s="4"/>
    </row>
    <row r="996" ht="12.0" customHeight="1">
      <c r="C996" s="4"/>
      <c r="D996" s="4"/>
      <c r="E996" s="4"/>
      <c r="F996" s="4"/>
      <c r="G996" s="4"/>
      <c r="J996" s="4"/>
      <c r="K996" s="4"/>
      <c r="L996" s="4"/>
      <c r="R996" s="4"/>
      <c r="S996" s="4"/>
      <c r="T996" s="4"/>
    </row>
    <row r="997" ht="12.0" customHeight="1">
      <c r="C997" s="4"/>
      <c r="D997" s="4"/>
      <c r="E997" s="4"/>
      <c r="F997" s="4"/>
      <c r="G997" s="4"/>
      <c r="J997" s="4"/>
      <c r="K997" s="4"/>
      <c r="L997" s="4"/>
      <c r="R997" s="4"/>
      <c r="S997" s="4"/>
      <c r="T997" s="4"/>
    </row>
    <row r="998" ht="12.0" customHeight="1">
      <c r="C998" s="4"/>
      <c r="D998" s="4"/>
      <c r="E998" s="4"/>
      <c r="F998" s="4"/>
      <c r="G998" s="4"/>
      <c r="J998" s="4"/>
      <c r="K998" s="4"/>
      <c r="L998" s="4"/>
      <c r="R998" s="4"/>
      <c r="S998" s="4"/>
      <c r="T998" s="4"/>
    </row>
    <row r="999" ht="12.0" customHeight="1">
      <c r="C999" s="4"/>
      <c r="D999" s="4"/>
      <c r="E999" s="4"/>
      <c r="F999" s="4"/>
      <c r="G999" s="4"/>
      <c r="J999" s="4"/>
      <c r="K999" s="4"/>
      <c r="L999" s="4"/>
      <c r="R999" s="4"/>
      <c r="S999" s="4"/>
      <c r="T999" s="4"/>
    </row>
    <row r="1000" ht="12.0" customHeight="1">
      <c r="C1000" s="4"/>
      <c r="D1000" s="4"/>
      <c r="E1000" s="4"/>
      <c r="F1000" s="4"/>
      <c r="G1000" s="4"/>
      <c r="J1000" s="4"/>
      <c r="K1000" s="4"/>
      <c r="L1000" s="4"/>
      <c r="R1000" s="4"/>
      <c r="S1000" s="4"/>
      <c r="T1000" s="4"/>
    </row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28.0"/>
    <col customWidth="1" min="3" max="3" width="33.14"/>
    <col customWidth="1" min="4" max="4" width="13.86"/>
    <col customWidth="1" min="5" max="5" width="3.14"/>
    <col customWidth="1" min="6" max="6" width="24.86"/>
    <col customWidth="1" min="7" max="7" width="16.43"/>
    <col customWidth="1" min="8" max="8" width="15.43"/>
    <col customWidth="1" min="9" max="12" width="9.0"/>
    <col customWidth="1" min="13" max="13" width="14.14"/>
    <col customWidth="1" min="14" max="14" width="15.14"/>
    <col customWidth="1" min="15" max="15" width="11.14"/>
    <col customWidth="1" min="16" max="26" width="9.0"/>
  </cols>
  <sheetData>
    <row r="1" ht="12.0" customHeight="1"/>
    <row r="2" ht="12.0" customHeight="1">
      <c r="A2" s="255"/>
      <c r="B2" s="256"/>
      <c r="C2" s="256"/>
      <c r="D2" s="257" t="s">
        <v>1059</v>
      </c>
    </row>
    <row r="3" ht="12.0" customHeight="1">
      <c r="A3" s="255"/>
      <c r="B3" s="258" t="s">
        <v>1060</v>
      </c>
      <c r="C3" s="258"/>
      <c r="D3" s="259">
        <v>4.3E8</v>
      </c>
      <c r="F3" s="260" t="s">
        <v>3</v>
      </c>
      <c r="G3" s="260" t="s">
        <v>1061</v>
      </c>
      <c r="H3" s="260" t="s">
        <v>1062</v>
      </c>
    </row>
    <row r="4" ht="12.0" customHeight="1">
      <c r="A4" s="255"/>
      <c r="B4" s="261" t="s">
        <v>1063</v>
      </c>
      <c r="C4" s="261"/>
      <c r="D4" s="262">
        <f>D3*90%</f>
        <v>387000000</v>
      </c>
      <c r="F4" s="263" t="s">
        <v>1064</v>
      </c>
      <c r="G4" s="264">
        <f>D31-D3</f>
        <v>125305257.5</v>
      </c>
      <c r="H4" s="265">
        <f t="shared" ref="H4:H7" si="1">G4/15/12</f>
        <v>696140.3195</v>
      </c>
    </row>
    <row r="5" ht="12.0" customHeight="1">
      <c r="A5" s="255"/>
      <c r="B5" s="261" t="s">
        <v>1065</v>
      </c>
      <c r="C5" s="261"/>
      <c r="D5" s="262">
        <f>D3*1.3%</f>
        <v>5590000</v>
      </c>
      <c r="F5" s="266" t="s">
        <v>1066</v>
      </c>
      <c r="G5" s="210">
        <f>G4-30000000</f>
        <v>95305257.52</v>
      </c>
      <c r="H5" s="267">
        <f t="shared" si="1"/>
        <v>529473.6529</v>
      </c>
    </row>
    <row r="6" ht="12.0" customHeight="1">
      <c r="A6" s="255"/>
      <c r="B6" s="261" t="s">
        <v>1067</v>
      </c>
      <c r="C6" s="261"/>
      <c r="D6" s="262">
        <f>D3*0.4%</f>
        <v>1720000</v>
      </c>
      <c r="F6" s="266" t="s">
        <v>1068</v>
      </c>
      <c r="G6" s="210">
        <f>G4-50000000</f>
        <v>75305257.52</v>
      </c>
      <c r="H6" s="267">
        <f t="shared" si="1"/>
        <v>418362.5418</v>
      </c>
    </row>
    <row r="7" ht="12.0" customHeight="1">
      <c r="A7" s="255"/>
      <c r="B7" s="261" t="s">
        <v>1069</v>
      </c>
      <c r="C7" s="261"/>
      <c r="D7" s="262">
        <v>2.5E7</v>
      </c>
      <c r="F7" s="266" t="s">
        <v>1070</v>
      </c>
      <c r="G7" s="210">
        <f>G4+30000000</f>
        <v>155305257.5</v>
      </c>
      <c r="H7" s="267">
        <f t="shared" si="1"/>
        <v>862806.9862</v>
      </c>
    </row>
    <row r="8" ht="12.0" customHeight="1">
      <c r="A8" s="255"/>
      <c r="B8" s="261" t="s">
        <v>1071</v>
      </c>
      <c r="C8" s="261"/>
      <c r="D8" s="262">
        <v>0.0</v>
      </c>
      <c r="F8" s="179"/>
    </row>
    <row r="9" ht="12.0" customHeight="1">
      <c r="A9" s="255"/>
      <c r="B9" s="268" t="s">
        <v>1072</v>
      </c>
      <c r="C9" s="268"/>
      <c r="D9" s="269">
        <f>D3+SUM(D5:D8)</f>
        <v>462310000</v>
      </c>
      <c r="F9" s="270" t="s">
        <v>1073</v>
      </c>
      <c r="G9" s="270"/>
      <c r="H9" s="271">
        <f>H10+H16+H31+H24</f>
        <v>24300000</v>
      </c>
    </row>
    <row r="10" ht="12.0" customHeight="1">
      <c r="A10" s="255"/>
      <c r="B10" s="272" t="s">
        <v>1074</v>
      </c>
      <c r="C10" s="273"/>
      <c r="D10" s="274">
        <v>2.8531E8</v>
      </c>
      <c r="E10" s="179"/>
      <c r="F10" s="275" t="s">
        <v>1075</v>
      </c>
      <c r="G10" s="276"/>
      <c r="H10" s="277">
        <f>SUM(H11:H15)</f>
        <v>11600000</v>
      </c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 ht="12.0" customHeight="1">
      <c r="A11" s="255"/>
      <c r="B11" s="256"/>
      <c r="C11" s="256"/>
      <c r="D11" s="262"/>
      <c r="E11" s="179"/>
      <c r="F11" s="179" t="s">
        <v>1076</v>
      </c>
      <c r="H11" s="171">
        <v>6500000.0</v>
      </c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 ht="12.0" customHeight="1">
      <c r="A12" s="255"/>
      <c r="B12" s="256" t="s">
        <v>1077</v>
      </c>
      <c r="C12" s="256"/>
      <c r="D12" s="262"/>
      <c r="E12" s="179"/>
      <c r="F12" s="179" t="s">
        <v>1078</v>
      </c>
      <c r="G12" s="179"/>
      <c r="H12" s="171">
        <v>2300000.0</v>
      </c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 ht="12.0" customHeight="1">
      <c r="A13" s="255"/>
      <c r="B13" s="261"/>
      <c r="C13" s="261" t="s">
        <v>1079</v>
      </c>
      <c r="D13" s="262">
        <f>D10-D21</f>
        <v>205310000</v>
      </c>
      <c r="E13" s="179"/>
      <c r="F13" s="179" t="s">
        <v>1080</v>
      </c>
      <c r="G13" s="179"/>
      <c r="H13" s="171">
        <v>1800000.0</v>
      </c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 ht="12.0" customHeight="1">
      <c r="A14" s="255"/>
      <c r="B14" s="261"/>
      <c r="C14" s="261" t="s">
        <v>1081</v>
      </c>
      <c r="D14" s="262">
        <v>5.888056221370143E7</v>
      </c>
      <c r="E14" s="179"/>
      <c r="F14" s="179" t="s">
        <v>1082</v>
      </c>
      <c r="G14" s="179"/>
      <c r="H14" s="171">
        <v>1000000.0</v>
      </c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 ht="12.0" customHeight="1">
      <c r="A15" s="255"/>
      <c r="B15" s="261"/>
      <c r="C15" s="261" t="s">
        <v>1083</v>
      </c>
      <c r="D15" s="262">
        <v>1467725.3456316746</v>
      </c>
      <c r="E15" s="179"/>
      <c r="F15" s="179"/>
      <c r="H15" s="171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 ht="12.0" customHeight="1">
      <c r="A16" s="255"/>
      <c r="B16" s="261"/>
      <c r="C16" s="261"/>
      <c r="D16" s="262"/>
      <c r="E16" s="179"/>
      <c r="F16" s="275" t="s">
        <v>1084</v>
      </c>
      <c r="G16" s="278"/>
      <c r="H16" s="277">
        <f>SUM(H17:H21)</f>
        <v>5550000</v>
      </c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 ht="12.0" customHeight="1">
      <c r="A17" s="255"/>
      <c r="B17" s="261"/>
      <c r="C17" s="261" t="s">
        <v>1085</v>
      </c>
      <c r="D17" s="279"/>
      <c r="E17" s="179"/>
      <c r="F17" s="179" t="s">
        <v>1086</v>
      </c>
      <c r="G17" s="179"/>
      <c r="H17" s="171">
        <v>2000000.0</v>
      </c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 ht="12.0" customHeight="1">
      <c r="A18" s="255"/>
      <c r="B18" s="261"/>
      <c r="C18" s="261" t="s">
        <v>1087</v>
      </c>
      <c r="D18" s="262"/>
      <c r="E18" s="179"/>
      <c r="F18" s="179" t="s">
        <v>1088</v>
      </c>
      <c r="G18" s="179"/>
      <c r="H18" s="171">
        <v>1500000.0</v>
      </c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</row>
    <row r="19" ht="12.0" customHeight="1">
      <c r="A19" s="255"/>
      <c r="B19" s="261"/>
      <c r="C19" s="261" t="s">
        <v>1089</v>
      </c>
      <c r="D19" s="262"/>
      <c r="E19" s="179"/>
      <c r="F19" s="179" t="s">
        <v>1090</v>
      </c>
      <c r="G19" s="179"/>
      <c r="H19" s="171">
        <v>1200000.0</v>
      </c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</row>
    <row r="20" ht="12.0" customHeight="1">
      <c r="A20" s="255"/>
      <c r="B20" s="261"/>
      <c r="C20" s="261"/>
      <c r="D20" s="262"/>
      <c r="E20" s="179"/>
      <c r="F20" s="179" t="s">
        <v>1091</v>
      </c>
      <c r="G20" s="179"/>
      <c r="H20" s="171">
        <v>500000.0</v>
      </c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</row>
    <row r="21" ht="12.0" customHeight="1">
      <c r="A21" s="255"/>
      <c r="B21" s="261"/>
      <c r="C21" s="261" t="s">
        <v>1092</v>
      </c>
      <c r="D21" s="262">
        <v>8.0E7</v>
      </c>
      <c r="E21" s="179"/>
      <c r="F21" s="179" t="s">
        <v>1093</v>
      </c>
      <c r="G21" s="179"/>
      <c r="H21" s="171">
        <v>350000.0</v>
      </c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</row>
    <row r="22" ht="12.0" customHeight="1">
      <c r="A22" s="255"/>
      <c r="B22" s="261"/>
      <c r="C22" s="261" t="s">
        <v>1094</v>
      </c>
      <c r="D22" s="262">
        <v>2.205175624279192E7</v>
      </c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</row>
    <row r="23" ht="12.0" customHeight="1">
      <c r="A23" s="255"/>
      <c r="B23" s="261"/>
      <c r="C23" s="261" t="s">
        <v>1095</v>
      </c>
      <c r="D23" s="262">
        <v>1063039.1275290826</v>
      </c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</row>
    <row r="24" ht="12.0" customHeight="1">
      <c r="A24" s="255"/>
      <c r="B24" s="261"/>
      <c r="C24" s="261"/>
      <c r="D24" s="262"/>
      <c r="E24" s="179"/>
      <c r="F24" s="275" t="s">
        <v>1096</v>
      </c>
      <c r="G24" s="278"/>
      <c r="H24" s="277">
        <f>SUM(H25:H30)</f>
        <v>5150000</v>
      </c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</row>
    <row r="25" ht="12.0" customHeight="1">
      <c r="A25" s="255"/>
      <c r="B25" s="261"/>
      <c r="C25" s="261" t="s">
        <v>1097</v>
      </c>
      <c r="D25" s="279">
        <f>D10-D13-D17-D21</f>
        <v>0</v>
      </c>
      <c r="E25" s="179"/>
      <c r="F25" s="179" t="s">
        <v>1098</v>
      </c>
      <c r="G25" s="179"/>
      <c r="H25" s="171">
        <v>2300000.0</v>
      </c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 ht="12.0" customHeight="1">
      <c r="A26" s="255"/>
      <c r="B26" s="261"/>
      <c r="C26" s="261"/>
      <c r="D26" s="262"/>
      <c r="F26" s="179" t="s">
        <v>1099</v>
      </c>
      <c r="G26" s="179"/>
      <c r="H26" s="171">
        <v>1000000.0</v>
      </c>
      <c r="I26" s="179"/>
      <c r="J26" s="179"/>
      <c r="K26" s="179"/>
      <c r="L26" s="179"/>
      <c r="M26" s="179"/>
      <c r="N26" s="179"/>
      <c r="O26" s="179"/>
      <c r="P26" s="179"/>
    </row>
    <row r="27" ht="12.0" customHeight="1">
      <c r="A27" s="255"/>
      <c r="B27" s="261"/>
      <c r="C27" s="280" t="s">
        <v>1100</v>
      </c>
      <c r="D27" s="269">
        <f>D19+D15+D23</f>
        <v>2530764.473</v>
      </c>
      <c r="F27" s="179" t="s">
        <v>1101</v>
      </c>
      <c r="G27" s="179"/>
      <c r="H27" s="171">
        <v>500000.0</v>
      </c>
      <c r="I27" s="179"/>
      <c r="J27" s="179"/>
      <c r="K27" s="179"/>
      <c r="L27" s="179"/>
      <c r="M27" s="179"/>
      <c r="N27" s="179"/>
      <c r="O27" s="179"/>
      <c r="P27" s="179"/>
    </row>
    <row r="28" ht="12.0" customHeight="1">
      <c r="A28" s="255"/>
      <c r="B28" s="261"/>
      <c r="C28" s="261" t="s">
        <v>1102</v>
      </c>
      <c r="D28" s="281">
        <f>D27*12/90000000</f>
        <v>0.3374352631</v>
      </c>
      <c r="F28" s="179" t="s">
        <v>1103</v>
      </c>
      <c r="H28" s="171">
        <v>1350000.0</v>
      </c>
      <c r="I28" s="179"/>
      <c r="J28" s="179"/>
      <c r="K28" s="179"/>
      <c r="L28" s="179"/>
      <c r="M28" s="179"/>
      <c r="N28" s="179"/>
      <c r="O28" s="179"/>
      <c r="P28" s="179"/>
    </row>
    <row r="29" ht="12.0" customHeight="1">
      <c r="A29" s="255"/>
      <c r="B29" s="261"/>
      <c r="C29" s="261"/>
      <c r="D29" s="282"/>
      <c r="I29" s="179"/>
      <c r="J29" s="179"/>
      <c r="K29" s="179"/>
      <c r="L29" s="179"/>
      <c r="M29" s="179"/>
      <c r="N29" s="179"/>
      <c r="O29" s="179"/>
      <c r="P29" s="179"/>
    </row>
    <row r="30" ht="12.0" customHeight="1">
      <c r="A30" s="255"/>
      <c r="B30" s="261"/>
      <c r="C30" s="258" t="s">
        <v>1104</v>
      </c>
      <c r="D30" s="259">
        <f>D15*15*12+D19*10*12+D23*10*12</f>
        <v>391755257.5</v>
      </c>
    </row>
    <row r="31" ht="12.0" customHeight="1">
      <c r="A31" s="255"/>
      <c r="B31" s="261"/>
      <c r="C31" s="261" t="s">
        <v>1105</v>
      </c>
      <c r="D31" s="283">
        <v>5.553052575171914E8</v>
      </c>
      <c r="F31" s="275" t="s">
        <v>1106</v>
      </c>
      <c r="G31" s="278"/>
      <c r="H31" s="277">
        <f>SUM(H32:H40)</f>
        <v>2000000</v>
      </c>
    </row>
    <row r="32" ht="12.0" customHeight="1">
      <c r="A32" s="255"/>
      <c r="B32" s="261"/>
      <c r="C32" s="158" t="s">
        <v>1107</v>
      </c>
      <c r="D32" s="158"/>
      <c r="F32" s="179" t="s">
        <v>1108</v>
      </c>
      <c r="H32" s="171">
        <v>1500000.0</v>
      </c>
    </row>
    <row r="33" ht="12.0" customHeight="1">
      <c r="F33" s="179" t="s">
        <v>1109</v>
      </c>
      <c r="H33" s="171">
        <v>500000.0</v>
      </c>
    </row>
    <row r="34" ht="12.0" customHeight="1"/>
    <row r="35" ht="12.0" customHeight="1"/>
    <row r="36" ht="12.0" customHeight="1">
      <c r="D36" s="284"/>
    </row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 horizontalCentered="1" verticalCentered="1"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2.86"/>
    <col customWidth="1" min="3" max="3" width="8.57"/>
    <col customWidth="1" min="4" max="4" width="33.14"/>
    <col customWidth="1" min="5" max="5" width="15.43"/>
    <col customWidth="1" min="6" max="9" width="13.86"/>
    <col customWidth="1" min="10" max="11" width="2.86"/>
    <col customWidth="1" min="12" max="12" width="8.57"/>
    <col customWidth="1" min="13" max="13" width="33.14"/>
    <col customWidth="1" hidden="1" min="14" max="14" width="13.86"/>
    <col customWidth="1" min="15" max="15" width="15.0"/>
    <col customWidth="1" hidden="1" min="16" max="22" width="13.86"/>
    <col customWidth="1" hidden="1" min="23" max="23" width="2.43"/>
    <col customWidth="1" hidden="1" min="24" max="24" width="8.57"/>
    <col customWidth="1" hidden="1" min="25" max="25" width="33.14"/>
    <col customWidth="1" hidden="1" min="26" max="26" width="13.86"/>
    <col customWidth="1" min="27" max="27" width="13.43"/>
    <col customWidth="1" min="28" max="28" width="28.0"/>
    <col customWidth="1" min="29" max="29" width="31.86"/>
    <col customWidth="1" min="30" max="30" width="13.86"/>
  </cols>
  <sheetData>
    <row r="1" ht="12.0" customHeight="1">
      <c r="J1" s="4"/>
      <c r="AB1" s="5" t="s">
        <v>1110</v>
      </c>
    </row>
    <row r="2" ht="12.0" customHeight="1">
      <c r="B2" s="285"/>
      <c r="C2" s="286"/>
      <c r="D2" s="286"/>
      <c r="E2" s="287" t="s">
        <v>1111</v>
      </c>
      <c r="F2" s="287"/>
      <c r="G2" s="287"/>
      <c r="H2" s="287"/>
      <c r="I2" s="287"/>
      <c r="J2" s="4"/>
      <c r="K2" s="285"/>
      <c r="L2" s="286"/>
      <c r="M2" s="286"/>
      <c r="N2" s="287" t="s">
        <v>1112</v>
      </c>
      <c r="O2" s="257" t="s">
        <v>1059</v>
      </c>
      <c r="P2" s="288" t="s">
        <v>1059</v>
      </c>
      <c r="Q2" s="288" t="s">
        <v>1113</v>
      </c>
      <c r="R2" s="288" t="s">
        <v>1059</v>
      </c>
      <c r="S2" s="288" t="s">
        <v>1113</v>
      </c>
      <c r="T2" s="287"/>
      <c r="U2" s="287"/>
      <c r="V2" s="287"/>
      <c r="X2" s="286"/>
      <c r="Y2" s="286"/>
      <c r="Z2" s="287" t="s">
        <v>1114</v>
      </c>
      <c r="AB2" s="286"/>
      <c r="AC2" s="286"/>
      <c r="AD2" s="287" t="s">
        <v>1112</v>
      </c>
    </row>
    <row r="3" ht="12.0" customHeight="1">
      <c r="B3" s="255"/>
      <c r="C3" s="289" t="s">
        <v>1115</v>
      </c>
      <c r="D3" s="289"/>
      <c r="E3" s="290">
        <v>4.3E8</v>
      </c>
      <c r="F3" s="290">
        <v>4.5E8</v>
      </c>
      <c r="G3" s="291">
        <v>4.7E8</v>
      </c>
      <c r="H3" s="290">
        <v>4.8E8</v>
      </c>
      <c r="I3" s="290">
        <v>5.0E8</v>
      </c>
      <c r="J3" s="4"/>
      <c r="K3" s="255"/>
      <c r="L3" s="289" t="s">
        <v>1115</v>
      </c>
      <c r="M3" s="289"/>
      <c r="N3" s="292">
        <v>4.3E8</v>
      </c>
      <c r="O3" s="293">
        <v>4.3E8</v>
      </c>
      <c r="P3" s="290">
        <v>4.5E8</v>
      </c>
      <c r="Q3" s="290">
        <v>4.5E8</v>
      </c>
      <c r="R3" s="290">
        <v>4.7E8</v>
      </c>
      <c r="S3" s="290">
        <v>4.7E8</v>
      </c>
      <c r="T3" s="290">
        <v>4.8E8</v>
      </c>
      <c r="U3" s="291">
        <v>4.9E8</v>
      </c>
      <c r="V3" s="290">
        <v>5.0E8</v>
      </c>
      <c r="X3" s="289" t="s">
        <v>1116</v>
      </c>
      <c r="Y3" s="289"/>
      <c r="Z3" s="290">
        <v>3.5E8</v>
      </c>
      <c r="AB3" s="289" t="s">
        <v>1115</v>
      </c>
      <c r="AC3" s="289"/>
      <c r="AD3" s="290">
        <v>4.3E8</v>
      </c>
    </row>
    <row r="4" ht="12.0" customHeight="1">
      <c r="B4" s="255"/>
      <c r="C4" s="261" t="s">
        <v>1063</v>
      </c>
      <c r="D4" s="261"/>
      <c r="E4" s="249">
        <f t="shared" ref="E4:I4" si="1">E3*90%</f>
        <v>387000000</v>
      </c>
      <c r="F4" s="249">
        <f t="shared" si="1"/>
        <v>405000000</v>
      </c>
      <c r="G4" s="249">
        <f t="shared" si="1"/>
        <v>423000000</v>
      </c>
      <c r="H4" s="249">
        <f t="shared" si="1"/>
        <v>432000000</v>
      </c>
      <c r="I4" s="249">
        <f t="shared" si="1"/>
        <v>450000000</v>
      </c>
      <c r="J4" s="4"/>
      <c r="K4" s="255"/>
      <c r="L4" s="261" t="s">
        <v>1063</v>
      </c>
      <c r="M4" s="261"/>
      <c r="N4" s="294">
        <f t="shared" ref="N4:V4" si="2">N3*90%</f>
        <v>387000000</v>
      </c>
      <c r="O4" s="262">
        <f t="shared" si="2"/>
        <v>387000000</v>
      </c>
      <c r="P4" s="249">
        <f t="shared" si="2"/>
        <v>405000000</v>
      </c>
      <c r="Q4" s="249">
        <f t="shared" si="2"/>
        <v>405000000</v>
      </c>
      <c r="R4" s="249">
        <f t="shared" si="2"/>
        <v>423000000</v>
      </c>
      <c r="S4" s="249">
        <f t="shared" si="2"/>
        <v>423000000</v>
      </c>
      <c r="T4" s="249">
        <f t="shared" si="2"/>
        <v>432000000</v>
      </c>
      <c r="U4" s="249">
        <f t="shared" si="2"/>
        <v>441000000</v>
      </c>
      <c r="V4" s="249">
        <f t="shared" si="2"/>
        <v>450000000</v>
      </c>
      <c r="X4" s="261"/>
      <c r="Y4" s="261"/>
      <c r="Z4" s="249"/>
      <c r="AB4" s="261" t="s">
        <v>1063</v>
      </c>
      <c r="AC4" s="261"/>
      <c r="AD4" s="249">
        <v>4.0E8</v>
      </c>
    </row>
    <row r="5" ht="12.0" customHeight="1">
      <c r="B5" s="255"/>
      <c r="C5" s="261" t="s">
        <v>1065</v>
      </c>
      <c r="D5" s="261"/>
      <c r="E5" s="249">
        <f t="shared" ref="E5:I5" si="3">E3*1.3%</f>
        <v>5590000</v>
      </c>
      <c r="F5" s="249">
        <f t="shared" si="3"/>
        <v>5850000</v>
      </c>
      <c r="G5" s="249">
        <f t="shared" si="3"/>
        <v>6110000</v>
      </c>
      <c r="H5" s="249">
        <f t="shared" si="3"/>
        <v>6240000</v>
      </c>
      <c r="I5" s="249">
        <f t="shared" si="3"/>
        <v>6500000</v>
      </c>
      <c r="J5" s="4"/>
      <c r="K5" s="255"/>
      <c r="L5" s="261" t="s">
        <v>1065</v>
      </c>
      <c r="M5" s="261"/>
      <c r="N5" s="294">
        <f t="shared" ref="N5:V5" si="4">N3*1.3%</f>
        <v>5590000</v>
      </c>
      <c r="O5" s="262">
        <f t="shared" si="4"/>
        <v>5590000</v>
      </c>
      <c r="P5" s="249">
        <f t="shared" si="4"/>
        <v>5850000</v>
      </c>
      <c r="Q5" s="249">
        <f t="shared" si="4"/>
        <v>5850000</v>
      </c>
      <c r="R5" s="249">
        <f t="shared" si="4"/>
        <v>6110000</v>
      </c>
      <c r="S5" s="249">
        <f t="shared" si="4"/>
        <v>6110000</v>
      </c>
      <c r="T5" s="249">
        <f t="shared" si="4"/>
        <v>6240000</v>
      </c>
      <c r="U5" s="249">
        <f t="shared" si="4"/>
        <v>6370000</v>
      </c>
      <c r="V5" s="249">
        <f t="shared" si="4"/>
        <v>6500000</v>
      </c>
      <c r="X5" s="261"/>
      <c r="Y5" s="261"/>
      <c r="Z5" s="249"/>
      <c r="AB5" s="261" t="s">
        <v>1065</v>
      </c>
      <c r="AC5" s="261"/>
      <c r="AD5" s="249">
        <f>AD3*1.3%</f>
        <v>5590000</v>
      </c>
    </row>
    <row r="6" ht="12.0" customHeight="1">
      <c r="B6" s="255"/>
      <c r="C6" s="261" t="s">
        <v>1067</v>
      </c>
      <c r="D6" s="261"/>
      <c r="E6" s="249">
        <f t="shared" ref="E6:I6" si="5">E3*0.4%</f>
        <v>1720000</v>
      </c>
      <c r="F6" s="249">
        <f t="shared" si="5"/>
        <v>1800000</v>
      </c>
      <c r="G6" s="249">
        <f t="shared" si="5"/>
        <v>1880000</v>
      </c>
      <c r="H6" s="249">
        <f t="shared" si="5"/>
        <v>1920000</v>
      </c>
      <c r="I6" s="249">
        <f t="shared" si="5"/>
        <v>2000000</v>
      </c>
      <c r="J6" s="4"/>
      <c r="K6" s="255"/>
      <c r="L6" s="261" t="s">
        <v>1067</v>
      </c>
      <c r="M6" s="261"/>
      <c r="N6" s="294">
        <f t="shared" ref="N6:V6" si="6">N3*0.4%</f>
        <v>1720000</v>
      </c>
      <c r="O6" s="262">
        <f t="shared" si="6"/>
        <v>1720000</v>
      </c>
      <c r="P6" s="249">
        <f t="shared" si="6"/>
        <v>1800000</v>
      </c>
      <c r="Q6" s="249">
        <f t="shared" si="6"/>
        <v>1800000</v>
      </c>
      <c r="R6" s="249">
        <f t="shared" si="6"/>
        <v>1880000</v>
      </c>
      <c r="S6" s="249">
        <f t="shared" si="6"/>
        <v>1880000</v>
      </c>
      <c r="T6" s="249">
        <f t="shared" si="6"/>
        <v>1920000</v>
      </c>
      <c r="U6" s="249">
        <f t="shared" si="6"/>
        <v>1960000</v>
      </c>
      <c r="V6" s="249">
        <f t="shared" si="6"/>
        <v>2000000</v>
      </c>
      <c r="X6" s="261" t="s">
        <v>1067</v>
      </c>
      <c r="Y6" s="261"/>
      <c r="Z6" s="249">
        <f>Z3*0.4%</f>
        <v>1400000</v>
      </c>
      <c r="AB6" s="261" t="s">
        <v>1067</v>
      </c>
      <c r="AC6" s="261"/>
      <c r="AD6" s="249">
        <f>AD3*0.4%</f>
        <v>1720000</v>
      </c>
    </row>
    <row r="7" ht="12.0" customHeight="1">
      <c r="B7" s="255"/>
      <c r="C7" s="261" t="s">
        <v>1069</v>
      </c>
      <c r="D7" s="261"/>
      <c r="E7" s="249">
        <v>1.7E7</v>
      </c>
      <c r="F7" s="249">
        <v>1.7E7</v>
      </c>
      <c r="G7" s="249">
        <v>1.7E7</v>
      </c>
      <c r="H7" s="249">
        <v>1.7E7</v>
      </c>
      <c r="I7" s="249">
        <v>1.7E7</v>
      </c>
      <c r="J7" s="4"/>
      <c r="K7" s="255"/>
      <c r="L7" s="261" t="s">
        <v>1069</v>
      </c>
      <c r="M7" s="261"/>
      <c r="N7" s="294">
        <v>2.5E7</v>
      </c>
      <c r="O7" s="262">
        <v>2.5E7</v>
      </c>
      <c r="P7" s="249">
        <v>1.7E7</v>
      </c>
      <c r="Q7" s="249">
        <v>1.7E7</v>
      </c>
      <c r="R7" s="249">
        <v>1.7E7</v>
      </c>
      <c r="S7" s="249">
        <v>1.7E7</v>
      </c>
      <c r="T7" s="249">
        <v>1.7E7</v>
      </c>
      <c r="U7" s="249">
        <v>1.7E7</v>
      </c>
      <c r="V7" s="249">
        <v>1.7E7</v>
      </c>
      <c r="X7" s="261" t="s">
        <v>1069</v>
      </c>
      <c r="Y7" s="261"/>
      <c r="Z7" s="249">
        <v>1.7E7</v>
      </c>
      <c r="AB7" s="261" t="s">
        <v>1069</v>
      </c>
      <c r="AC7" s="261"/>
      <c r="AD7" s="249">
        <v>5000000.0</v>
      </c>
    </row>
    <row r="8" ht="12.0" customHeight="1">
      <c r="B8" s="255"/>
      <c r="C8" s="261" t="s">
        <v>1071</v>
      </c>
      <c r="D8" s="261"/>
      <c r="E8" s="249">
        <f t="shared" ref="E8:I8" si="7">240000000*0.3%</f>
        <v>720000</v>
      </c>
      <c r="F8" s="249">
        <f t="shared" si="7"/>
        <v>720000</v>
      </c>
      <c r="G8" s="249">
        <f t="shared" si="7"/>
        <v>720000</v>
      </c>
      <c r="H8" s="249">
        <f t="shared" si="7"/>
        <v>720000</v>
      </c>
      <c r="I8" s="249">
        <f t="shared" si="7"/>
        <v>720000</v>
      </c>
      <c r="J8" s="4"/>
      <c r="K8" s="255"/>
      <c r="L8" s="261" t="s">
        <v>1071</v>
      </c>
      <c r="M8" s="261"/>
      <c r="N8" s="294">
        <v>0.0</v>
      </c>
      <c r="O8" s="262">
        <v>0.0</v>
      </c>
      <c r="P8" s="249">
        <f t="shared" ref="P8:V8" si="8">240000000*0.3%</f>
        <v>720000</v>
      </c>
      <c r="Q8" s="249">
        <f t="shared" si="8"/>
        <v>720000</v>
      </c>
      <c r="R8" s="249">
        <f t="shared" si="8"/>
        <v>720000</v>
      </c>
      <c r="S8" s="249">
        <f t="shared" si="8"/>
        <v>720000</v>
      </c>
      <c r="T8" s="249">
        <f t="shared" si="8"/>
        <v>720000</v>
      </c>
      <c r="U8" s="249">
        <f t="shared" si="8"/>
        <v>720000</v>
      </c>
      <c r="V8" s="249">
        <f t="shared" si="8"/>
        <v>720000</v>
      </c>
      <c r="X8" s="261" t="s">
        <v>1071</v>
      </c>
      <c r="Y8" s="261"/>
      <c r="Z8" s="249">
        <f>240000000*0.3%</f>
        <v>720000</v>
      </c>
      <c r="AB8" s="261" t="s">
        <v>1071</v>
      </c>
      <c r="AC8" s="261"/>
      <c r="AD8" s="249">
        <v>0.0</v>
      </c>
    </row>
    <row r="9" ht="12.0" customHeight="1">
      <c r="B9" s="255"/>
      <c r="C9" s="268" t="s">
        <v>1072</v>
      </c>
      <c r="D9" s="268"/>
      <c r="E9" s="295">
        <f t="shared" ref="E9:I9" si="9">E3+SUM(E5:E8)</f>
        <v>455030000</v>
      </c>
      <c r="F9" s="295">
        <f t="shared" si="9"/>
        <v>475370000</v>
      </c>
      <c r="G9" s="295">
        <f t="shared" si="9"/>
        <v>495710000</v>
      </c>
      <c r="H9" s="295">
        <f t="shared" si="9"/>
        <v>505880000</v>
      </c>
      <c r="I9" s="295">
        <f t="shared" si="9"/>
        <v>526220000</v>
      </c>
      <c r="J9" s="4"/>
      <c r="K9" s="255"/>
      <c r="L9" s="268" t="s">
        <v>1072</v>
      </c>
      <c r="M9" s="268"/>
      <c r="N9" s="296">
        <f t="shared" ref="N9:V9" si="10">N3+SUM(N5:N8)</f>
        <v>462310000</v>
      </c>
      <c r="O9" s="269">
        <f t="shared" si="10"/>
        <v>462310000</v>
      </c>
      <c r="P9" s="295">
        <f t="shared" si="10"/>
        <v>475370000</v>
      </c>
      <c r="Q9" s="295">
        <f t="shared" si="10"/>
        <v>475370000</v>
      </c>
      <c r="R9" s="295">
        <f t="shared" si="10"/>
        <v>495710000</v>
      </c>
      <c r="S9" s="295">
        <f t="shared" si="10"/>
        <v>495710000</v>
      </c>
      <c r="T9" s="295">
        <f t="shared" si="10"/>
        <v>505880000</v>
      </c>
      <c r="U9" s="295">
        <f t="shared" si="10"/>
        <v>516050000</v>
      </c>
      <c r="V9" s="295">
        <f t="shared" si="10"/>
        <v>526220000</v>
      </c>
      <c r="X9" s="268" t="s">
        <v>1072</v>
      </c>
      <c r="Y9" s="268"/>
      <c r="Z9" s="295">
        <f>Z3+SUM(Z5:Z8)</f>
        <v>369120000</v>
      </c>
      <c r="AB9" s="268" t="s">
        <v>1072</v>
      </c>
      <c r="AC9" s="268"/>
      <c r="AD9" s="295">
        <f>AD3+SUM(AD5:AD8)</f>
        <v>442310000</v>
      </c>
    </row>
    <row r="10" ht="12.0" customHeight="1">
      <c r="A10" s="179"/>
      <c r="B10" s="255"/>
      <c r="C10" s="272" t="s">
        <v>1074</v>
      </c>
      <c r="D10" s="273"/>
      <c r="E10" s="297">
        <v>2.9208E8</v>
      </c>
      <c r="F10" s="297">
        <v>3.1242E8</v>
      </c>
      <c r="G10" s="297">
        <v>3.3276E8</v>
      </c>
      <c r="H10" s="297">
        <v>3.4293E8</v>
      </c>
      <c r="I10" s="297">
        <v>3.6327E8</v>
      </c>
      <c r="J10" s="4"/>
      <c r="K10" s="255"/>
      <c r="L10" s="272" t="s">
        <v>1074</v>
      </c>
      <c r="M10" s="273"/>
      <c r="N10" s="298">
        <v>2.8531E8</v>
      </c>
      <c r="O10" s="274">
        <v>2.8531E8</v>
      </c>
      <c r="P10" s="297">
        <v>2.9837E8</v>
      </c>
      <c r="Q10" s="297">
        <v>2.9837E8</v>
      </c>
      <c r="R10" s="297">
        <v>3.3276E8</v>
      </c>
      <c r="S10" s="297">
        <v>3.3276E8</v>
      </c>
      <c r="T10" s="297">
        <v>3.4293E8</v>
      </c>
      <c r="U10" s="297">
        <v>3.531E8</v>
      </c>
      <c r="V10" s="297">
        <v>3.6327E8</v>
      </c>
      <c r="W10" s="179"/>
      <c r="X10" s="272" t="s">
        <v>1074</v>
      </c>
      <c r="Y10" s="273"/>
      <c r="Z10" s="297">
        <v>2.0617E8</v>
      </c>
      <c r="AA10" s="179"/>
      <c r="AB10" s="272" t="s">
        <v>1074</v>
      </c>
      <c r="AC10" s="273"/>
      <c r="AD10" s="297">
        <f>AD9-45000000</f>
        <v>397310000</v>
      </c>
    </row>
    <row r="11" ht="12.0" customHeight="1">
      <c r="A11" s="179"/>
      <c r="B11" s="255"/>
      <c r="C11" s="256"/>
      <c r="D11" s="256"/>
      <c r="E11" s="249"/>
      <c r="F11" s="249"/>
      <c r="G11" s="249"/>
      <c r="H11" s="249"/>
      <c r="I11" s="249"/>
      <c r="J11" s="4"/>
      <c r="K11" s="255"/>
      <c r="L11" s="256"/>
      <c r="M11" s="256"/>
      <c r="N11" s="294"/>
      <c r="O11" s="262"/>
      <c r="P11" s="249"/>
      <c r="Q11" s="249"/>
      <c r="R11" s="249"/>
      <c r="S11" s="249"/>
      <c r="T11" s="249"/>
      <c r="U11" s="249"/>
      <c r="V11" s="249"/>
      <c r="W11" s="179"/>
      <c r="X11" s="256"/>
      <c r="Y11" s="256"/>
      <c r="Z11" s="249"/>
      <c r="AA11" s="179"/>
      <c r="AB11" s="256"/>
      <c r="AC11" s="256"/>
      <c r="AD11" s="249"/>
    </row>
    <row r="12" ht="12.0" customHeight="1">
      <c r="A12" s="179"/>
      <c r="B12" s="255"/>
      <c r="C12" s="256" t="s">
        <v>1117</v>
      </c>
      <c r="D12" s="256"/>
      <c r="E12" s="249"/>
      <c r="F12" s="249"/>
      <c r="G12" s="249"/>
      <c r="H12" s="249"/>
      <c r="I12" s="249"/>
      <c r="J12" s="4"/>
      <c r="K12" s="255"/>
      <c r="L12" s="256" t="s">
        <v>1077</v>
      </c>
      <c r="M12" s="256"/>
      <c r="N12" s="294"/>
      <c r="O12" s="262"/>
      <c r="P12" s="249"/>
      <c r="Q12" s="249"/>
      <c r="R12" s="249"/>
      <c r="S12" s="249"/>
      <c r="T12" s="249"/>
      <c r="U12" s="249"/>
      <c r="V12" s="249"/>
      <c r="W12" s="179"/>
      <c r="X12" s="256" t="s">
        <v>1077</v>
      </c>
      <c r="Y12" s="256"/>
      <c r="Z12" s="249"/>
      <c r="AA12" s="179"/>
      <c r="AB12" s="256" t="s">
        <v>1077</v>
      </c>
      <c r="AC12" s="256"/>
      <c r="AD12" s="249"/>
    </row>
    <row r="13" ht="12.0" customHeight="1">
      <c r="A13" s="179"/>
      <c r="B13" s="255"/>
      <c r="C13" s="261"/>
      <c r="D13" s="261" t="s">
        <v>1118</v>
      </c>
      <c r="E13" s="249">
        <f t="shared" ref="E13:I13" si="11">E4*40%</f>
        <v>154800000</v>
      </c>
      <c r="F13" s="249">
        <f t="shared" si="11"/>
        <v>162000000</v>
      </c>
      <c r="G13" s="249">
        <f t="shared" si="11"/>
        <v>169200000</v>
      </c>
      <c r="H13" s="249">
        <f t="shared" si="11"/>
        <v>172800000</v>
      </c>
      <c r="I13" s="249">
        <f t="shared" si="11"/>
        <v>180000000</v>
      </c>
      <c r="J13" s="4"/>
      <c r="K13" s="255"/>
      <c r="L13" s="261"/>
      <c r="M13" s="261" t="s">
        <v>1079</v>
      </c>
      <c r="N13" s="294">
        <f>N10-N17-N21</f>
        <v>135310000</v>
      </c>
      <c r="O13" s="262">
        <f>O10-O21</f>
        <v>205310000</v>
      </c>
      <c r="P13" s="249">
        <f>MIN(P10-P21,P10*70%)</f>
        <v>208370000</v>
      </c>
      <c r="Q13" s="249">
        <f>Q10-Q17-Q21</f>
        <v>118370000</v>
      </c>
      <c r="R13" s="249">
        <f>MIN(R10-R21,R10*70%)</f>
        <v>232932000</v>
      </c>
      <c r="S13" s="249">
        <f>S10-S17-S21</f>
        <v>152760000</v>
      </c>
      <c r="T13" s="249">
        <f t="shared" ref="T13:V13" si="12">MIN(T10-T21,T10*70%)</f>
        <v>240051000</v>
      </c>
      <c r="U13" s="249">
        <f t="shared" si="12"/>
        <v>247170000</v>
      </c>
      <c r="V13" s="249">
        <f t="shared" si="12"/>
        <v>254289000</v>
      </c>
      <c r="W13" s="179"/>
      <c r="X13" s="261"/>
      <c r="Y13" s="261" t="s">
        <v>1119</v>
      </c>
      <c r="Z13" s="249">
        <f>Z10</f>
        <v>206170000</v>
      </c>
      <c r="AA13" s="179"/>
      <c r="AB13" s="261"/>
      <c r="AC13" s="261" t="s">
        <v>1079</v>
      </c>
      <c r="AD13" s="249">
        <f>AD4*70%</f>
        <v>280000000</v>
      </c>
    </row>
    <row r="14" ht="12.0" customHeight="1">
      <c r="A14" s="179"/>
      <c r="B14" s="255"/>
      <c r="C14" s="261"/>
      <c r="D14" s="261" t="s">
        <v>1120</v>
      </c>
      <c r="E14" s="249">
        <v>5.964077909175229E7</v>
      </c>
      <c r="F14" s="249">
        <v>6.2414768816950075E7</v>
      </c>
      <c r="G14" s="249">
        <v>8.226486170471264E7</v>
      </c>
      <c r="H14" s="249">
        <v>8.401517791119587E7</v>
      </c>
      <c r="I14" s="249">
        <v>8.751581032416235E7</v>
      </c>
      <c r="J14" s="54"/>
      <c r="K14" s="255"/>
      <c r="L14" s="261"/>
      <c r="M14" s="261" t="s">
        <v>1121</v>
      </c>
      <c r="N14" s="294">
        <v>5.257303086577052E7</v>
      </c>
      <c r="O14" s="262">
        <v>5.888056221370143E7</v>
      </c>
      <c r="P14" s="249">
        <v>9.025389214071727E7</v>
      </c>
      <c r="Q14" s="249">
        <v>5.271699656533632E7</v>
      </c>
      <c r="R14" s="249">
        <v>1.175362837191624E8</v>
      </c>
      <c r="S14" s="249">
        <v>8.039316641749817E7</v>
      </c>
      <c r="T14" s="249">
        <v>1.20997534017483E8</v>
      </c>
      <c r="U14" s="249">
        <v>1.0465882929907277E8</v>
      </c>
      <c r="V14" s="249">
        <v>1.2792003461412424E8</v>
      </c>
      <c r="W14" s="179"/>
      <c r="X14" s="261"/>
      <c r="Y14" s="261" t="s">
        <v>1122</v>
      </c>
      <c r="Z14" s="249">
        <v>7.250555142613679E7</v>
      </c>
      <c r="AA14" s="179"/>
      <c r="AB14" s="261"/>
      <c r="AC14" s="261" t="s">
        <v>1123</v>
      </c>
      <c r="AD14" s="249">
        <v>2.6111619599623525E8</v>
      </c>
    </row>
    <row r="15" ht="12.0" customHeight="1">
      <c r="A15" s="179"/>
      <c r="B15" s="255"/>
      <c r="C15" s="261"/>
      <c r="D15" s="261" t="s">
        <v>1124</v>
      </c>
      <c r="E15" s="249">
        <v>1145036.9088431278</v>
      </c>
      <c r="F15" s="249">
        <v>1198294.4394869942</v>
      </c>
      <c r="G15" s="249">
        <v>1251551.9701308606</v>
      </c>
      <c r="H15" s="249">
        <v>1278180.7354527938</v>
      </c>
      <c r="I15" s="249">
        <v>1331438.2660966602</v>
      </c>
      <c r="J15" s="4"/>
      <c r="K15" s="255"/>
      <c r="L15" s="261"/>
      <c r="M15" s="261" t="s">
        <v>1125</v>
      </c>
      <c r="N15" s="294">
        <v>981852.0714765028</v>
      </c>
      <c r="O15" s="262">
        <v>1467725.3456316746</v>
      </c>
      <c r="P15" s="249">
        <v>1685578.5085595404</v>
      </c>
      <c r="Q15" s="249">
        <v>984540.7698074239</v>
      </c>
      <c r="R15" s="249">
        <v>1788160.3931773284</v>
      </c>
      <c r="S15" s="249">
        <v>1223076.5812995231</v>
      </c>
      <c r="T15" s="249">
        <v>1840818.7766014512</v>
      </c>
      <c r="U15" s="249">
        <v>1954604.6072170709</v>
      </c>
      <c r="V15" s="249">
        <v>1946135.5434496969</v>
      </c>
      <c r="W15" s="179"/>
      <c r="X15" s="261"/>
      <c r="Y15" s="261" t="s">
        <v>1126</v>
      </c>
      <c r="Z15" s="249">
        <v>1618143.9023674265</v>
      </c>
      <c r="AA15" s="179"/>
      <c r="AB15" s="261"/>
      <c r="AC15" s="261" t="s">
        <v>1127</v>
      </c>
      <c r="AD15" s="249">
        <v>1503100.5444339868</v>
      </c>
    </row>
    <row r="16" ht="12.0" customHeight="1">
      <c r="A16" s="179"/>
      <c r="B16" s="255"/>
      <c r="C16" s="261"/>
      <c r="D16" s="261"/>
      <c r="E16" s="249"/>
      <c r="F16" s="249"/>
      <c r="G16" s="249"/>
      <c r="H16" s="249"/>
      <c r="I16" s="249"/>
      <c r="J16" s="4"/>
      <c r="K16" s="255"/>
      <c r="L16" s="261"/>
      <c r="M16" s="261"/>
      <c r="N16" s="294"/>
      <c r="O16" s="262"/>
      <c r="P16" s="249"/>
      <c r="Q16" s="249"/>
      <c r="R16" s="249"/>
      <c r="S16" s="249"/>
      <c r="T16" s="249"/>
      <c r="U16" s="249"/>
      <c r="V16" s="249"/>
      <c r="W16" s="179"/>
      <c r="X16" s="261"/>
      <c r="Y16" s="261"/>
      <c r="Z16" s="249"/>
      <c r="AA16" s="179"/>
      <c r="AB16" s="261"/>
      <c r="AC16" s="261"/>
      <c r="AD16" s="249"/>
    </row>
    <row r="17" ht="12.0" customHeight="1">
      <c r="A17" s="179"/>
      <c r="B17" s="255"/>
      <c r="C17" s="261"/>
      <c r="D17" s="261" t="s">
        <v>1085</v>
      </c>
      <c r="E17" s="249">
        <f t="shared" ref="E17:G17" si="13">E10-E13-E21</f>
        <v>47280000</v>
      </c>
      <c r="F17" s="249">
        <f t="shared" si="13"/>
        <v>60420000</v>
      </c>
      <c r="G17" s="249">
        <f t="shared" si="13"/>
        <v>73560000</v>
      </c>
      <c r="H17" s="249">
        <v>9.0E7</v>
      </c>
      <c r="I17" s="249">
        <v>9.0E7</v>
      </c>
      <c r="J17" s="179"/>
      <c r="K17" s="255"/>
      <c r="L17" s="261"/>
      <c r="M17" s="261" t="s">
        <v>1085</v>
      </c>
      <c r="N17" s="294">
        <v>7.0E7</v>
      </c>
      <c r="O17" s="279"/>
      <c r="P17" s="299">
        <f>P10-P13-P21</f>
        <v>0</v>
      </c>
      <c r="Q17" s="299">
        <v>9.0E7</v>
      </c>
      <c r="R17" s="249">
        <f>R10-R13-R21</f>
        <v>9828000</v>
      </c>
      <c r="S17" s="249">
        <v>9.0E7</v>
      </c>
      <c r="T17" s="249">
        <f t="shared" ref="T17:V17" si="14">T10-T13-T21</f>
        <v>12879000</v>
      </c>
      <c r="U17" s="249">
        <f t="shared" si="14"/>
        <v>15930000</v>
      </c>
      <c r="V17" s="249">
        <f t="shared" si="14"/>
        <v>18981000</v>
      </c>
      <c r="W17" s="179"/>
      <c r="X17" s="261"/>
      <c r="Y17" s="261"/>
      <c r="Z17" s="249"/>
      <c r="AA17" s="179"/>
      <c r="AB17" s="261"/>
      <c r="AC17" s="261" t="s">
        <v>1085</v>
      </c>
      <c r="AD17" s="249">
        <v>9.0E7</v>
      </c>
    </row>
    <row r="18" ht="12.0" customHeight="1">
      <c r="A18" s="179"/>
      <c r="B18" s="255"/>
      <c r="C18" s="261"/>
      <c r="D18" s="261" t="s">
        <v>1128</v>
      </c>
      <c r="E18" s="249">
        <v>1.1848691569767147E7</v>
      </c>
      <c r="F18" s="249">
        <v>1.4449174189732745E7</v>
      </c>
      <c r="G18" s="249">
        <v>1.7049656809698373E7</v>
      </c>
      <c r="H18" s="249">
        <v>1.781152479428497E7</v>
      </c>
      <c r="I18" s="249">
        <v>1.781152479428497E7</v>
      </c>
      <c r="J18" s="54"/>
      <c r="K18" s="255"/>
      <c r="L18" s="261"/>
      <c r="M18" s="261" t="s">
        <v>1129</v>
      </c>
      <c r="N18" s="294">
        <v>1.5045916058498591E7</v>
      </c>
      <c r="O18" s="262"/>
      <c r="P18" s="249">
        <v>290171.2382710441</v>
      </c>
      <c r="Q18" s="249">
        <v>1.9344749218069613E7</v>
      </c>
      <c r="R18" s="249">
        <v>2692529.670886757</v>
      </c>
      <c r="S18" s="249">
        <v>1.781152479428497E7</v>
      </c>
      <c r="T18" s="249">
        <v>3296340.361413017</v>
      </c>
      <c r="U18" s="249">
        <v>3900151.051939275</v>
      </c>
      <c r="V18" s="249">
        <v>4503961.742465533</v>
      </c>
      <c r="W18" s="179"/>
      <c r="X18" s="261"/>
      <c r="Y18" s="261"/>
      <c r="Z18" s="249"/>
      <c r="AA18" s="179"/>
      <c r="AB18" s="261"/>
      <c r="AC18" s="261" t="s">
        <v>1130</v>
      </c>
      <c r="AD18" s="249">
        <v>2.455075645820093E7</v>
      </c>
    </row>
    <row r="19" ht="12.0" customHeight="1">
      <c r="A19" s="179"/>
      <c r="B19" s="255"/>
      <c r="C19" s="261"/>
      <c r="D19" s="261" t="s">
        <v>1131</v>
      </c>
      <c r="E19" s="249">
        <v>597658.6880813929</v>
      </c>
      <c r="F19" s="249">
        <v>728829.3765811062</v>
      </c>
      <c r="G19" s="249">
        <v>860000.0650808198</v>
      </c>
      <c r="H19" s="249">
        <v>898429.3732857081</v>
      </c>
      <c r="I19" s="249">
        <v>898429.3732857081</v>
      </c>
      <c r="J19" s="4"/>
      <c r="K19" s="255"/>
      <c r="L19" s="261"/>
      <c r="M19" s="261" t="s">
        <v>1132</v>
      </c>
      <c r="N19" s="294">
        <v>708715.9671541549</v>
      </c>
      <c r="O19" s="262"/>
      <c r="P19" s="249">
        <v>13668.093652258702</v>
      </c>
      <c r="Q19" s="249">
        <v>911206.2434839135</v>
      </c>
      <c r="R19" s="249">
        <v>135813.62475738974</v>
      </c>
      <c r="S19" s="249">
        <v>898429.3732857081</v>
      </c>
      <c r="T19" s="249">
        <v>166270.38051177523</v>
      </c>
      <c r="U19" s="249">
        <v>196727.13626616073</v>
      </c>
      <c r="V19" s="249">
        <v>227183.89202054622</v>
      </c>
      <c r="W19" s="179"/>
      <c r="X19" s="261"/>
      <c r="Y19" s="261"/>
      <c r="Z19" s="249"/>
      <c r="AA19" s="179"/>
      <c r="AB19" s="261"/>
      <c r="AC19" s="261" t="s">
        <v>1133</v>
      </c>
      <c r="AD19" s="249">
        <v>954589.6371516745</v>
      </c>
    </row>
    <row r="20" ht="12.0" customHeight="1">
      <c r="A20" s="179"/>
      <c r="B20" s="255"/>
      <c r="C20" s="261"/>
      <c r="D20" s="261"/>
      <c r="E20" s="249"/>
      <c r="F20" s="249"/>
      <c r="G20" s="249"/>
      <c r="H20" s="249"/>
      <c r="I20" s="249"/>
      <c r="J20" s="4"/>
      <c r="K20" s="255"/>
      <c r="L20" s="261"/>
      <c r="M20" s="261"/>
      <c r="N20" s="294"/>
      <c r="O20" s="262"/>
      <c r="P20" s="249"/>
      <c r="Q20" s="249"/>
      <c r="R20" s="249"/>
      <c r="S20" s="249"/>
      <c r="T20" s="249"/>
      <c r="U20" s="249"/>
      <c r="V20" s="249"/>
      <c r="W20" s="179"/>
      <c r="X20" s="261"/>
      <c r="Y20" s="261"/>
      <c r="Z20" s="249"/>
      <c r="AA20" s="179"/>
      <c r="AB20" s="261"/>
      <c r="AC20" s="261"/>
      <c r="AD20" s="249"/>
    </row>
    <row r="21" ht="12.0" customHeight="1">
      <c r="A21" s="179"/>
      <c r="B21" s="255"/>
      <c r="C21" s="261"/>
      <c r="D21" s="261" t="s">
        <v>1092</v>
      </c>
      <c r="E21" s="249">
        <v>9.0E7</v>
      </c>
      <c r="F21" s="249">
        <v>9.0E7</v>
      </c>
      <c r="G21" s="249">
        <v>9.0E7</v>
      </c>
      <c r="H21" s="249">
        <v>9.0E7</v>
      </c>
      <c r="I21" s="249">
        <v>9.0E7</v>
      </c>
      <c r="J21" s="4"/>
      <c r="K21" s="255"/>
      <c r="L21" s="261"/>
      <c r="M21" s="261" t="s">
        <v>1092</v>
      </c>
      <c r="N21" s="294">
        <v>8.0E7</v>
      </c>
      <c r="O21" s="262">
        <v>8.0E7</v>
      </c>
      <c r="P21" s="249">
        <v>9.0E7</v>
      </c>
      <c r="Q21" s="249">
        <v>9.0E7</v>
      </c>
      <c r="R21" s="249">
        <v>9.0E7</v>
      </c>
      <c r="S21" s="249">
        <v>9.0E7</v>
      </c>
      <c r="T21" s="249">
        <v>9.0E7</v>
      </c>
      <c r="U21" s="249">
        <v>9.0E7</v>
      </c>
      <c r="V21" s="249">
        <v>9.0E7</v>
      </c>
      <c r="W21" s="179"/>
      <c r="X21" s="261"/>
      <c r="Y21" s="261"/>
      <c r="Z21" s="249"/>
      <c r="AA21" s="179"/>
      <c r="AB21" s="261"/>
      <c r="AC21" s="261" t="s">
        <v>1134</v>
      </c>
      <c r="AD21" s="249">
        <f>AD10-AD13-AD17</f>
        <v>27310000</v>
      </c>
    </row>
    <row r="22" ht="12.0" customHeight="1">
      <c r="A22" s="179"/>
      <c r="B22" s="255"/>
      <c r="C22" s="261"/>
      <c r="D22" s="261" t="s">
        <v>1135</v>
      </c>
      <c r="E22" s="249">
        <v>1.9344749218069613E7</v>
      </c>
      <c r="F22" s="249">
        <v>1.9344749218069613E7</v>
      </c>
      <c r="G22" s="249">
        <v>1.9344749218069613E7</v>
      </c>
      <c r="H22" s="249">
        <v>1.9344749218069613E7</v>
      </c>
      <c r="I22" s="249">
        <v>1.9344749218069613E7</v>
      </c>
      <c r="J22" s="54"/>
      <c r="K22" s="255"/>
      <c r="L22" s="261"/>
      <c r="M22" s="261" t="s">
        <v>1136</v>
      </c>
      <c r="N22" s="294">
        <v>2.205175624279192E7</v>
      </c>
      <c r="O22" s="262">
        <v>2.205175624279192E7</v>
      </c>
      <c r="P22" s="249">
        <v>1.9344749218069613E7</v>
      </c>
      <c r="Q22" s="249">
        <v>1.9344749218069613E7</v>
      </c>
      <c r="R22" s="249">
        <v>1.9344749218069613E7</v>
      </c>
      <c r="S22" s="249">
        <v>1.9344749218069613E7</v>
      </c>
      <c r="T22" s="249">
        <v>1.9344749218069613E7</v>
      </c>
      <c r="U22" s="249">
        <v>1.9344749218069613E7</v>
      </c>
      <c r="V22" s="249">
        <v>1.9344749218069613E7</v>
      </c>
      <c r="W22" s="179"/>
      <c r="X22" s="261"/>
      <c r="Y22" s="261"/>
      <c r="Z22" s="249"/>
      <c r="AA22" s="179"/>
      <c r="AB22" s="261"/>
      <c r="AC22" s="261" t="s">
        <v>1137</v>
      </c>
      <c r="AD22" s="249">
        <v>7449790.654149637</v>
      </c>
    </row>
    <row r="23" ht="12.0" customHeight="1">
      <c r="A23" s="179"/>
      <c r="B23" s="255"/>
      <c r="C23" s="261"/>
      <c r="D23" s="261" t="s">
        <v>1138</v>
      </c>
      <c r="E23" s="249">
        <v>911206.2434839135</v>
      </c>
      <c r="F23" s="249">
        <v>911206.2434839135</v>
      </c>
      <c r="G23" s="249">
        <v>911206.2434839135</v>
      </c>
      <c r="H23" s="249">
        <v>911206.2434839135</v>
      </c>
      <c r="I23" s="249">
        <v>911206.2434839135</v>
      </c>
      <c r="J23" s="4"/>
      <c r="K23" s="255"/>
      <c r="L23" s="261"/>
      <c r="M23" s="261" t="s">
        <v>1139</v>
      </c>
      <c r="N23" s="294">
        <v>1063039.1275290826</v>
      </c>
      <c r="O23" s="262">
        <v>1063039.1275290826</v>
      </c>
      <c r="P23" s="249">
        <v>911206.2434839135</v>
      </c>
      <c r="Q23" s="249">
        <v>911206.2434839135</v>
      </c>
      <c r="R23" s="249">
        <v>911206.2434839135</v>
      </c>
      <c r="S23" s="249">
        <v>911206.2434839135</v>
      </c>
      <c r="T23" s="249">
        <v>911206.2434839135</v>
      </c>
      <c r="U23" s="249">
        <v>911206.2434839135</v>
      </c>
      <c r="V23" s="249">
        <v>911206.2434839135</v>
      </c>
      <c r="W23" s="179"/>
      <c r="X23" s="261"/>
      <c r="Y23" s="261"/>
      <c r="Z23" s="249"/>
      <c r="AA23" s="179"/>
      <c r="AB23" s="261"/>
      <c r="AC23" s="261" t="s">
        <v>1140</v>
      </c>
      <c r="AD23" s="249">
        <v>289664.9221179136</v>
      </c>
    </row>
    <row r="24" ht="12.0" customHeight="1">
      <c r="A24" s="179"/>
      <c r="B24" s="255"/>
      <c r="C24" s="261"/>
      <c r="D24" s="261"/>
      <c r="E24" s="249"/>
      <c r="F24" s="249"/>
      <c r="G24" s="249"/>
      <c r="H24" s="249"/>
      <c r="I24" s="249"/>
      <c r="J24" s="4"/>
      <c r="K24" s="255"/>
      <c r="L24" s="261"/>
      <c r="M24" s="261"/>
      <c r="N24" s="294"/>
      <c r="O24" s="262"/>
      <c r="P24" s="249"/>
      <c r="Q24" s="249"/>
      <c r="R24" s="249"/>
      <c r="S24" s="249"/>
      <c r="T24" s="249"/>
      <c r="U24" s="249"/>
      <c r="V24" s="249"/>
      <c r="W24" s="179"/>
      <c r="X24" s="261"/>
      <c r="Y24" s="261"/>
      <c r="Z24" s="249"/>
      <c r="AA24" s="179"/>
      <c r="AB24" s="261"/>
      <c r="AC24" s="261"/>
      <c r="AD24" s="249"/>
    </row>
    <row r="25" ht="12.0" customHeight="1">
      <c r="A25" s="179"/>
      <c r="B25" s="255"/>
      <c r="C25" s="261"/>
      <c r="D25" s="261" t="s">
        <v>1097</v>
      </c>
      <c r="E25" s="299">
        <f t="shared" ref="E25:I25" si="15">E10-E13-E17-E21</f>
        <v>0</v>
      </c>
      <c r="F25" s="299">
        <f t="shared" si="15"/>
        <v>0</v>
      </c>
      <c r="G25" s="299">
        <f t="shared" si="15"/>
        <v>0</v>
      </c>
      <c r="H25" s="299">
        <f t="shared" si="15"/>
        <v>-9870000</v>
      </c>
      <c r="I25" s="299">
        <f t="shared" si="15"/>
        <v>3270000</v>
      </c>
      <c r="J25" s="4"/>
      <c r="K25" s="255"/>
      <c r="L25" s="261"/>
      <c r="M25" s="261" t="s">
        <v>1097</v>
      </c>
      <c r="N25" s="300">
        <f t="shared" ref="N25:V25" si="16">N10-N13-N17-N21</f>
        <v>0</v>
      </c>
      <c r="O25" s="279">
        <f t="shared" si="16"/>
        <v>0</v>
      </c>
      <c r="P25" s="299">
        <f t="shared" si="16"/>
        <v>0</v>
      </c>
      <c r="Q25" s="299">
        <f t="shared" si="16"/>
        <v>0</v>
      </c>
      <c r="R25" s="299">
        <f t="shared" si="16"/>
        <v>0</v>
      </c>
      <c r="S25" s="299">
        <f t="shared" si="16"/>
        <v>0</v>
      </c>
      <c r="T25" s="299">
        <f t="shared" si="16"/>
        <v>0</v>
      </c>
      <c r="U25" s="299">
        <f t="shared" si="16"/>
        <v>0</v>
      </c>
      <c r="V25" s="299">
        <f t="shared" si="16"/>
        <v>0</v>
      </c>
      <c r="W25" s="179"/>
      <c r="X25" s="261"/>
      <c r="Y25" s="261" t="s">
        <v>1097</v>
      </c>
      <c r="Z25" s="299">
        <f>Z10-Z13-Z17-Z21</f>
        <v>0</v>
      </c>
      <c r="AA25" s="179"/>
      <c r="AB25" s="261"/>
      <c r="AC25" s="261" t="s">
        <v>1097</v>
      </c>
      <c r="AD25" s="299"/>
    </row>
    <row r="26" ht="12.0" customHeight="1">
      <c r="B26" s="255"/>
      <c r="C26" s="261"/>
      <c r="D26" s="261"/>
      <c r="E26" s="249"/>
      <c r="F26" s="249"/>
      <c r="G26" s="249"/>
      <c r="H26" s="249"/>
      <c r="I26" s="249"/>
      <c r="J26" s="4"/>
      <c r="K26" s="255"/>
      <c r="L26" s="261"/>
      <c r="M26" s="261"/>
      <c r="N26" s="294"/>
      <c r="O26" s="262"/>
      <c r="P26" s="249"/>
      <c r="Q26" s="249"/>
      <c r="R26" s="249"/>
      <c r="S26" s="249"/>
      <c r="T26" s="249"/>
      <c r="U26" s="249"/>
      <c r="V26" s="249"/>
      <c r="X26" s="261"/>
      <c r="Y26" s="261"/>
      <c r="Z26" s="249"/>
      <c r="AB26" s="261"/>
      <c r="AC26" s="261"/>
      <c r="AD26" s="249"/>
    </row>
    <row r="27" ht="12.0" customHeight="1">
      <c r="B27" s="255"/>
      <c r="C27" s="261"/>
      <c r="D27" s="280" t="s">
        <v>1100</v>
      </c>
      <c r="E27" s="295">
        <f t="shared" ref="E27:I27" si="17">E19+E15+E23</f>
        <v>2653901.84</v>
      </c>
      <c r="F27" s="295">
        <f t="shared" si="17"/>
        <v>2838330.06</v>
      </c>
      <c r="G27" s="295">
        <f t="shared" si="17"/>
        <v>3022758.279</v>
      </c>
      <c r="H27" s="295">
        <f t="shared" si="17"/>
        <v>3087816.352</v>
      </c>
      <c r="I27" s="295">
        <f t="shared" si="17"/>
        <v>3141073.883</v>
      </c>
      <c r="J27" s="4"/>
      <c r="K27" s="255"/>
      <c r="L27" s="261"/>
      <c r="M27" s="280" t="s">
        <v>1100</v>
      </c>
      <c r="N27" s="296">
        <f t="shared" ref="N27:V27" si="18">N19+N15+N23</f>
        <v>2753607.166</v>
      </c>
      <c r="O27" s="269">
        <f t="shared" si="18"/>
        <v>2530764.473</v>
      </c>
      <c r="P27" s="295">
        <f t="shared" si="18"/>
        <v>2610452.846</v>
      </c>
      <c r="Q27" s="295">
        <f t="shared" si="18"/>
        <v>2806953.257</v>
      </c>
      <c r="R27" s="295">
        <f t="shared" si="18"/>
        <v>2835180.261</v>
      </c>
      <c r="S27" s="295">
        <f t="shared" si="18"/>
        <v>3032712.198</v>
      </c>
      <c r="T27" s="295">
        <f t="shared" si="18"/>
        <v>2918295.401</v>
      </c>
      <c r="U27" s="295">
        <f t="shared" si="18"/>
        <v>3062537.987</v>
      </c>
      <c r="V27" s="295">
        <f t="shared" si="18"/>
        <v>3084525.679</v>
      </c>
      <c r="X27" s="261"/>
      <c r="Y27" s="280" t="s">
        <v>1100</v>
      </c>
      <c r="Z27" s="295">
        <f>Z19+Z15+Z23</f>
        <v>1618143.902</v>
      </c>
      <c r="AB27" s="261"/>
      <c r="AC27" s="280" t="s">
        <v>1100</v>
      </c>
      <c r="AD27" s="295">
        <f>AD19+AD15+AD23</f>
        <v>2747355.104</v>
      </c>
    </row>
    <row r="28" ht="12.0" customHeight="1">
      <c r="B28" s="255"/>
      <c r="C28" s="261"/>
      <c r="D28" s="261" t="s">
        <v>1141</v>
      </c>
      <c r="E28" s="301">
        <f t="shared" ref="E28:I28" si="19">E27*12/90000000</f>
        <v>0.3538535787</v>
      </c>
      <c r="F28" s="301">
        <f t="shared" si="19"/>
        <v>0.3784440079</v>
      </c>
      <c r="G28" s="301">
        <f t="shared" si="19"/>
        <v>0.4030344372</v>
      </c>
      <c r="H28" s="301">
        <f t="shared" si="19"/>
        <v>0.411708847</v>
      </c>
      <c r="I28" s="301">
        <f t="shared" si="19"/>
        <v>0.418809851</v>
      </c>
      <c r="J28" s="4"/>
      <c r="K28" s="255"/>
      <c r="L28" s="261"/>
      <c r="M28" s="261" t="s">
        <v>1142</v>
      </c>
      <c r="N28" s="302">
        <f t="shared" ref="N28:V28" si="20">N27*12/90000000</f>
        <v>0.3671476222</v>
      </c>
      <c r="O28" s="281">
        <f t="shared" si="20"/>
        <v>0.3374352631</v>
      </c>
      <c r="P28" s="301">
        <f t="shared" si="20"/>
        <v>0.3480603794</v>
      </c>
      <c r="Q28" s="301">
        <f t="shared" si="20"/>
        <v>0.3742604342</v>
      </c>
      <c r="R28" s="301">
        <f t="shared" si="20"/>
        <v>0.3780240349</v>
      </c>
      <c r="S28" s="301">
        <f t="shared" si="20"/>
        <v>0.4043616264</v>
      </c>
      <c r="T28" s="301">
        <f t="shared" si="20"/>
        <v>0.3891060534</v>
      </c>
      <c r="U28" s="301">
        <f t="shared" si="20"/>
        <v>0.4083383983</v>
      </c>
      <c r="V28" s="301">
        <f t="shared" si="20"/>
        <v>0.4112700905</v>
      </c>
      <c r="X28" s="261"/>
      <c r="Y28" s="261" t="s">
        <v>1143</v>
      </c>
      <c r="Z28" s="301">
        <f>Z27*12/90000000</f>
        <v>0.2157525203</v>
      </c>
      <c r="AB28" s="261"/>
      <c r="AC28" s="261" t="s">
        <v>1144</v>
      </c>
      <c r="AD28" s="301">
        <f>AD27*12/90000000</f>
        <v>0.3663140138</v>
      </c>
    </row>
    <row r="29" ht="12.0" customHeight="1">
      <c r="B29" s="255"/>
      <c r="C29" s="261"/>
      <c r="D29" s="261"/>
      <c r="E29" s="303"/>
      <c r="F29" s="303"/>
      <c r="G29" s="303"/>
      <c r="H29" s="303"/>
      <c r="I29" s="303"/>
      <c r="J29" s="4"/>
      <c r="K29" s="255"/>
      <c r="L29" s="261"/>
      <c r="M29" s="261"/>
      <c r="N29" s="304"/>
      <c r="O29" s="282"/>
      <c r="P29" s="303"/>
      <c r="Q29" s="303"/>
      <c r="R29" s="303"/>
      <c r="S29" s="303"/>
      <c r="T29" s="303"/>
      <c r="U29" s="303"/>
      <c r="V29" s="303"/>
      <c r="X29" s="261"/>
      <c r="Y29" s="261"/>
      <c r="Z29" s="303"/>
      <c r="AB29" s="261"/>
      <c r="AC29" s="261"/>
      <c r="AD29" s="303"/>
    </row>
    <row r="30" ht="12.0" customHeight="1">
      <c r="B30" s="255"/>
      <c r="C30" s="261"/>
      <c r="D30" s="305" t="s">
        <v>1104</v>
      </c>
      <c r="E30" s="306">
        <f t="shared" ref="E30:G30" si="21">E15*15*12+E19*10*12+E23*10*12</f>
        <v>387170435.4</v>
      </c>
      <c r="F30" s="306">
        <f t="shared" si="21"/>
        <v>412497273.5</v>
      </c>
      <c r="G30" s="306">
        <f t="shared" si="21"/>
        <v>437824111.7</v>
      </c>
      <c r="H30" s="306">
        <f t="shared" ref="H30:I30" si="22">H15*15*12+H19*10*12+H23*10*12+H25</f>
        <v>437358806.4</v>
      </c>
      <c r="I30" s="306">
        <f t="shared" si="22"/>
        <v>460085161.9</v>
      </c>
      <c r="J30" s="4"/>
      <c r="K30" s="255"/>
      <c r="L30" s="261"/>
      <c r="M30" s="305" t="s">
        <v>1104</v>
      </c>
      <c r="N30" s="307">
        <f t="shared" ref="N30:V30" si="23">N15*15*12+N19*10*12+N23*10*12</f>
        <v>389343984.2</v>
      </c>
      <c r="O30" s="308">
        <f t="shared" si="23"/>
        <v>391755257.5</v>
      </c>
      <c r="P30" s="306">
        <f t="shared" si="23"/>
        <v>414389052</v>
      </c>
      <c r="Q30" s="306">
        <f t="shared" si="23"/>
        <v>395906837</v>
      </c>
      <c r="R30" s="306">
        <f t="shared" si="23"/>
        <v>447511255</v>
      </c>
      <c r="S30" s="306">
        <f t="shared" si="23"/>
        <v>437310058.6</v>
      </c>
      <c r="T30" s="306">
        <f t="shared" si="23"/>
        <v>460644574.7</v>
      </c>
      <c r="U30" s="306">
        <f t="shared" si="23"/>
        <v>484780834.9</v>
      </c>
      <c r="V30" s="306">
        <f t="shared" si="23"/>
        <v>486911214.1</v>
      </c>
      <c r="X30" s="261"/>
      <c r="Y30" s="305" t="s">
        <v>1104</v>
      </c>
      <c r="Z30" s="306">
        <f>Z15*15*12</f>
        <v>291265902.4</v>
      </c>
      <c r="AB30" s="261"/>
      <c r="AC30" s="305" t="s">
        <v>1104</v>
      </c>
      <c r="AD30" s="306">
        <f>AD15*15*12+AD19*10*12+AD23*10*12</f>
        <v>419868645.1</v>
      </c>
    </row>
    <row r="31" ht="12.0" customHeight="1">
      <c r="B31" s="255"/>
      <c r="C31" s="261"/>
      <c r="D31" s="261" t="s">
        <v>1145</v>
      </c>
      <c r="E31" s="249">
        <v>5.507204353795998E8</v>
      </c>
      <c r="F31" s="249">
        <v>5.760472735154612E8</v>
      </c>
      <c r="G31" s="249">
        <v>6.013741116513228E8</v>
      </c>
      <c r="H31" s="249">
        <v>6.009088063938575E8</v>
      </c>
      <c r="I31" s="249">
        <v>6.236351619097534E8</v>
      </c>
      <c r="J31" s="4"/>
      <c r="K31" s="255"/>
      <c r="L31" s="261"/>
      <c r="M31" s="261" t="s">
        <v>1146</v>
      </c>
      <c r="N31" s="294">
        <v>5.52893984227759E8</v>
      </c>
      <c r="O31" s="262">
        <v>5.553052575171914E8</v>
      </c>
      <c r="P31" s="249">
        <v>5.779390519970579E8</v>
      </c>
      <c r="Q31" s="249">
        <v>5.594568370014756E8</v>
      </c>
      <c r="R31" s="249">
        <v>6.110612549608755E8</v>
      </c>
      <c r="S31" s="249">
        <v>6.008600586462687E8</v>
      </c>
      <c r="T31" s="249">
        <v>6.241945746677438E8</v>
      </c>
      <c r="U31" s="249">
        <v>6.483308348690816E8</v>
      </c>
      <c r="V31" s="249">
        <v>6.504612140814806E8</v>
      </c>
      <c r="X31" s="261"/>
      <c r="Y31" s="261" t="s">
        <v>1147</v>
      </c>
      <c r="Z31" s="249">
        <v>4.5481590242613673E8</v>
      </c>
      <c r="AA31" s="4"/>
      <c r="AB31" s="261"/>
      <c r="AC31" s="261" t="s">
        <v>1148</v>
      </c>
      <c r="AD31" s="249">
        <v>5.834186451104681E8</v>
      </c>
    </row>
    <row r="32" ht="12.0" customHeight="1">
      <c r="B32" s="255"/>
      <c r="C32" s="261"/>
      <c r="D32" s="158" t="s">
        <v>1107</v>
      </c>
      <c r="E32" s="309">
        <v>0.0</v>
      </c>
      <c r="F32" s="309"/>
      <c r="G32" s="309"/>
      <c r="H32" s="309"/>
      <c r="I32" s="309"/>
      <c r="J32" s="4"/>
      <c r="K32" s="255"/>
      <c r="L32" s="261"/>
      <c r="M32" s="158" t="s">
        <v>1107</v>
      </c>
      <c r="N32" s="310">
        <v>0.0</v>
      </c>
      <c r="O32" s="311"/>
      <c r="P32" s="309"/>
      <c r="Q32" s="309"/>
      <c r="R32" s="309"/>
      <c r="S32" s="309"/>
      <c r="T32" s="309"/>
      <c r="U32" s="309"/>
      <c r="V32" s="309"/>
      <c r="X32" s="261"/>
      <c r="Y32" s="158" t="s">
        <v>1107</v>
      </c>
      <c r="Z32" s="309"/>
      <c r="AB32" s="261"/>
      <c r="AC32" s="158" t="s">
        <v>1107</v>
      </c>
      <c r="AD32" s="309">
        <v>0.0</v>
      </c>
    </row>
    <row r="33" ht="12.0" customHeight="1">
      <c r="B33" s="312"/>
      <c r="C33" s="268"/>
      <c r="D33" s="268"/>
      <c r="E33" s="268"/>
      <c r="F33" s="268"/>
      <c r="G33" s="268"/>
      <c r="H33" s="268"/>
      <c r="I33" s="268"/>
      <c r="J33" s="4"/>
      <c r="K33" s="312"/>
      <c r="L33" s="268"/>
      <c r="M33" s="268"/>
      <c r="N33" s="268"/>
      <c r="O33" s="313"/>
      <c r="P33" s="268"/>
      <c r="Q33" s="268"/>
      <c r="R33" s="268"/>
      <c r="S33" s="268"/>
      <c r="T33" s="268"/>
      <c r="U33" s="268"/>
      <c r="V33" s="268"/>
      <c r="X33" s="268"/>
      <c r="Y33" s="268"/>
      <c r="Z33" s="268"/>
      <c r="AB33" s="268"/>
      <c r="AC33" s="268"/>
      <c r="AD33" s="268"/>
    </row>
    <row r="34" ht="12.0" customHeight="1">
      <c r="D34" s="314" t="s">
        <v>1149</v>
      </c>
      <c r="E34" s="315">
        <f t="shared" ref="E34:I34" si="24">E31-E3</f>
        <v>120720435.4</v>
      </c>
      <c r="F34" s="315">
        <f t="shared" si="24"/>
        <v>126047273.5</v>
      </c>
      <c r="G34" s="315">
        <f t="shared" si="24"/>
        <v>131374111.7</v>
      </c>
      <c r="H34" s="315">
        <f t="shared" si="24"/>
        <v>120908806.4</v>
      </c>
      <c r="I34" s="315">
        <f t="shared" si="24"/>
        <v>123635161.9</v>
      </c>
      <c r="J34" s="4"/>
      <c r="M34" s="314" t="s">
        <v>1149</v>
      </c>
      <c r="N34" s="315">
        <f t="shared" ref="N34:V34" si="25">N31-N3</f>
        <v>122893984.2</v>
      </c>
      <c r="O34" s="316">
        <f t="shared" si="25"/>
        <v>125305257.5</v>
      </c>
      <c r="P34" s="315">
        <f t="shared" si="25"/>
        <v>127939052</v>
      </c>
      <c r="Q34" s="315">
        <f t="shared" si="25"/>
        <v>109456837</v>
      </c>
      <c r="R34" s="315">
        <f t="shared" si="25"/>
        <v>141061255</v>
      </c>
      <c r="S34" s="315">
        <f t="shared" si="25"/>
        <v>130860058.6</v>
      </c>
      <c r="T34" s="315">
        <f t="shared" si="25"/>
        <v>144194574.7</v>
      </c>
      <c r="U34" s="315">
        <f t="shared" si="25"/>
        <v>158330834.9</v>
      </c>
      <c r="V34" s="315">
        <f t="shared" si="25"/>
        <v>150461214.1</v>
      </c>
      <c r="Y34" s="314" t="s">
        <v>1150</v>
      </c>
      <c r="Z34" s="315">
        <f>Z31-Z3</f>
        <v>104815902.4</v>
      </c>
    </row>
    <row r="35" ht="12.0" customHeight="1">
      <c r="A35" s="4"/>
      <c r="D35" s="179" t="s">
        <v>1151</v>
      </c>
      <c r="E35" s="4">
        <f t="shared" ref="E35:I35" si="26">E34/15/12</f>
        <v>670669.0854</v>
      </c>
      <c r="F35" s="4">
        <f t="shared" si="26"/>
        <v>700262.6306</v>
      </c>
      <c r="G35" s="4">
        <f t="shared" si="26"/>
        <v>729856.1758</v>
      </c>
      <c r="H35" s="4">
        <f t="shared" si="26"/>
        <v>671715.5911</v>
      </c>
      <c r="I35" s="4">
        <f t="shared" si="26"/>
        <v>686862.0106</v>
      </c>
      <c r="J35" s="4"/>
      <c r="M35" s="179" t="s">
        <v>1151</v>
      </c>
      <c r="N35" s="4">
        <f t="shared" ref="N35:V35" si="27">N34/15/12</f>
        <v>682744.3568</v>
      </c>
      <c r="O35" s="317">
        <f t="shared" si="27"/>
        <v>696140.3195</v>
      </c>
      <c r="P35" s="4">
        <f t="shared" si="27"/>
        <v>710772.5111</v>
      </c>
      <c r="Q35" s="4">
        <f t="shared" si="27"/>
        <v>608093.5389</v>
      </c>
      <c r="R35" s="4">
        <f t="shared" si="27"/>
        <v>783673.6387</v>
      </c>
      <c r="S35" s="4">
        <f t="shared" si="27"/>
        <v>727000.3258</v>
      </c>
      <c r="T35" s="4">
        <f t="shared" si="27"/>
        <v>801080.9704</v>
      </c>
      <c r="U35" s="4">
        <f t="shared" si="27"/>
        <v>879615.7493</v>
      </c>
      <c r="V35" s="4">
        <f t="shared" si="27"/>
        <v>835895.6338</v>
      </c>
      <c r="W35" s="4"/>
      <c r="Y35" s="179" t="s">
        <v>1151</v>
      </c>
      <c r="Z35" s="59">
        <f>Z34/15/12</f>
        <v>582310.569</v>
      </c>
      <c r="AA35" s="4"/>
      <c r="AB35" s="4"/>
      <c r="AC35" s="4"/>
      <c r="AD35" s="4"/>
    </row>
    <row r="36" ht="12.0" customHeight="1">
      <c r="A36" s="4"/>
      <c r="D36" s="314" t="s">
        <v>1152</v>
      </c>
      <c r="E36" s="315">
        <f t="shared" ref="E36:I36" si="28">E34-30000000</f>
        <v>90720435.38</v>
      </c>
      <c r="F36" s="315">
        <f t="shared" si="28"/>
        <v>96047273.52</v>
      </c>
      <c r="G36" s="315">
        <f t="shared" si="28"/>
        <v>101374111.7</v>
      </c>
      <c r="H36" s="315">
        <f t="shared" si="28"/>
        <v>90908806.39</v>
      </c>
      <c r="I36" s="315">
        <f t="shared" si="28"/>
        <v>93635161.91</v>
      </c>
      <c r="J36" s="4"/>
      <c r="M36" s="314" t="s">
        <v>1152</v>
      </c>
      <c r="N36" s="315">
        <f t="shared" ref="N36:V36" si="29">N34-30000000</f>
        <v>92893984.23</v>
      </c>
      <c r="O36" s="316">
        <f t="shared" si="29"/>
        <v>95305257.52</v>
      </c>
      <c r="P36" s="315">
        <f t="shared" si="29"/>
        <v>97939052</v>
      </c>
      <c r="Q36" s="315">
        <f t="shared" si="29"/>
        <v>79456837</v>
      </c>
      <c r="R36" s="315">
        <f t="shared" si="29"/>
        <v>111061255</v>
      </c>
      <c r="S36" s="315">
        <f t="shared" si="29"/>
        <v>100860058.6</v>
      </c>
      <c r="T36" s="315">
        <f t="shared" si="29"/>
        <v>114194574.7</v>
      </c>
      <c r="U36" s="315">
        <f t="shared" si="29"/>
        <v>128330834.9</v>
      </c>
      <c r="V36" s="315">
        <f t="shared" si="29"/>
        <v>120461214.1</v>
      </c>
      <c r="W36" s="4"/>
      <c r="Y36" s="179"/>
      <c r="Z36" s="179"/>
      <c r="AA36" s="4"/>
      <c r="AB36" s="4"/>
      <c r="AC36" s="4"/>
      <c r="AD36" s="4"/>
    </row>
    <row r="37" ht="12.0" customHeight="1">
      <c r="D37" s="179" t="s">
        <v>1151</v>
      </c>
      <c r="E37" s="4">
        <f t="shared" ref="E37:I37" si="30">E36/15/12</f>
        <v>504002.4188</v>
      </c>
      <c r="F37" s="4">
        <f t="shared" si="30"/>
        <v>533595.964</v>
      </c>
      <c r="G37" s="4">
        <f t="shared" si="30"/>
        <v>563189.5092</v>
      </c>
      <c r="H37" s="4">
        <f t="shared" si="30"/>
        <v>505048.9244</v>
      </c>
      <c r="I37" s="4">
        <f t="shared" si="30"/>
        <v>520195.3439</v>
      </c>
      <c r="J37" s="4"/>
      <c r="M37" s="179" t="s">
        <v>1151</v>
      </c>
      <c r="N37" s="4">
        <f t="shared" ref="N37:V37" si="31">N36/15/12</f>
        <v>516077.6902</v>
      </c>
      <c r="O37" s="317">
        <f t="shared" si="31"/>
        <v>529473.6529</v>
      </c>
      <c r="P37" s="4">
        <f t="shared" si="31"/>
        <v>544105.8444</v>
      </c>
      <c r="Q37" s="4">
        <f t="shared" si="31"/>
        <v>441426.8722</v>
      </c>
      <c r="R37" s="4">
        <f t="shared" si="31"/>
        <v>617006.972</v>
      </c>
      <c r="S37" s="4">
        <f t="shared" si="31"/>
        <v>560333.6591</v>
      </c>
      <c r="T37" s="4">
        <f t="shared" si="31"/>
        <v>634414.3037</v>
      </c>
      <c r="U37" s="4">
        <f t="shared" si="31"/>
        <v>712949.0826</v>
      </c>
      <c r="V37" s="4">
        <f t="shared" si="31"/>
        <v>669228.9671</v>
      </c>
      <c r="Y37" s="179"/>
      <c r="Z37" s="179"/>
    </row>
    <row r="38" ht="12.0" customHeight="1">
      <c r="D38" s="314" t="s">
        <v>1153</v>
      </c>
      <c r="E38" s="315">
        <f t="shared" ref="E38:I38" si="32">E34-50000000</f>
        <v>70720435.38</v>
      </c>
      <c r="F38" s="315">
        <f t="shared" si="32"/>
        <v>76047273.52</v>
      </c>
      <c r="G38" s="315">
        <f t="shared" si="32"/>
        <v>81374111.65</v>
      </c>
      <c r="H38" s="315">
        <f t="shared" si="32"/>
        <v>70908806.39</v>
      </c>
      <c r="I38" s="315">
        <f t="shared" si="32"/>
        <v>73635161.91</v>
      </c>
      <c r="J38" s="4"/>
      <c r="M38" s="314" t="s">
        <v>1153</v>
      </c>
      <c r="N38" s="315">
        <f t="shared" ref="N38:V38" si="33">N34-50000000</f>
        <v>72893984.23</v>
      </c>
      <c r="O38" s="316">
        <f t="shared" si="33"/>
        <v>75305257.52</v>
      </c>
      <c r="P38" s="315">
        <f t="shared" si="33"/>
        <v>77939052</v>
      </c>
      <c r="Q38" s="315">
        <f t="shared" si="33"/>
        <v>59456837</v>
      </c>
      <c r="R38" s="315">
        <f t="shared" si="33"/>
        <v>91061254.96</v>
      </c>
      <c r="S38" s="315">
        <f t="shared" si="33"/>
        <v>80860058.65</v>
      </c>
      <c r="T38" s="315">
        <f t="shared" si="33"/>
        <v>94194574.67</v>
      </c>
      <c r="U38" s="315">
        <f t="shared" si="33"/>
        <v>108330834.9</v>
      </c>
      <c r="V38" s="315">
        <f t="shared" si="33"/>
        <v>100461214.1</v>
      </c>
      <c r="Y38" s="179"/>
      <c r="Z38" s="179"/>
    </row>
    <row r="39" ht="12.0" customHeight="1">
      <c r="D39" s="179" t="s">
        <v>1151</v>
      </c>
      <c r="E39" s="4">
        <f t="shared" ref="E39:I39" si="34">E38/15/12</f>
        <v>392891.3077</v>
      </c>
      <c r="F39" s="4">
        <f t="shared" si="34"/>
        <v>422484.8529</v>
      </c>
      <c r="G39" s="4">
        <f t="shared" si="34"/>
        <v>452078.3981</v>
      </c>
      <c r="H39" s="4">
        <f t="shared" si="34"/>
        <v>393937.8133</v>
      </c>
      <c r="I39" s="4">
        <f t="shared" si="34"/>
        <v>409084.2328</v>
      </c>
      <c r="J39" s="4"/>
      <c r="M39" s="179" t="s">
        <v>1151</v>
      </c>
      <c r="N39" s="4">
        <f t="shared" ref="N39:V39" si="35">N38/15/12</f>
        <v>404966.579</v>
      </c>
      <c r="O39" s="317">
        <f t="shared" si="35"/>
        <v>418362.5418</v>
      </c>
      <c r="P39" s="4">
        <f t="shared" si="35"/>
        <v>432994.7333</v>
      </c>
      <c r="Q39" s="4">
        <f t="shared" si="35"/>
        <v>330315.7611</v>
      </c>
      <c r="R39" s="4">
        <f t="shared" si="35"/>
        <v>505895.8609</v>
      </c>
      <c r="S39" s="4">
        <f t="shared" si="35"/>
        <v>449222.548</v>
      </c>
      <c r="T39" s="4">
        <f t="shared" si="35"/>
        <v>523303.1926</v>
      </c>
      <c r="U39" s="4">
        <f t="shared" si="35"/>
        <v>601837.9715</v>
      </c>
      <c r="V39" s="4">
        <f t="shared" si="35"/>
        <v>558117.856</v>
      </c>
      <c r="Y39" s="179"/>
      <c r="Z39" s="4"/>
    </row>
    <row r="40" ht="12.0" customHeight="1">
      <c r="J40" s="4"/>
      <c r="M40" s="314" t="s">
        <v>1154</v>
      </c>
      <c r="N40" s="315">
        <f t="shared" ref="N40:V40" si="36">N34+30000000</f>
        <v>152893984.2</v>
      </c>
      <c r="O40" s="316">
        <f t="shared" si="36"/>
        <v>155305257.5</v>
      </c>
      <c r="P40" s="315">
        <f t="shared" si="36"/>
        <v>157939052</v>
      </c>
      <c r="Q40" s="315">
        <f t="shared" si="36"/>
        <v>139456837</v>
      </c>
      <c r="R40" s="315">
        <f t="shared" si="36"/>
        <v>171061255</v>
      </c>
      <c r="S40" s="315">
        <f t="shared" si="36"/>
        <v>160860058.6</v>
      </c>
      <c r="T40" s="315">
        <f t="shared" si="36"/>
        <v>174194574.7</v>
      </c>
      <c r="U40" s="315">
        <f t="shared" si="36"/>
        <v>188330834.9</v>
      </c>
      <c r="V40" s="315">
        <f t="shared" si="36"/>
        <v>180461214.1</v>
      </c>
    </row>
    <row r="41" ht="12.0" customHeight="1">
      <c r="J41" s="4"/>
      <c r="M41" s="179" t="s">
        <v>1151</v>
      </c>
      <c r="N41" s="4">
        <f t="shared" ref="N41:V41" si="37">N40/15/12</f>
        <v>849411.0235</v>
      </c>
      <c r="O41" s="318">
        <f t="shared" si="37"/>
        <v>862806.9862</v>
      </c>
      <c r="P41" s="4">
        <f t="shared" si="37"/>
        <v>877439.1778</v>
      </c>
      <c r="Q41" s="4">
        <f t="shared" si="37"/>
        <v>774760.2056</v>
      </c>
      <c r="R41" s="4">
        <f t="shared" si="37"/>
        <v>950340.3053</v>
      </c>
      <c r="S41" s="4">
        <f t="shared" si="37"/>
        <v>893666.9925</v>
      </c>
      <c r="T41" s="4">
        <f t="shared" si="37"/>
        <v>967747.637</v>
      </c>
      <c r="U41" s="4">
        <f t="shared" si="37"/>
        <v>1046282.416</v>
      </c>
      <c r="V41" s="4">
        <f t="shared" si="37"/>
        <v>1002562.3</v>
      </c>
    </row>
    <row r="42" ht="12.0" customHeight="1">
      <c r="J42" s="4"/>
    </row>
    <row r="43" ht="12.0" customHeight="1">
      <c r="J43" s="4"/>
    </row>
    <row r="44" ht="12.0" customHeight="1">
      <c r="J44" s="4"/>
    </row>
    <row r="45" ht="12.0" customHeight="1">
      <c r="J45" s="4"/>
      <c r="O45" s="284"/>
    </row>
    <row r="46" ht="12.0" customHeight="1">
      <c r="J46" s="4"/>
    </row>
    <row r="47" ht="12.0" customHeight="1">
      <c r="J47" s="4"/>
    </row>
    <row r="48" ht="12.0" customHeight="1">
      <c r="J48" s="4"/>
    </row>
    <row r="49" ht="12.0" customHeight="1">
      <c r="J49" s="4"/>
    </row>
    <row r="50" ht="12.0" customHeight="1">
      <c r="J50" s="4"/>
    </row>
    <row r="51" ht="12.0" customHeight="1">
      <c r="J51" s="4"/>
    </row>
    <row r="52" ht="12.0" customHeight="1">
      <c r="J52" s="4"/>
    </row>
    <row r="53" ht="12.0" customHeight="1">
      <c r="J53" s="4"/>
    </row>
    <row r="54" ht="12.0" customHeight="1">
      <c r="J54" s="4"/>
    </row>
    <row r="55" ht="12.0" customHeight="1">
      <c r="J55" s="4"/>
    </row>
    <row r="56" ht="12.0" customHeight="1">
      <c r="J56" s="4"/>
    </row>
    <row r="57" ht="12.0" customHeight="1">
      <c r="J57" s="4"/>
    </row>
    <row r="58" ht="12.0" customHeight="1">
      <c r="J58" s="4"/>
    </row>
    <row r="59" ht="12.0" customHeight="1">
      <c r="J59" s="4"/>
    </row>
    <row r="60" ht="12.0" customHeight="1">
      <c r="J60" s="4"/>
    </row>
    <row r="61" ht="12.0" customHeight="1">
      <c r="J61" s="4"/>
    </row>
    <row r="62" ht="12.0" customHeight="1">
      <c r="J62" s="4"/>
    </row>
    <row r="63" ht="12.0" customHeight="1">
      <c r="J63" s="4"/>
    </row>
    <row r="64" ht="12.0" customHeight="1">
      <c r="J64" s="4"/>
    </row>
    <row r="65" ht="12.0" customHeight="1">
      <c r="J65" s="4"/>
    </row>
    <row r="66" ht="12.0" customHeight="1">
      <c r="J66" s="4"/>
    </row>
    <row r="67" ht="12.0" customHeight="1">
      <c r="J67" s="4"/>
    </row>
    <row r="68" ht="12.0" customHeight="1">
      <c r="J68" s="4"/>
    </row>
    <row r="69" ht="12.0" customHeight="1">
      <c r="J69" s="4"/>
    </row>
    <row r="70" ht="12.0" customHeight="1">
      <c r="J70" s="4"/>
    </row>
    <row r="71" ht="12.0" customHeight="1">
      <c r="J71" s="4"/>
    </row>
    <row r="72" ht="12.0" customHeight="1">
      <c r="J72" s="4"/>
    </row>
    <row r="73" ht="12.0" customHeight="1">
      <c r="J73" s="4"/>
    </row>
    <row r="74" ht="12.0" customHeight="1">
      <c r="J74" s="4"/>
    </row>
    <row r="75" ht="12.0" customHeight="1">
      <c r="J75" s="4"/>
    </row>
    <row r="76" ht="12.0" customHeight="1">
      <c r="J76" s="4"/>
    </row>
    <row r="77" ht="12.0" customHeight="1">
      <c r="J77" s="4"/>
    </row>
    <row r="78" ht="12.0" customHeight="1">
      <c r="J78" s="4"/>
    </row>
    <row r="79" ht="12.0" customHeight="1">
      <c r="J79" s="4"/>
    </row>
    <row r="80" ht="12.0" customHeight="1">
      <c r="J80" s="4"/>
    </row>
    <row r="81" ht="12.0" customHeight="1">
      <c r="J81" s="4"/>
    </row>
    <row r="82" ht="12.0" customHeight="1">
      <c r="J82" s="4"/>
    </row>
    <row r="83" ht="12.0" customHeight="1">
      <c r="J83" s="4"/>
    </row>
    <row r="84" ht="12.0" customHeight="1">
      <c r="J84" s="4"/>
    </row>
    <row r="85" ht="12.0" customHeight="1">
      <c r="J85" s="4"/>
    </row>
    <row r="86" ht="12.0" customHeight="1">
      <c r="J86" s="4"/>
    </row>
    <row r="87" ht="12.0" customHeight="1">
      <c r="J87" s="4"/>
    </row>
    <row r="88" ht="12.0" customHeight="1">
      <c r="J88" s="4"/>
    </row>
    <row r="89" ht="12.0" customHeight="1">
      <c r="J89" s="4"/>
    </row>
    <row r="90" ht="12.0" customHeight="1">
      <c r="J90" s="4"/>
    </row>
    <row r="91" ht="12.0" customHeight="1">
      <c r="J91" s="4"/>
    </row>
    <row r="92" ht="12.0" customHeight="1">
      <c r="J92" s="4"/>
    </row>
    <row r="93" ht="12.0" customHeight="1">
      <c r="J93" s="4"/>
    </row>
    <row r="94" ht="12.0" customHeight="1">
      <c r="J94" s="4"/>
    </row>
    <row r="95" ht="12.0" customHeight="1">
      <c r="J95" s="4"/>
    </row>
    <row r="96" ht="12.0" customHeight="1">
      <c r="J96" s="4"/>
    </row>
    <row r="97" ht="12.0" customHeight="1">
      <c r="J97" s="4"/>
    </row>
    <row r="98" ht="12.0" customHeight="1">
      <c r="J98" s="4"/>
    </row>
    <row r="99" ht="12.0" customHeight="1">
      <c r="J99" s="4"/>
    </row>
    <row r="100" ht="12.0" customHeight="1">
      <c r="J100" s="4"/>
    </row>
    <row r="101" ht="12.0" customHeight="1">
      <c r="J101" s="4"/>
    </row>
    <row r="102" ht="12.0" customHeight="1">
      <c r="J102" s="4"/>
    </row>
    <row r="103" ht="12.0" customHeight="1">
      <c r="J103" s="4"/>
    </row>
    <row r="104" ht="12.0" customHeight="1">
      <c r="J104" s="4"/>
    </row>
    <row r="105" ht="12.0" customHeight="1">
      <c r="J105" s="4"/>
    </row>
    <row r="106" ht="12.0" customHeight="1">
      <c r="J106" s="4"/>
    </row>
    <row r="107" ht="12.0" customHeight="1">
      <c r="J107" s="4"/>
    </row>
    <row r="108" ht="12.0" customHeight="1">
      <c r="J108" s="4"/>
    </row>
    <row r="109" ht="12.0" customHeight="1">
      <c r="J109" s="4"/>
    </row>
    <row r="110" ht="12.0" customHeight="1">
      <c r="J110" s="4"/>
    </row>
    <row r="111" ht="12.0" customHeight="1">
      <c r="J111" s="4"/>
    </row>
    <row r="112" ht="12.0" customHeight="1">
      <c r="J112" s="4"/>
    </row>
    <row r="113" ht="12.0" customHeight="1">
      <c r="J113" s="4"/>
    </row>
    <row r="114" ht="12.0" customHeight="1">
      <c r="J114" s="4"/>
    </row>
    <row r="115" ht="12.0" customHeight="1">
      <c r="J115" s="4"/>
    </row>
    <row r="116" ht="12.0" customHeight="1">
      <c r="J116" s="4"/>
    </row>
    <row r="117" ht="12.0" customHeight="1">
      <c r="J117" s="4"/>
    </row>
    <row r="118" ht="12.0" customHeight="1">
      <c r="J118" s="4"/>
    </row>
    <row r="119" ht="12.0" customHeight="1">
      <c r="J119" s="4"/>
    </row>
    <row r="120" ht="12.0" customHeight="1">
      <c r="J120" s="4"/>
    </row>
    <row r="121" ht="12.0" customHeight="1">
      <c r="J121" s="4"/>
    </row>
    <row r="122" ht="12.0" customHeight="1">
      <c r="J122" s="4"/>
    </row>
    <row r="123" ht="12.0" customHeight="1">
      <c r="J123" s="4"/>
    </row>
    <row r="124" ht="12.0" customHeight="1">
      <c r="J124" s="4"/>
    </row>
    <row r="125" ht="12.0" customHeight="1">
      <c r="J125" s="4"/>
    </row>
    <row r="126" ht="12.0" customHeight="1">
      <c r="J126" s="4"/>
    </row>
    <row r="127" ht="12.0" customHeight="1">
      <c r="J127" s="4"/>
    </row>
    <row r="128" ht="12.0" customHeight="1">
      <c r="J128" s="4"/>
    </row>
    <row r="129" ht="12.0" customHeight="1">
      <c r="J129" s="4"/>
    </row>
    <row r="130" ht="12.0" customHeight="1">
      <c r="J130" s="4"/>
    </row>
    <row r="131" ht="12.0" customHeight="1">
      <c r="J131" s="4"/>
    </row>
    <row r="132" ht="12.0" customHeight="1">
      <c r="J132" s="4"/>
    </row>
    <row r="133" ht="12.0" customHeight="1">
      <c r="J133" s="4"/>
    </row>
    <row r="134" ht="12.0" customHeight="1">
      <c r="J134" s="4"/>
    </row>
    <row r="135" ht="12.0" customHeight="1">
      <c r="J135" s="4"/>
    </row>
    <row r="136" ht="12.0" customHeight="1">
      <c r="J136" s="4"/>
    </row>
    <row r="137" ht="12.0" customHeight="1">
      <c r="J137" s="4"/>
    </row>
    <row r="138" ht="12.0" customHeight="1">
      <c r="J138" s="4"/>
    </row>
    <row r="139" ht="12.0" customHeight="1">
      <c r="J139" s="4"/>
    </row>
    <row r="140" ht="12.0" customHeight="1">
      <c r="J140" s="4"/>
    </row>
    <row r="141" ht="12.0" customHeight="1">
      <c r="J141" s="4"/>
    </row>
    <row r="142" ht="12.0" customHeight="1">
      <c r="J142" s="4"/>
    </row>
    <row r="143" ht="12.0" customHeight="1">
      <c r="J143" s="4"/>
    </row>
    <row r="144" ht="12.0" customHeight="1">
      <c r="J144" s="4"/>
    </row>
    <row r="145" ht="12.0" customHeight="1">
      <c r="J145" s="4"/>
    </row>
    <row r="146" ht="12.0" customHeight="1">
      <c r="J146" s="4"/>
    </row>
    <row r="147" ht="12.0" customHeight="1">
      <c r="J147" s="4"/>
    </row>
    <row r="148" ht="12.0" customHeight="1">
      <c r="J148" s="4"/>
    </row>
    <row r="149" ht="12.0" customHeight="1">
      <c r="J149" s="4"/>
    </row>
    <row r="150" ht="12.0" customHeight="1">
      <c r="J150" s="4"/>
    </row>
    <row r="151" ht="12.0" customHeight="1">
      <c r="J151" s="4"/>
    </row>
    <row r="152" ht="12.0" customHeight="1">
      <c r="J152" s="4"/>
    </row>
    <row r="153" ht="12.0" customHeight="1">
      <c r="J153" s="4"/>
    </row>
    <row r="154" ht="12.0" customHeight="1">
      <c r="J154" s="4"/>
    </row>
    <row r="155" ht="12.0" customHeight="1">
      <c r="J155" s="4"/>
    </row>
    <row r="156" ht="12.0" customHeight="1">
      <c r="J156" s="4"/>
    </row>
    <row r="157" ht="12.0" customHeight="1">
      <c r="J157" s="4"/>
    </row>
    <row r="158" ht="12.0" customHeight="1">
      <c r="J158" s="4"/>
    </row>
    <row r="159" ht="12.0" customHeight="1">
      <c r="J159" s="4"/>
    </row>
    <row r="160" ht="12.0" customHeight="1">
      <c r="J160" s="4"/>
    </row>
    <row r="161" ht="12.0" customHeight="1">
      <c r="J161" s="4"/>
    </row>
    <row r="162" ht="12.0" customHeight="1">
      <c r="J162" s="4"/>
    </row>
    <row r="163" ht="12.0" customHeight="1">
      <c r="J163" s="4"/>
    </row>
    <row r="164" ht="12.0" customHeight="1">
      <c r="J164" s="4"/>
    </row>
    <row r="165" ht="12.0" customHeight="1">
      <c r="J165" s="4"/>
    </row>
    <row r="166" ht="12.0" customHeight="1">
      <c r="J166" s="4"/>
    </row>
    <row r="167" ht="12.0" customHeight="1">
      <c r="J167" s="4"/>
    </row>
    <row r="168" ht="12.0" customHeight="1">
      <c r="J168" s="4"/>
    </row>
    <row r="169" ht="12.0" customHeight="1">
      <c r="J169" s="4"/>
    </row>
    <row r="170" ht="12.0" customHeight="1">
      <c r="J170" s="4"/>
    </row>
    <row r="171" ht="12.0" customHeight="1">
      <c r="J171" s="4"/>
    </row>
    <row r="172" ht="12.0" customHeight="1">
      <c r="J172" s="4"/>
    </row>
    <row r="173" ht="12.0" customHeight="1">
      <c r="J173" s="4"/>
    </row>
    <row r="174" ht="12.0" customHeight="1">
      <c r="J174" s="4"/>
    </row>
    <row r="175" ht="12.0" customHeight="1">
      <c r="J175" s="4"/>
    </row>
    <row r="176" ht="12.0" customHeight="1">
      <c r="J176" s="4"/>
    </row>
    <row r="177" ht="12.0" customHeight="1">
      <c r="J177" s="4"/>
    </row>
    <row r="178" ht="12.0" customHeight="1">
      <c r="J178" s="4"/>
    </row>
    <row r="179" ht="12.0" customHeight="1">
      <c r="J179" s="4"/>
    </row>
    <row r="180" ht="12.0" customHeight="1">
      <c r="J180" s="4"/>
    </row>
    <row r="181" ht="12.0" customHeight="1">
      <c r="J181" s="4"/>
    </row>
    <row r="182" ht="12.0" customHeight="1">
      <c r="J182" s="4"/>
    </row>
    <row r="183" ht="12.0" customHeight="1">
      <c r="J183" s="4"/>
    </row>
    <row r="184" ht="12.0" customHeight="1">
      <c r="J184" s="4"/>
    </row>
    <row r="185" ht="12.0" customHeight="1">
      <c r="J185" s="4"/>
    </row>
    <row r="186" ht="12.0" customHeight="1">
      <c r="J186" s="4"/>
    </row>
    <row r="187" ht="12.0" customHeight="1">
      <c r="J187" s="4"/>
    </row>
    <row r="188" ht="12.0" customHeight="1">
      <c r="J188" s="4"/>
    </row>
    <row r="189" ht="12.0" customHeight="1">
      <c r="J189" s="4"/>
    </row>
    <row r="190" ht="12.0" customHeight="1">
      <c r="J190" s="4"/>
    </row>
    <row r="191" ht="12.0" customHeight="1">
      <c r="J191" s="4"/>
    </row>
    <row r="192" ht="12.0" customHeight="1">
      <c r="J192" s="4"/>
    </row>
    <row r="193" ht="12.0" customHeight="1">
      <c r="J193" s="4"/>
    </row>
    <row r="194" ht="12.0" customHeight="1">
      <c r="J194" s="4"/>
    </row>
    <row r="195" ht="12.0" customHeight="1">
      <c r="J195" s="4"/>
    </row>
    <row r="196" ht="12.0" customHeight="1">
      <c r="J196" s="4"/>
    </row>
    <row r="197" ht="12.0" customHeight="1">
      <c r="J197" s="4"/>
    </row>
    <row r="198" ht="12.0" customHeight="1">
      <c r="J198" s="4"/>
    </row>
    <row r="199" ht="12.0" customHeight="1">
      <c r="J199" s="4"/>
    </row>
    <row r="200" ht="12.0" customHeight="1">
      <c r="J200" s="4"/>
    </row>
    <row r="201" ht="12.0" customHeight="1">
      <c r="J201" s="4"/>
    </row>
    <row r="202" ht="12.0" customHeight="1">
      <c r="J202" s="4"/>
    </row>
    <row r="203" ht="12.0" customHeight="1">
      <c r="J203" s="4"/>
    </row>
    <row r="204" ht="12.0" customHeight="1">
      <c r="J204" s="4"/>
    </row>
    <row r="205" ht="12.0" customHeight="1">
      <c r="J205" s="4"/>
    </row>
    <row r="206" ht="12.0" customHeight="1">
      <c r="J206" s="4"/>
    </row>
    <row r="207" ht="12.0" customHeight="1">
      <c r="J207" s="4"/>
    </row>
    <row r="208" ht="12.0" customHeight="1">
      <c r="J208" s="4"/>
    </row>
    <row r="209" ht="12.0" customHeight="1">
      <c r="J209" s="4"/>
    </row>
    <row r="210" ht="12.0" customHeight="1">
      <c r="J210" s="4"/>
    </row>
    <row r="211" ht="12.0" customHeight="1">
      <c r="J211" s="4"/>
    </row>
    <row r="212" ht="12.0" customHeight="1">
      <c r="J212" s="4"/>
    </row>
    <row r="213" ht="12.0" customHeight="1">
      <c r="J213" s="4"/>
    </row>
    <row r="214" ht="12.0" customHeight="1">
      <c r="J214" s="4"/>
    </row>
    <row r="215" ht="12.0" customHeight="1">
      <c r="J215" s="4"/>
    </row>
    <row r="216" ht="12.0" customHeight="1">
      <c r="J216" s="4"/>
    </row>
    <row r="217" ht="12.0" customHeight="1">
      <c r="J217" s="4"/>
    </row>
    <row r="218" ht="12.0" customHeight="1">
      <c r="J218" s="4"/>
    </row>
    <row r="219" ht="12.0" customHeight="1">
      <c r="J219" s="4"/>
    </row>
    <row r="220" ht="12.0" customHeight="1">
      <c r="J220" s="4"/>
    </row>
    <row r="221" ht="12.0" customHeight="1">
      <c r="J221" s="4"/>
    </row>
    <row r="222" ht="12.0" customHeight="1">
      <c r="J222" s="4"/>
    </row>
    <row r="223" ht="12.0" customHeight="1">
      <c r="J223" s="4"/>
    </row>
    <row r="224" ht="12.0" customHeight="1">
      <c r="J224" s="4"/>
    </row>
    <row r="225" ht="12.0" customHeight="1">
      <c r="J225" s="4"/>
    </row>
    <row r="226" ht="12.0" customHeight="1">
      <c r="J226" s="4"/>
    </row>
    <row r="227" ht="12.0" customHeight="1">
      <c r="J227" s="4"/>
    </row>
    <row r="228" ht="12.0" customHeight="1">
      <c r="J228" s="4"/>
    </row>
    <row r="229" ht="12.0" customHeight="1">
      <c r="J229" s="4"/>
    </row>
    <row r="230" ht="12.0" customHeight="1">
      <c r="J230" s="4"/>
    </row>
    <row r="231" ht="12.0" customHeight="1">
      <c r="J231" s="4"/>
    </row>
    <row r="232" ht="12.0" customHeight="1">
      <c r="J232" s="4"/>
    </row>
    <row r="233" ht="12.0" customHeight="1">
      <c r="J233" s="4"/>
    </row>
    <row r="234" ht="12.0" customHeight="1">
      <c r="J234" s="4"/>
    </row>
    <row r="235" ht="12.0" customHeight="1">
      <c r="J235" s="4"/>
    </row>
    <row r="236" ht="12.0" customHeight="1">
      <c r="J236" s="4"/>
    </row>
    <row r="237" ht="12.0" customHeight="1">
      <c r="J237" s="4"/>
    </row>
    <row r="238" ht="12.0" customHeight="1">
      <c r="J238" s="4"/>
    </row>
    <row r="239" ht="12.0" customHeight="1">
      <c r="J239" s="4"/>
    </row>
    <row r="240" ht="12.0" customHeight="1">
      <c r="J240" s="4"/>
    </row>
    <row r="241" ht="12.0" customHeight="1">
      <c r="J241" s="4"/>
    </row>
    <row r="242" ht="12.0" customHeight="1">
      <c r="J242" s="4"/>
    </row>
    <row r="243" ht="12.0" customHeight="1">
      <c r="J243" s="4"/>
    </row>
    <row r="244" ht="12.0" customHeight="1">
      <c r="J244" s="4"/>
    </row>
    <row r="245" ht="12.0" customHeight="1">
      <c r="J245" s="4"/>
    </row>
    <row r="246" ht="12.0" customHeight="1">
      <c r="J246" s="4"/>
    </row>
    <row r="247" ht="12.0" customHeight="1">
      <c r="J247" s="4"/>
    </row>
    <row r="248" ht="12.0" customHeight="1">
      <c r="J248" s="4"/>
    </row>
    <row r="249" ht="12.0" customHeight="1">
      <c r="J249" s="4"/>
    </row>
    <row r="250" ht="12.0" customHeight="1">
      <c r="J250" s="4"/>
    </row>
    <row r="251" ht="12.0" customHeight="1">
      <c r="J251" s="4"/>
    </row>
    <row r="252" ht="12.0" customHeight="1">
      <c r="J252" s="4"/>
    </row>
    <row r="253" ht="12.0" customHeight="1">
      <c r="J253" s="4"/>
    </row>
    <row r="254" ht="12.0" customHeight="1">
      <c r="J254" s="4"/>
    </row>
    <row r="255" ht="12.0" customHeight="1">
      <c r="J255" s="4"/>
    </row>
    <row r="256" ht="12.0" customHeight="1">
      <c r="J256" s="4"/>
    </row>
    <row r="257" ht="12.0" customHeight="1">
      <c r="J257" s="4"/>
    </row>
    <row r="258" ht="12.0" customHeight="1">
      <c r="J258" s="4"/>
    </row>
    <row r="259" ht="12.0" customHeight="1">
      <c r="J259" s="4"/>
    </row>
    <row r="260" ht="12.0" customHeight="1">
      <c r="J260" s="4"/>
    </row>
    <row r="261" ht="12.0" customHeight="1">
      <c r="J261" s="4"/>
    </row>
    <row r="262" ht="12.0" customHeight="1">
      <c r="J262" s="4"/>
    </row>
    <row r="263" ht="12.0" customHeight="1">
      <c r="J263" s="4"/>
    </row>
    <row r="264" ht="12.0" customHeight="1">
      <c r="J264" s="4"/>
    </row>
    <row r="265" ht="12.0" customHeight="1">
      <c r="J265" s="4"/>
    </row>
    <row r="266" ht="12.0" customHeight="1">
      <c r="J266" s="4"/>
    </row>
    <row r="267" ht="12.0" customHeight="1">
      <c r="J267" s="4"/>
    </row>
    <row r="268" ht="12.0" customHeight="1">
      <c r="J268" s="4"/>
    </row>
    <row r="269" ht="12.0" customHeight="1">
      <c r="J269" s="4"/>
    </row>
    <row r="270" ht="12.0" customHeight="1">
      <c r="J270" s="4"/>
    </row>
    <row r="271" ht="12.0" customHeight="1">
      <c r="J271" s="4"/>
    </row>
    <row r="272" ht="12.0" customHeight="1">
      <c r="J272" s="4"/>
    </row>
    <row r="273" ht="12.0" customHeight="1">
      <c r="J273" s="4"/>
    </row>
    <row r="274" ht="12.0" customHeight="1">
      <c r="J274" s="4"/>
    </row>
    <row r="275" ht="12.0" customHeight="1">
      <c r="J275" s="4"/>
    </row>
    <row r="276" ht="12.0" customHeight="1">
      <c r="J276" s="4"/>
    </row>
    <row r="277" ht="12.0" customHeight="1">
      <c r="J277" s="4"/>
    </row>
    <row r="278" ht="12.0" customHeight="1">
      <c r="J278" s="4"/>
    </row>
    <row r="279" ht="12.0" customHeight="1">
      <c r="J279" s="4"/>
    </row>
    <row r="280" ht="12.0" customHeight="1">
      <c r="J280" s="4"/>
    </row>
    <row r="281" ht="12.0" customHeight="1">
      <c r="J281" s="4"/>
    </row>
    <row r="282" ht="12.0" customHeight="1">
      <c r="J282" s="4"/>
    </row>
    <row r="283" ht="12.0" customHeight="1">
      <c r="J283" s="4"/>
    </row>
    <row r="284" ht="12.0" customHeight="1">
      <c r="J284" s="4"/>
    </row>
    <row r="285" ht="12.0" customHeight="1">
      <c r="J285" s="4"/>
    </row>
    <row r="286" ht="12.0" customHeight="1">
      <c r="J286" s="4"/>
    </row>
    <row r="287" ht="12.0" customHeight="1">
      <c r="J287" s="4"/>
    </row>
    <row r="288" ht="12.0" customHeight="1">
      <c r="J288" s="4"/>
    </row>
    <row r="289" ht="12.0" customHeight="1">
      <c r="J289" s="4"/>
    </row>
    <row r="290" ht="12.0" customHeight="1">
      <c r="J290" s="4"/>
    </row>
    <row r="291" ht="12.0" customHeight="1">
      <c r="J291" s="4"/>
    </row>
    <row r="292" ht="12.0" customHeight="1">
      <c r="J292" s="4"/>
    </row>
    <row r="293" ht="12.0" customHeight="1">
      <c r="J293" s="4"/>
    </row>
    <row r="294" ht="12.0" customHeight="1">
      <c r="J294" s="4"/>
    </row>
    <row r="295" ht="12.0" customHeight="1">
      <c r="J295" s="4"/>
    </row>
    <row r="296" ht="12.0" customHeight="1">
      <c r="J296" s="4"/>
    </row>
    <row r="297" ht="12.0" customHeight="1">
      <c r="J297" s="4"/>
    </row>
    <row r="298" ht="12.0" customHeight="1">
      <c r="J298" s="4"/>
    </row>
    <row r="299" ht="12.0" customHeight="1">
      <c r="J299" s="4"/>
    </row>
    <row r="300" ht="12.0" customHeight="1">
      <c r="J300" s="4"/>
    </row>
    <row r="301" ht="12.0" customHeight="1">
      <c r="J301" s="4"/>
    </row>
    <row r="302" ht="12.0" customHeight="1">
      <c r="J302" s="4"/>
    </row>
    <row r="303" ht="12.0" customHeight="1">
      <c r="J303" s="4"/>
    </row>
    <row r="304" ht="12.0" customHeight="1">
      <c r="J304" s="4"/>
    </row>
    <row r="305" ht="12.0" customHeight="1">
      <c r="J305" s="4"/>
    </row>
    <row r="306" ht="12.0" customHeight="1">
      <c r="J306" s="4"/>
    </row>
    <row r="307" ht="12.0" customHeight="1">
      <c r="J307" s="4"/>
    </row>
    <row r="308" ht="12.0" customHeight="1">
      <c r="J308" s="4"/>
    </row>
    <row r="309" ht="12.0" customHeight="1">
      <c r="J309" s="4"/>
    </row>
    <row r="310" ht="12.0" customHeight="1">
      <c r="J310" s="4"/>
    </row>
    <row r="311" ht="12.0" customHeight="1">
      <c r="J311" s="4"/>
    </row>
    <row r="312" ht="12.0" customHeight="1">
      <c r="J312" s="4"/>
    </row>
    <row r="313" ht="12.0" customHeight="1">
      <c r="J313" s="4"/>
    </row>
    <row r="314" ht="12.0" customHeight="1">
      <c r="J314" s="4"/>
    </row>
    <row r="315" ht="12.0" customHeight="1">
      <c r="J315" s="4"/>
    </row>
    <row r="316" ht="12.0" customHeight="1">
      <c r="J316" s="4"/>
    </row>
    <row r="317" ht="12.0" customHeight="1">
      <c r="J317" s="4"/>
    </row>
    <row r="318" ht="12.0" customHeight="1">
      <c r="J318" s="4"/>
    </row>
    <row r="319" ht="12.0" customHeight="1">
      <c r="J319" s="4"/>
    </row>
    <row r="320" ht="12.0" customHeight="1">
      <c r="J320" s="4"/>
    </row>
    <row r="321" ht="12.0" customHeight="1">
      <c r="J321" s="4"/>
    </row>
    <row r="322" ht="12.0" customHeight="1">
      <c r="J322" s="4"/>
    </row>
    <row r="323" ht="12.0" customHeight="1">
      <c r="J323" s="4"/>
    </row>
    <row r="324" ht="12.0" customHeight="1">
      <c r="J324" s="4"/>
    </row>
    <row r="325" ht="12.0" customHeight="1">
      <c r="J325" s="4"/>
    </row>
    <row r="326" ht="12.0" customHeight="1">
      <c r="J326" s="4"/>
    </row>
    <row r="327" ht="12.0" customHeight="1">
      <c r="J327" s="4"/>
    </row>
    <row r="328" ht="12.0" customHeight="1">
      <c r="J328" s="4"/>
    </row>
    <row r="329" ht="12.0" customHeight="1">
      <c r="J329" s="4"/>
    </row>
    <row r="330" ht="12.0" customHeight="1">
      <c r="J330" s="4"/>
    </row>
    <row r="331" ht="12.0" customHeight="1">
      <c r="J331" s="4"/>
    </row>
    <row r="332" ht="12.0" customHeight="1">
      <c r="J332" s="4"/>
    </row>
    <row r="333" ht="12.0" customHeight="1">
      <c r="J333" s="4"/>
    </row>
    <row r="334" ht="12.0" customHeight="1">
      <c r="J334" s="4"/>
    </row>
    <row r="335" ht="12.0" customHeight="1">
      <c r="J335" s="4"/>
    </row>
    <row r="336" ht="12.0" customHeight="1">
      <c r="J336" s="4"/>
    </row>
    <row r="337" ht="12.0" customHeight="1">
      <c r="J337" s="4"/>
    </row>
    <row r="338" ht="12.0" customHeight="1">
      <c r="J338" s="4"/>
    </row>
    <row r="339" ht="12.0" customHeight="1">
      <c r="J339" s="4"/>
    </row>
    <row r="340" ht="12.0" customHeight="1">
      <c r="J340" s="4"/>
    </row>
    <row r="341" ht="12.0" customHeight="1">
      <c r="J341" s="4"/>
    </row>
    <row r="342" ht="12.0" customHeight="1">
      <c r="J342" s="4"/>
    </row>
    <row r="343" ht="12.0" customHeight="1">
      <c r="J343" s="4"/>
    </row>
    <row r="344" ht="12.0" customHeight="1">
      <c r="J344" s="4"/>
    </row>
    <row r="345" ht="12.0" customHeight="1">
      <c r="J345" s="4"/>
    </row>
    <row r="346" ht="12.0" customHeight="1">
      <c r="J346" s="4"/>
    </row>
    <row r="347" ht="12.0" customHeight="1">
      <c r="J347" s="4"/>
    </row>
    <row r="348" ht="12.0" customHeight="1">
      <c r="J348" s="4"/>
    </row>
    <row r="349" ht="12.0" customHeight="1">
      <c r="J349" s="4"/>
    </row>
    <row r="350" ht="12.0" customHeight="1">
      <c r="J350" s="4"/>
    </row>
    <row r="351" ht="12.0" customHeight="1">
      <c r="J351" s="4"/>
    </row>
    <row r="352" ht="12.0" customHeight="1">
      <c r="J352" s="4"/>
    </row>
    <row r="353" ht="12.0" customHeight="1">
      <c r="J353" s="4"/>
    </row>
    <row r="354" ht="12.0" customHeight="1">
      <c r="J354" s="4"/>
    </row>
    <row r="355" ht="12.0" customHeight="1">
      <c r="J355" s="4"/>
    </row>
    <row r="356" ht="12.0" customHeight="1">
      <c r="J356" s="4"/>
    </row>
    <row r="357" ht="12.0" customHeight="1">
      <c r="J357" s="4"/>
    </row>
    <row r="358" ht="12.0" customHeight="1">
      <c r="J358" s="4"/>
    </row>
    <row r="359" ht="12.0" customHeight="1">
      <c r="J359" s="4"/>
    </row>
    <row r="360" ht="12.0" customHeight="1">
      <c r="J360" s="4"/>
    </row>
    <row r="361" ht="12.0" customHeight="1">
      <c r="J361" s="4"/>
    </row>
    <row r="362" ht="12.0" customHeight="1">
      <c r="J362" s="4"/>
    </row>
    <row r="363" ht="12.0" customHeight="1">
      <c r="J363" s="4"/>
    </row>
    <row r="364" ht="12.0" customHeight="1">
      <c r="J364" s="4"/>
    </row>
    <row r="365" ht="12.0" customHeight="1">
      <c r="J365" s="4"/>
    </row>
    <row r="366" ht="12.0" customHeight="1">
      <c r="J366" s="4"/>
    </row>
    <row r="367" ht="12.0" customHeight="1">
      <c r="J367" s="4"/>
    </row>
    <row r="368" ht="12.0" customHeight="1">
      <c r="J368" s="4"/>
    </row>
    <row r="369" ht="12.0" customHeight="1">
      <c r="J369" s="4"/>
    </row>
    <row r="370" ht="12.0" customHeight="1">
      <c r="J370" s="4"/>
    </row>
    <row r="371" ht="12.0" customHeight="1">
      <c r="J371" s="4"/>
    </row>
    <row r="372" ht="12.0" customHeight="1">
      <c r="J372" s="4"/>
    </row>
    <row r="373" ht="12.0" customHeight="1">
      <c r="J373" s="4"/>
    </row>
    <row r="374" ht="12.0" customHeight="1">
      <c r="J374" s="4"/>
    </row>
    <row r="375" ht="12.0" customHeight="1">
      <c r="J375" s="4"/>
    </row>
    <row r="376" ht="12.0" customHeight="1">
      <c r="J376" s="4"/>
    </row>
    <row r="377" ht="12.0" customHeight="1">
      <c r="J377" s="4"/>
    </row>
    <row r="378" ht="12.0" customHeight="1">
      <c r="J378" s="4"/>
    </row>
    <row r="379" ht="12.0" customHeight="1">
      <c r="J379" s="4"/>
    </row>
    <row r="380" ht="12.0" customHeight="1">
      <c r="J380" s="4"/>
    </row>
    <row r="381" ht="12.0" customHeight="1">
      <c r="J381" s="4"/>
    </row>
    <row r="382" ht="12.0" customHeight="1">
      <c r="J382" s="4"/>
    </row>
    <row r="383" ht="12.0" customHeight="1">
      <c r="J383" s="4"/>
    </row>
    <row r="384" ht="12.0" customHeight="1">
      <c r="J384" s="4"/>
    </row>
    <row r="385" ht="12.0" customHeight="1">
      <c r="J385" s="4"/>
    </row>
    <row r="386" ht="12.0" customHeight="1">
      <c r="J386" s="4"/>
    </row>
    <row r="387" ht="12.0" customHeight="1">
      <c r="J387" s="4"/>
    </row>
    <row r="388" ht="12.0" customHeight="1">
      <c r="J388" s="4"/>
    </row>
    <row r="389" ht="12.0" customHeight="1">
      <c r="J389" s="4"/>
    </row>
    <row r="390" ht="12.0" customHeight="1">
      <c r="J390" s="4"/>
    </row>
    <row r="391" ht="12.0" customHeight="1">
      <c r="J391" s="4"/>
    </row>
    <row r="392" ht="12.0" customHeight="1">
      <c r="J392" s="4"/>
    </row>
    <row r="393" ht="12.0" customHeight="1">
      <c r="J393" s="4"/>
    </row>
    <row r="394" ht="12.0" customHeight="1">
      <c r="J394" s="4"/>
    </row>
    <row r="395" ht="12.0" customHeight="1">
      <c r="J395" s="4"/>
    </row>
    <row r="396" ht="12.0" customHeight="1">
      <c r="J396" s="4"/>
    </row>
    <row r="397" ht="12.0" customHeight="1">
      <c r="J397" s="4"/>
    </row>
    <row r="398" ht="12.0" customHeight="1">
      <c r="J398" s="4"/>
    </row>
    <row r="399" ht="12.0" customHeight="1">
      <c r="J399" s="4"/>
    </row>
    <row r="400" ht="12.0" customHeight="1">
      <c r="J400" s="4"/>
    </row>
    <row r="401" ht="12.0" customHeight="1">
      <c r="J401" s="4"/>
    </row>
    <row r="402" ht="12.0" customHeight="1">
      <c r="J402" s="4"/>
    </row>
    <row r="403" ht="12.0" customHeight="1">
      <c r="J403" s="4"/>
    </row>
    <row r="404" ht="12.0" customHeight="1">
      <c r="J404" s="4"/>
    </row>
    <row r="405" ht="12.0" customHeight="1">
      <c r="J405" s="4"/>
    </row>
    <row r="406" ht="12.0" customHeight="1">
      <c r="J406" s="4"/>
    </row>
    <row r="407" ht="12.0" customHeight="1">
      <c r="J407" s="4"/>
    </row>
    <row r="408" ht="12.0" customHeight="1">
      <c r="J408" s="4"/>
    </row>
    <row r="409" ht="12.0" customHeight="1">
      <c r="J409" s="4"/>
    </row>
    <row r="410" ht="12.0" customHeight="1">
      <c r="J410" s="4"/>
    </row>
    <row r="411" ht="12.0" customHeight="1">
      <c r="J411" s="4"/>
    </row>
    <row r="412" ht="12.0" customHeight="1">
      <c r="J412" s="4"/>
    </row>
    <row r="413" ht="12.0" customHeight="1">
      <c r="J413" s="4"/>
    </row>
    <row r="414" ht="12.0" customHeight="1">
      <c r="J414" s="4"/>
    </row>
    <row r="415" ht="12.0" customHeight="1">
      <c r="J415" s="4"/>
    </row>
    <row r="416" ht="12.0" customHeight="1">
      <c r="J416" s="4"/>
    </row>
    <row r="417" ht="12.0" customHeight="1">
      <c r="J417" s="4"/>
    </row>
    <row r="418" ht="12.0" customHeight="1">
      <c r="J418" s="4"/>
    </row>
    <row r="419" ht="12.0" customHeight="1">
      <c r="J419" s="4"/>
    </row>
    <row r="420" ht="12.0" customHeight="1">
      <c r="J420" s="4"/>
    </row>
    <row r="421" ht="12.0" customHeight="1">
      <c r="J421" s="4"/>
    </row>
    <row r="422" ht="12.0" customHeight="1">
      <c r="J422" s="4"/>
    </row>
    <row r="423" ht="12.0" customHeight="1">
      <c r="J423" s="4"/>
    </row>
    <row r="424" ht="12.0" customHeight="1">
      <c r="J424" s="4"/>
    </row>
    <row r="425" ht="12.0" customHeight="1">
      <c r="J425" s="4"/>
    </row>
    <row r="426" ht="12.0" customHeight="1">
      <c r="J426" s="4"/>
    </row>
    <row r="427" ht="12.0" customHeight="1">
      <c r="J427" s="4"/>
    </row>
    <row r="428" ht="12.0" customHeight="1">
      <c r="J428" s="4"/>
    </row>
    <row r="429" ht="12.0" customHeight="1">
      <c r="J429" s="4"/>
    </row>
    <row r="430" ht="12.0" customHeight="1">
      <c r="J430" s="4"/>
    </row>
    <row r="431" ht="12.0" customHeight="1">
      <c r="J431" s="4"/>
    </row>
    <row r="432" ht="12.0" customHeight="1">
      <c r="J432" s="4"/>
    </row>
    <row r="433" ht="12.0" customHeight="1">
      <c r="J433" s="4"/>
    </row>
    <row r="434" ht="12.0" customHeight="1">
      <c r="J434" s="4"/>
    </row>
    <row r="435" ht="12.0" customHeight="1">
      <c r="J435" s="4"/>
    </row>
    <row r="436" ht="12.0" customHeight="1">
      <c r="J436" s="4"/>
    </row>
    <row r="437" ht="12.0" customHeight="1">
      <c r="J437" s="4"/>
    </row>
    <row r="438" ht="12.0" customHeight="1">
      <c r="J438" s="4"/>
    </row>
    <row r="439" ht="12.0" customHeight="1">
      <c r="J439" s="4"/>
    </row>
    <row r="440" ht="12.0" customHeight="1">
      <c r="J440" s="4"/>
    </row>
    <row r="441" ht="12.0" customHeight="1">
      <c r="J441" s="4"/>
    </row>
    <row r="442" ht="12.0" customHeight="1">
      <c r="J442" s="4"/>
    </row>
    <row r="443" ht="12.0" customHeight="1">
      <c r="J443" s="4"/>
    </row>
    <row r="444" ht="12.0" customHeight="1">
      <c r="J444" s="4"/>
    </row>
    <row r="445" ht="12.0" customHeight="1">
      <c r="J445" s="4"/>
    </row>
    <row r="446" ht="12.0" customHeight="1">
      <c r="J446" s="4"/>
    </row>
    <row r="447" ht="12.0" customHeight="1">
      <c r="J447" s="4"/>
    </row>
    <row r="448" ht="12.0" customHeight="1">
      <c r="J448" s="4"/>
    </row>
    <row r="449" ht="12.0" customHeight="1">
      <c r="J449" s="4"/>
    </row>
    <row r="450" ht="12.0" customHeight="1">
      <c r="J450" s="4"/>
    </row>
    <row r="451" ht="12.0" customHeight="1">
      <c r="J451" s="4"/>
    </row>
    <row r="452" ht="12.0" customHeight="1">
      <c r="J452" s="4"/>
    </row>
    <row r="453" ht="12.0" customHeight="1">
      <c r="J453" s="4"/>
    </row>
    <row r="454" ht="12.0" customHeight="1">
      <c r="J454" s="4"/>
    </row>
    <row r="455" ht="12.0" customHeight="1">
      <c r="J455" s="4"/>
    </row>
    <row r="456" ht="12.0" customHeight="1">
      <c r="J456" s="4"/>
    </row>
    <row r="457" ht="12.0" customHeight="1">
      <c r="J457" s="4"/>
    </row>
    <row r="458" ht="12.0" customHeight="1">
      <c r="J458" s="4"/>
    </row>
    <row r="459" ht="12.0" customHeight="1">
      <c r="J459" s="4"/>
    </row>
    <row r="460" ht="12.0" customHeight="1">
      <c r="J460" s="4"/>
    </row>
    <row r="461" ht="12.0" customHeight="1">
      <c r="J461" s="4"/>
    </row>
    <row r="462" ht="12.0" customHeight="1">
      <c r="J462" s="4"/>
    </row>
    <row r="463" ht="12.0" customHeight="1">
      <c r="J463" s="4"/>
    </row>
    <row r="464" ht="12.0" customHeight="1">
      <c r="J464" s="4"/>
    </row>
    <row r="465" ht="12.0" customHeight="1">
      <c r="J465" s="4"/>
    </row>
    <row r="466" ht="12.0" customHeight="1">
      <c r="J466" s="4"/>
    </row>
    <row r="467" ht="12.0" customHeight="1">
      <c r="J467" s="4"/>
    </row>
    <row r="468" ht="12.0" customHeight="1">
      <c r="J468" s="4"/>
    </row>
    <row r="469" ht="12.0" customHeight="1">
      <c r="J469" s="4"/>
    </row>
    <row r="470" ht="12.0" customHeight="1">
      <c r="J470" s="4"/>
    </row>
    <row r="471" ht="12.0" customHeight="1">
      <c r="J471" s="4"/>
    </row>
    <row r="472" ht="12.0" customHeight="1">
      <c r="J472" s="4"/>
    </row>
    <row r="473" ht="12.0" customHeight="1">
      <c r="J473" s="4"/>
    </row>
    <row r="474" ht="12.0" customHeight="1">
      <c r="J474" s="4"/>
    </row>
    <row r="475" ht="12.0" customHeight="1">
      <c r="J475" s="4"/>
    </row>
    <row r="476" ht="12.0" customHeight="1">
      <c r="J476" s="4"/>
    </row>
    <row r="477" ht="12.0" customHeight="1">
      <c r="J477" s="4"/>
    </row>
    <row r="478" ht="12.0" customHeight="1">
      <c r="J478" s="4"/>
    </row>
    <row r="479" ht="12.0" customHeight="1">
      <c r="J479" s="4"/>
    </row>
    <row r="480" ht="12.0" customHeight="1">
      <c r="J480" s="4"/>
    </row>
    <row r="481" ht="12.0" customHeight="1">
      <c r="J481" s="4"/>
    </row>
    <row r="482" ht="12.0" customHeight="1">
      <c r="J482" s="4"/>
    </row>
    <row r="483" ht="12.0" customHeight="1">
      <c r="J483" s="4"/>
    </row>
    <row r="484" ht="12.0" customHeight="1">
      <c r="J484" s="4"/>
    </row>
    <row r="485" ht="12.0" customHeight="1">
      <c r="J485" s="4"/>
    </row>
    <row r="486" ht="12.0" customHeight="1">
      <c r="J486" s="4"/>
    </row>
    <row r="487" ht="12.0" customHeight="1">
      <c r="J487" s="4"/>
    </row>
    <row r="488" ht="12.0" customHeight="1">
      <c r="J488" s="4"/>
    </row>
    <row r="489" ht="12.0" customHeight="1">
      <c r="J489" s="4"/>
    </row>
    <row r="490" ht="12.0" customHeight="1">
      <c r="J490" s="4"/>
    </row>
    <row r="491" ht="12.0" customHeight="1">
      <c r="J491" s="4"/>
    </row>
    <row r="492" ht="12.0" customHeight="1">
      <c r="J492" s="4"/>
    </row>
    <row r="493" ht="12.0" customHeight="1">
      <c r="J493" s="4"/>
    </row>
    <row r="494" ht="12.0" customHeight="1">
      <c r="J494" s="4"/>
    </row>
    <row r="495" ht="12.0" customHeight="1">
      <c r="J495" s="4"/>
    </row>
    <row r="496" ht="12.0" customHeight="1">
      <c r="J496" s="4"/>
    </row>
    <row r="497" ht="12.0" customHeight="1">
      <c r="J497" s="4"/>
    </row>
    <row r="498" ht="12.0" customHeight="1">
      <c r="J498" s="4"/>
    </row>
    <row r="499" ht="12.0" customHeight="1">
      <c r="J499" s="4"/>
    </row>
    <row r="500" ht="12.0" customHeight="1">
      <c r="J500" s="4"/>
    </row>
    <row r="501" ht="12.0" customHeight="1">
      <c r="J501" s="4"/>
    </row>
    <row r="502" ht="12.0" customHeight="1">
      <c r="J502" s="4"/>
    </row>
    <row r="503" ht="12.0" customHeight="1">
      <c r="J503" s="4"/>
    </row>
    <row r="504" ht="12.0" customHeight="1">
      <c r="J504" s="4"/>
    </row>
    <row r="505" ht="12.0" customHeight="1">
      <c r="J505" s="4"/>
    </row>
    <row r="506" ht="12.0" customHeight="1">
      <c r="J506" s="4"/>
    </row>
    <row r="507" ht="12.0" customHeight="1">
      <c r="J507" s="4"/>
    </row>
    <row r="508" ht="12.0" customHeight="1">
      <c r="J508" s="4"/>
    </row>
    <row r="509" ht="12.0" customHeight="1">
      <c r="J509" s="4"/>
    </row>
    <row r="510" ht="12.0" customHeight="1">
      <c r="J510" s="4"/>
    </row>
    <row r="511" ht="12.0" customHeight="1">
      <c r="J511" s="4"/>
    </row>
    <row r="512" ht="12.0" customHeight="1">
      <c r="J512" s="4"/>
    </row>
    <row r="513" ht="12.0" customHeight="1">
      <c r="J513" s="4"/>
    </row>
    <row r="514" ht="12.0" customHeight="1">
      <c r="J514" s="4"/>
    </row>
    <row r="515" ht="12.0" customHeight="1">
      <c r="J515" s="4"/>
    </row>
    <row r="516" ht="12.0" customHeight="1">
      <c r="J516" s="4"/>
    </row>
    <row r="517" ht="12.0" customHeight="1">
      <c r="J517" s="4"/>
    </row>
    <row r="518" ht="12.0" customHeight="1">
      <c r="J518" s="4"/>
    </row>
    <row r="519" ht="12.0" customHeight="1">
      <c r="J519" s="4"/>
    </row>
    <row r="520" ht="12.0" customHeight="1">
      <c r="J520" s="4"/>
    </row>
    <row r="521" ht="12.0" customHeight="1">
      <c r="J521" s="4"/>
    </row>
    <row r="522" ht="12.0" customHeight="1">
      <c r="J522" s="4"/>
    </row>
    <row r="523" ht="12.0" customHeight="1">
      <c r="J523" s="4"/>
    </row>
    <row r="524" ht="12.0" customHeight="1">
      <c r="J524" s="4"/>
    </row>
    <row r="525" ht="12.0" customHeight="1">
      <c r="J525" s="4"/>
    </row>
    <row r="526" ht="12.0" customHeight="1">
      <c r="J526" s="4"/>
    </row>
    <row r="527" ht="12.0" customHeight="1">
      <c r="J527" s="4"/>
    </row>
    <row r="528" ht="12.0" customHeight="1">
      <c r="J528" s="4"/>
    </row>
    <row r="529" ht="12.0" customHeight="1">
      <c r="J529" s="4"/>
    </row>
    <row r="530" ht="12.0" customHeight="1">
      <c r="J530" s="4"/>
    </row>
    <row r="531" ht="12.0" customHeight="1">
      <c r="J531" s="4"/>
    </row>
    <row r="532" ht="12.0" customHeight="1">
      <c r="J532" s="4"/>
    </row>
    <row r="533" ht="12.0" customHeight="1">
      <c r="J533" s="4"/>
    </row>
    <row r="534" ht="12.0" customHeight="1">
      <c r="J534" s="4"/>
    </row>
    <row r="535" ht="12.0" customHeight="1">
      <c r="J535" s="4"/>
    </row>
    <row r="536" ht="12.0" customHeight="1">
      <c r="J536" s="4"/>
    </row>
    <row r="537" ht="12.0" customHeight="1">
      <c r="J537" s="4"/>
    </row>
    <row r="538" ht="12.0" customHeight="1">
      <c r="J538" s="4"/>
    </row>
    <row r="539" ht="12.0" customHeight="1">
      <c r="J539" s="4"/>
    </row>
    <row r="540" ht="12.0" customHeight="1">
      <c r="J540" s="4"/>
    </row>
    <row r="541" ht="12.0" customHeight="1">
      <c r="J541" s="4"/>
    </row>
    <row r="542" ht="12.0" customHeight="1">
      <c r="J542" s="4"/>
    </row>
    <row r="543" ht="12.0" customHeight="1">
      <c r="J543" s="4"/>
    </row>
    <row r="544" ht="12.0" customHeight="1">
      <c r="J544" s="4"/>
    </row>
    <row r="545" ht="12.0" customHeight="1">
      <c r="J545" s="4"/>
    </row>
    <row r="546" ht="12.0" customHeight="1">
      <c r="J546" s="4"/>
    </row>
    <row r="547" ht="12.0" customHeight="1">
      <c r="J547" s="4"/>
    </row>
    <row r="548" ht="12.0" customHeight="1">
      <c r="J548" s="4"/>
    </row>
    <row r="549" ht="12.0" customHeight="1">
      <c r="J549" s="4"/>
    </row>
    <row r="550" ht="12.0" customHeight="1">
      <c r="J550" s="4"/>
    </row>
    <row r="551" ht="12.0" customHeight="1">
      <c r="J551" s="4"/>
    </row>
    <row r="552" ht="12.0" customHeight="1">
      <c r="J552" s="4"/>
    </row>
    <row r="553" ht="12.0" customHeight="1">
      <c r="J553" s="4"/>
    </row>
    <row r="554" ht="12.0" customHeight="1">
      <c r="J554" s="4"/>
    </row>
    <row r="555" ht="12.0" customHeight="1">
      <c r="J555" s="4"/>
    </row>
    <row r="556" ht="12.0" customHeight="1">
      <c r="J556" s="4"/>
    </row>
    <row r="557" ht="12.0" customHeight="1">
      <c r="J557" s="4"/>
    </row>
    <row r="558" ht="12.0" customHeight="1">
      <c r="J558" s="4"/>
    </row>
    <row r="559" ht="12.0" customHeight="1">
      <c r="J559" s="4"/>
    </row>
    <row r="560" ht="12.0" customHeight="1">
      <c r="J560" s="4"/>
    </row>
    <row r="561" ht="12.0" customHeight="1">
      <c r="J561" s="4"/>
    </row>
    <row r="562" ht="12.0" customHeight="1">
      <c r="J562" s="4"/>
    </row>
    <row r="563" ht="12.0" customHeight="1">
      <c r="J563" s="4"/>
    </row>
    <row r="564" ht="12.0" customHeight="1">
      <c r="J564" s="4"/>
    </row>
    <row r="565" ht="12.0" customHeight="1">
      <c r="J565" s="4"/>
    </row>
    <row r="566" ht="12.0" customHeight="1">
      <c r="J566" s="4"/>
    </row>
    <row r="567" ht="12.0" customHeight="1">
      <c r="J567" s="4"/>
    </row>
    <row r="568" ht="12.0" customHeight="1">
      <c r="J568" s="4"/>
    </row>
    <row r="569" ht="12.0" customHeight="1">
      <c r="J569" s="4"/>
    </row>
    <row r="570" ht="12.0" customHeight="1">
      <c r="J570" s="4"/>
    </row>
    <row r="571" ht="12.0" customHeight="1">
      <c r="J571" s="4"/>
    </row>
    <row r="572" ht="12.0" customHeight="1">
      <c r="J572" s="4"/>
    </row>
    <row r="573" ht="12.0" customHeight="1">
      <c r="J573" s="4"/>
    </row>
    <row r="574" ht="12.0" customHeight="1">
      <c r="J574" s="4"/>
    </row>
    <row r="575" ht="12.0" customHeight="1">
      <c r="J575" s="4"/>
    </row>
    <row r="576" ht="12.0" customHeight="1">
      <c r="J576" s="4"/>
    </row>
    <row r="577" ht="12.0" customHeight="1">
      <c r="J577" s="4"/>
    </row>
    <row r="578" ht="12.0" customHeight="1">
      <c r="J578" s="4"/>
    </row>
    <row r="579" ht="12.0" customHeight="1">
      <c r="J579" s="4"/>
    </row>
    <row r="580" ht="12.0" customHeight="1">
      <c r="J580" s="4"/>
    </row>
    <row r="581" ht="12.0" customHeight="1">
      <c r="J581" s="4"/>
    </row>
    <row r="582" ht="12.0" customHeight="1">
      <c r="J582" s="4"/>
    </row>
    <row r="583" ht="12.0" customHeight="1">
      <c r="J583" s="4"/>
    </row>
    <row r="584" ht="12.0" customHeight="1">
      <c r="J584" s="4"/>
    </row>
    <row r="585" ht="12.0" customHeight="1">
      <c r="J585" s="4"/>
    </row>
    <row r="586" ht="12.0" customHeight="1">
      <c r="J586" s="4"/>
    </row>
    <row r="587" ht="12.0" customHeight="1">
      <c r="J587" s="4"/>
    </row>
    <row r="588" ht="12.0" customHeight="1">
      <c r="J588" s="4"/>
    </row>
    <row r="589" ht="12.0" customHeight="1">
      <c r="J589" s="4"/>
    </row>
    <row r="590" ht="12.0" customHeight="1">
      <c r="J590" s="4"/>
    </row>
    <row r="591" ht="12.0" customHeight="1">
      <c r="J591" s="4"/>
    </row>
    <row r="592" ht="12.0" customHeight="1">
      <c r="J592" s="4"/>
    </row>
    <row r="593" ht="12.0" customHeight="1">
      <c r="J593" s="4"/>
    </row>
    <row r="594" ht="12.0" customHeight="1">
      <c r="J594" s="4"/>
    </row>
    <row r="595" ht="12.0" customHeight="1">
      <c r="J595" s="4"/>
    </row>
    <row r="596" ht="12.0" customHeight="1">
      <c r="J596" s="4"/>
    </row>
    <row r="597" ht="12.0" customHeight="1">
      <c r="J597" s="4"/>
    </row>
    <row r="598" ht="12.0" customHeight="1">
      <c r="J598" s="4"/>
    </row>
    <row r="599" ht="12.0" customHeight="1">
      <c r="J599" s="4"/>
    </row>
    <row r="600" ht="12.0" customHeight="1">
      <c r="J600" s="4"/>
    </row>
    <row r="601" ht="12.0" customHeight="1">
      <c r="J601" s="4"/>
    </row>
    <row r="602" ht="12.0" customHeight="1">
      <c r="J602" s="4"/>
    </row>
    <row r="603" ht="12.0" customHeight="1">
      <c r="J603" s="4"/>
    </row>
    <row r="604" ht="12.0" customHeight="1">
      <c r="J604" s="4"/>
    </row>
    <row r="605" ht="12.0" customHeight="1">
      <c r="J605" s="4"/>
    </row>
    <row r="606" ht="12.0" customHeight="1">
      <c r="J606" s="4"/>
    </row>
    <row r="607" ht="12.0" customHeight="1">
      <c r="J607" s="4"/>
    </row>
    <row r="608" ht="12.0" customHeight="1">
      <c r="J608" s="4"/>
    </row>
    <row r="609" ht="12.0" customHeight="1">
      <c r="J609" s="4"/>
    </row>
    <row r="610" ht="12.0" customHeight="1">
      <c r="J610" s="4"/>
    </row>
    <row r="611" ht="12.0" customHeight="1">
      <c r="J611" s="4"/>
    </row>
    <row r="612" ht="12.0" customHeight="1">
      <c r="J612" s="4"/>
    </row>
    <row r="613" ht="12.0" customHeight="1">
      <c r="J613" s="4"/>
    </row>
    <row r="614" ht="12.0" customHeight="1">
      <c r="J614" s="4"/>
    </row>
    <row r="615" ht="12.0" customHeight="1">
      <c r="J615" s="4"/>
    </row>
    <row r="616" ht="12.0" customHeight="1">
      <c r="J616" s="4"/>
    </row>
    <row r="617" ht="12.0" customHeight="1">
      <c r="J617" s="4"/>
    </row>
    <row r="618" ht="12.0" customHeight="1">
      <c r="J618" s="4"/>
    </row>
    <row r="619" ht="12.0" customHeight="1">
      <c r="J619" s="4"/>
    </row>
    <row r="620" ht="12.0" customHeight="1">
      <c r="J620" s="4"/>
    </row>
    <row r="621" ht="12.0" customHeight="1">
      <c r="J621" s="4"/>
    </row>
    <row r="622" ht="12.0" customHeight="1">
      <c r="J622" s="4"/>
    </row>
    <row r="623" ht="12.0" customHeight="1">
      <c r="J623" s="4"/>
    </row>
    <row r="624" ht="12.0" customHeight="1">
      <c r="J624" s="4"/>
    </row>
    <row r="625" ht="12.0" customHeight="1">
      <c r="J625" s="4"/>
    </row>
    <row r="626" ht="12.0" customHeight="1">
      <c r="J626" s="4"/>
    </row>
    <row r="627" ht="12.0" customHeight="1">
      <c r="J627" s="4"/>
    </row>
    <row r="628" ht="12.0" customHeight="1">
      <c r="J628" s="4"/>
    </row>
    <row r="629" ht="12.0" customHeight="1">
      <c r="J629" s="4"/>
    </row>
    <row r="630" ht="12.0" customHeight="1">
      <c r="J630" s="4"/>
    </row>
    <row r="631" ht="12.0" customHeight="1">
      <c r="J631" s="4"/>
    </row>
    <row r="632" ht="12.0" customHeight="1">
      <c r="J632" s="4"/>
    </row>
    <row r="633" ht="12.0" customHeight="1">
      <c r="J633" s="4"/>
    </row>
    <row r="634" ht="12.0" customHeight="1">
      <c r="J634" s="4"/>
    </row>
    <row r="635" ht="12.0" customHeight="1">
      <c r="J635" s="4"/>
    </row>
    <row r="636" ht="12.0" customHeight="1">
      <c r="J636" s="4"/>
    </row>
    <row r="637" ht="12.0" customHeight="1">
      <c r="J637" s="4"/>
    </row>
    <row r="638" ht="12.0" customHeight="1">
      <c r="J638" s="4"/>
    </row>
    <row r="639" ht="12.0" customHeight="1">
      <c r="J639" s="4"/>
    </row>
    <row r="640" ht="12.0" customHeight="1">
      <c r="J640" s="4"/>
    </row>
    <row r="641" ht="12.0" customHeight="1">
      <c r="J641" s="4"/>
    </row>
    <row r="642" ht="12.0" customHeight="1">
      <c r="J642" s="4"/>
    </row>
    <row r="643" ht="12.0" customHeight="1">
      <c r="J643" s="4"/>
    </row>
    <row r="644" ht="12.0" customHeight="1">
      <c r="J644" s="4"/>
    </row>
    <row r="645" ht="12.0" customHeight="1">
      <c r="J645" s="4"/>
    </row>
    <row r="646" ht="12.0" customHeight="1">
      <c r="J646" s="4"/>
    </row>
    <row r="647" ht="12.0" customHeight="1">
      <c r="J647" s="4"/>
    </row>
    <row r="648" ht="12.0" customHeight="1">
      <c r="J648" s="4"/>
    </row>
    <row r="649" ht="12.0" customHeight="1">
      <c r="J649" s="4"/>
    </row>
    <row r="650" ht="12.0" customHeight="1">
      <c r="J650" s="4"/>
    </row>
    <row r="651" ht="12.0" customHeight="1">
      <c r="J651" s="4"/>
    </row>
    <row r="652" ht="12.0" customHeight="1">
      <c r="J652" s="4"/>
    </row>
    <row r="653" ht="12.0" customHeight="1">
      <c r="J653" s="4"/>
    </row>
    <row r="654" ht="12.0" customHeight="1">
      <c r="J654" s="4"/>
    </row>
    <row r="655" ht="12.0" customHeight="1">
      <c r="J655" s="4"/>
    </row>
    <row r="656" ht="12.0" customHeight="1">
      <c r="J656" s="4"/>
    </row>
    <row r="657" ht="12.0" customHeight="1">
      <c r="J657" s="4"/>
    </row>
    <row r="658" ht="12.0" customHeight="1">
      <c r="J658" s="4"/>
    </row>
    <row r="659" ht="12.0" customHeight="1">
      <c r="J659" s="4"/>
    </row>
    <row r="660" ht="12.0" customHeight="1">
      <c r="J660" s="4"/>
    </row>
    <row r="661" ht="12.0" customHeight="1">
      <c r="J661" s="4"/>
    </row>
    <row r="662" ht="12.0" customHeight="1">
      <c r="J662" s="4"/>
    </row>
    <row r="663" ht="12.0" customHeight="1">
      <c r="J663" s="4"/>
    </row>
    <row r="664" ht="12.0" customHeight="1">
      <c r="J664" s="4"/>
    </row>
    <row r="665" ht="12.0" customHeight="1">
      <c r="J665" s="4"/>
    </row>
    <row r="666" ht="12.0" customHeight="1">
      <c r="J666" s="4"/>
    </row>
    <row r="667" ht="12.0" customHeight="1">
      <c r="J667" s="4"/>
    </row>
    <row r="668" ht="12.0" customHeight="1">
      <c r="J668" s="4"/>
    </row>
    <row r="669" ht="12.0" customHeight="1">
      <c r="J669" s="4"/>
    </row>
    <row r="670" ht="12.0" customHeight="1">
      <c r="J670" s="4"/>
    </row>
    <row r="671" ht="12.0" customHeight="1">
      <c r="J671" s="4"/>
    </row>
    <row r="672" ht="12.0" customHeight="1">
      <c r="J672" s="4"/>
    </row>
    <row r="673" ht="12.0" customHeight="1">
      <c r="J673" s="4"/>
    </row>
    <row r="674" ht="12.0" customHeight="1">
      <c r="J674" s="4"/>
    </row>
    <row r="675" ht="12.0" customHeight="1">
      <c r="J675" s="4"/>
    </row>
    <row r="676" ht="12.0" customHeight="1">
      <c r="J676" s="4"/>
    </row>
    <row r="677" ht="12.0" customHeight="1">
      <c r="J677" s="4"/>
    </row>
    <row r="678" ht="12.0" customHeight="1">
      <c r="J678" s="4"/>
    </row>
    <row r="679" ht="12.0" customHeight="1">
      <c r="J679" s="4"/>
    </row>
    <row r="680" ht="12.0" customHeight="1">
      <c r="J680" s="4"/>
    </row>
    <row r="681" ht="12.0" customHeight="1">
      <c r="J681" s="4"/>
    </row>
    <row r="682" ht="12.0" customHeight="1">
      <c r="J682" s="4"/>
    </row>
    <row r="683" ht="12.0" customHeight="1">
      <c r="J683" s="4"/>
    </row>
    <row r="684" ht="12.0" customHeight="1">
      <c r="J684" s="4"/>
    </row>
    <row r="685" ht="12.0" customHeight="1">
      <c r="J685" s="4"/>
    </row>
    <row r="686" ht="12.0" customHeight="1">
      <c r="J686" s="4"/>
    </row>
    <row r="687" ht="12.0" customHeight="1">
      <c r="J687" s="4"/>
    </row>
    <row r="688" ht="12.0" customHeight="1">
      <c r="J688" s="4"/>
    </row>
    <row r="689" ht="12.0" customHeight="1">
      <c r="J689" s="4"/>
    </row>
    <row r="690" ht="12.0" customHeight="1">
      <c r="J690" s="4"/>
    </row>
    <row r="691" ht="12.0" customHeight="1">
      <c r="J691" s="4"/>
    </row>
    <row r="692" ht="12.0" customHeight="1">
      <c r="J692" s="4"/>
    </row>
    <row r="693" ht="12.0" customHeight="1">
      <c r="J693" s="4"/>
    </row>
    <row r="694" ht="12.0" customHeight="1">
      <c r="J694" s="4"/>
    </row>
    <row r="695" ht="12.0" customHeight="1">
      <c r="J695" s="4"/>
    </row>
    <row r="696" ht="12.0" customHeight="1">
      <c r="J696" s="4"/>
    </row>
    <row r="697" ht="12.0" customHeight="1">
      <c r="J697" s="4"/>
    </row>
    <row r="698" ht="12.0" customHeight="1">
      <c r="J698" s="4"/>
    </row>
    <row r="699" ht="12.0" customHeight="1">
      <c r="J699" s="4"/>
    </row>
    <row r="700" ht="12.0" customHeight="1">
      <c r="J700" s="4"/>
    </row>
    <row r="701" ht="12.0" customHeight="1">
      <c r="J701" s="4"/>
    </row>
    <row r="702" ht="12.0" customHeight="1">
      <c r="J702" s="4"/>
    </row>
    <row r="703" ht="12.0" customHeight="1">
      <c r="J703" s="4"/>
    </row>
    <row r="704" ht="12.0" customHeight="1">
      <c r="J704" s="4"/>
    </row>
    <row r="705" ht="12.0" customHeight="1">
      <c r="J705" s="4"/>
    </row>
    <row r="706" ht="12.0" customHeight="1">
      <c r="J706" s="4"/>
    </row>
    <row r="707" ht="12.0" customHeight="1">
      <c r="J707" s="4"/>
    </row>
    <row r="708" ht="12.0" customHeight="1">
      <c r="J708" s="4"/>
    </row>
    <row r="709" ht="12.0" customHeight="1">
      <c r="J709" s="4"/>
    </row>
    <row r="710" ht="12.0" customHeight="1">
      <c r="J710" s="4"/>
    </row>
    <row r="711" ht="12.0" customHeight="1">
      <c r="J711" s="4"/>
    </row>
    <row r="712" ht="12.0" customHeight="1">
      <c r="J712" s="4"/>
    </row>
    <row r="713" ht="12.0" customHeight="1">
      <c r="J713" s="4"/>
    </row>
    <row r="714" ht="12.0" customHeight="1">
      <c r="J714" s="4"/>
    </row>
    <row r="715" ht="12.0" customHeight="1">
      <c r="J715" s="4"/>
    </row>
    <row r="716" ht="12.0" customHeight="1">
      <c r="J716" s="4"/>
    </row>
    <row r="717" ht="12.0" customHeight="1">
      <c r="J717" s="4"/>
    </row>
    <row r="718" ht="12.0" customHeight="1">
      <c r="J718" s="4"/>
    </row>
    <row r="719" ht="12.0" customHeight="1">
      <c r="J719" s="4"/>
    </row>
    <row r="720" ht="12.0" customHeight="1">
      <c r="J720" s="4"/>
    </row>
    <row r="721" ht="12.0" customHeight="1">
      <c r="J721" s="4"/>
    </row>
    <row r="722" ht="12.0" customHeight="1">
      <c r="J722" s="4"/>
    </row>
    <row r="723" ht="12.0" customHeight="1">
      <c r="J723" s="4"/>
    </row>
    <row r="724" ht="12.0" customHeight="1">
      <c r="J724" s="4"/>
    </row>
    <row r="725" ht="12.0" customHeight="1">
      <c r="J725" s="4"/>
    </row>
    <row r="726" ht="12.0" customHeight="1">
      <c r="J726" s="4"/>
    </row>
    <row r="727" ht="12.0" customHeight="1">
      <c r="J727" s="4"/>
    </row>
    <row r="728" ht="12.0" customHeight="1">
      <c r="J728" s="4"/>
    </row>
    <row r="729" ht="12.0" customHeight="1">
      <c r="J729" s="4"/>
    </row>
    <row r="730" ht="12.0" customHeight="1">
      <c r="J730" s="4"/>
    </row>
    <row r="731" ht="12.0" customHeight="1">
      <c r="J731" s="4"/>
    </row>
    <row r="732" ht="12.0" customHeight="1">
      <c r="J732" s="4"/>
    </row>
    <row r="733" ht="12.0" customHeight="1">
      <c r="J733" s="4"/>
    </row>
    <row r="734" ht="12.0" customHeight="1">
      <c r="J734" s="4"/>
    </row>
    <row r="735" ht="12.0" customHeight="1">
      <c r="J735" s="4"/>
    </row>
    <row r="736" ht="12.0" customHeight="1">
      <c r="J736" s="4"/>
    </row>
    <row r="737" ht="12.0" customHeight="1">
      <c r="J737" s="4"/>
    </row>
    <row r="738" ht="12.0" customHeight="1">
      <c r="J738" s="4"/>
    </row>
    <row r="739" ht="12.0" customHeight="1">
      <c r="J739" s="4"/>
    </row>
    <row r="740" ht="12.0" customHeight="1">
      <c r="J740" s="4"/>
    </row>
    <row r="741" ht="12.0" customHeight="1">
      <c r="J741" s="4"/>
    </row>
    <row r="742" ht="12.0" customHeight="1">
      <c r="J742" s="4"/>
    </row>
    <row r="743" ht="12.0" customHeight="1">
      <c r="J743" s="4"/>
    </row>
    <row r="744" ht="12.0" customHeight="1">
      <c r="J744" s="4"/>
    </row>
    <row r="745" ht="12.0" customHeight="1">
      <c r="J745" s="4"/>
    </row>
    <row r="746" ht="12.0" customHeight="1">
      <c r="J746" s="4"/>
    </row>
    <row r="747" ht="12.0" customHeight="1">
      <c r="J747" s="4"/>
    </row>
    <row r="748" ht="12.0" customHeight="1">
      <c r="J748" s="4"/>
    </row>
    <row r="749" ht="12.0" customHeight="1">
      <c r="J749" s="4"/>
    </row>
    <row r="750" ht="12.0" customHeight="1">
      <c r="J750" s="4"/>
    </row>
    <row r="751" ht="12.0" customHeight="1">
      <c r="J751" s="4"/>
    </row>
    <row r="752" ht="12.0" customHeight="1">
      <c r="J752" s="4"/>
    </row>
    <row r="753" ht="12.0" customHeight="1">
      <c r="J753" s="4"/>
    </row>
    <row r="754" ht="12.0" customHeight="1">
      <c r="J754" s="4"/>
    </row>
    <row r="755" ht="12.0" customHeight="1">
      <c r="J755" s="4"/>
    </row>
    <row r="756" ht="12.0" customHeight="1">
      <c r="J756" s="4"/>
    </row>
    <row r="757" ht="12.0" customHeight="1">
      <c r="J757" s="4"/>
    </row>
    <row r="758" ht="12.0" customHeight="1">
      <c r="J758" s="4"/>
    </row>
    <row r="759" ht="12.0" customHeight="1">
      <c r="J759" s="4"/>
    </row>
    <row r="760" ht="12.0" customHeight="1">
      <c r="J760" s="4"/>
    </row>
    <row r="761" ht="12.0" customHeight="1">
      <c r="J761" s="4"/>
    </row>
    <row r="762" ht="12.0" customHeight="1">
      <c r="J762" s="4"/>
    </row>
    <row r="763" ht="12.0" customHeight="1">
      <c r="J763" s="4"/>
    </row>
    <row r="764" ht="12.0" customHeight="1">
      <c r="J764" s="4"/>
    </row>
    <row r="765" ht="12.0" customHeight="1">
      <c r="J765" s="4"/>
    </row>
    <row r="766" ht="12.0" customHeight="1">
      <c r="J766" s="4"/>
    </row>
    <row r="767" ht="12.0" customHeight="1">
      <c r="J767" s="4"/>
    </row>
    <row r="768" ht="12.0" customHeight="1">
      <c r="J768" s="4"/>
    </row>
    <row r="769" ht="12.0" customHeight="1">
      <c r="J769" s="4"/>
    </row>
    <row r="770" ht="12.0" customHeight="1">
      <c r="J770" s="4"/>
    </row>
    <row r="771" ht="12.0" customHeight="1">
      <c r="J771" s="4"/>
    </row>
    <row r="772" ht="12.0" customHeight="1">
      <c r="J772" s="4"/>
    </row>
    <row r="773" ht="12.0" customHeight="1">
      <c r="J773" s="4"/>
    </row>
    <row r="774" ht="12.0" customHeight="1">
      <c r="J774" s="4"/>
    </row>
    <row r="775" ht="12.0" customHeight="1">
      <c r="J775" s="4"/>
    </row>
    <row r="776" ht="12.0" customHeight="1">
      <c r="J776" s="4"/>
    </row>
    <row r="777" ht="12.0" customHeight="1">
      <c r="J777" s="4"/>
    </row>
    <row r="778" ht="12.0" customHeight="1">
      <c r="J778" s="4"/>
    </row>
    <row r="779" ht="12.0" customHeight="1">
      <c r="J779" s="4"/>
    </row>
    <row r="780" ht="12.0" customHeight="1">
      <c r="J780" s="4"/>
    </row>
    <row r="781" ht="12.0" customHeight="1">
      <c r="J781" s="4"/>
    </row>
    <row r="782" ht="12.0" customHeight="1">
      <c r="J782" s="4"/>
    </row>
    <row r="783" ht="12.0" customHeight="1">
      <c r="J783" s="4"/>
    </row>
    <row r="784" ht="12.0" customHeight="1">
      <c r="J784" s="4"/>
    </row>
    <row r="785" ht="12.0" customHeight="1">
      <c r="J785" s="4"/>
    </row>
    <row r="786" ht="12.0" customHeight="1">
      <c r="J786" s="4"/>
    </row>
    <row r="787" ht="12.0" customHeight="1">
      <c r="J787" s="4"/>
    </row>
    <row r="788" ht="12.0" customHeight="1">
      <c r="J788" s="4"/>
    </row>
    <row r="789" ht="12.0" customHeight="1">
      <c r="J789" s="4"/>
    </row>
    <row r="790" ht="12.0" customHeight="1">
      <c r="J790" s="4"/>
    </row>
    <row r="791" ht="12.0" customHeight="1">
      <c r="J791" s="4"/>
    </row>
    <row r="792" ht="12.0" customHeight="1">
      <c r="J792" s="4"/>
    </row>
    <row r="793" ht="12.0" customHeight="1">
      <c r="J793" s="4"/>
    </row>
    <row r="794" ht="12.0" customHeight="1">
      <c r="J794" s="4"/>
    </row>
    <row r="795" ht="12.0" customHeight="1">
      <c r="J795" s="4"/>
    </row>
    <row r="796" ht="12.0" customHeight="1">
      <c r="J796" s="4"/>
    </row>
    <row r="797" ht="12.0" customHeight="1">
      <c r="J797" s="4"/>
    </row>
    <row r="798" ht="12.0" customHeight="1">
      <c r="J798" s="4"/>
    </row>
    <row r="799" ht="12.0" customHeight="1">
      <c r="J799" s="4"/>
    </row>
    <row r="800" ht="12.0" customHeight="1">
      <c r="J800" s="4"/>
    </row>
    <row r="801" ht="12.0" customHeight="1">
      <c r="J801" s="4"/>
    </row>
    <row r="802" ht="12.0" customHeight="1">
      <c r="J802" s="4"/>
    </row>
    <row r="803" ht="12.0" customHeight="1">
      <c r="J803" s="4"/>
    </row>
    <row r="804" ht="12.0" customHeight="1">
      <c r="J804" s="4"/>
    </row>
    <row r="805" ht="12.0" customHeight="1">
      <c r="J805" s="4"/>
    </row>
    <row r="806" ht="12.0" customHeight="1">
      <c r="J806" s="4"/>
    </row>
    <row r="807" ht="12.0" customHeight="1">
      <c r="J807" s="4"/>
    </row>
    <row r="808" ht="12.0" customHeight="1">
      <c r="J808" s="4"/>
    </row>
    <row r="809" ht="12.0" customHeight="1">
      <c r="J809" s="4"/>
    </row>
    <row r="810" ht="12.0" customHeight="1">
      <c r="J810" s="4"/>
    </row>
    <row r="811" ht="12.0" customHeight="1">
      <c r="J811" s="4"/>
    </row>
    <row r="812" ht="12.0" customHeight="1">
      <c r="J812" s="4"/>
    </row>
    <row r="813" ht="12.0" customHeight="1">
      <c r="J813" s="4"/>
    </row>
    <row r="814" ht="12.0" customHeight="1">
      <c r="J814" s="4"/>
    </row>
    <row r="815" ht="12.0" customHeight="1">
      <c r="J815" s="4"/>
    </row>
    <row r="816" ht="12.0" customHeight="1">
      <c r="J816" s="4"/>
    </row>
    <row r="817" ht="12.0" customHeight="1">
      <c r="J817" s="4"/>
    </row>
    <row r="818" ht="12.0" customHeight="1">
      <c r="J818" s="4"/>
    </row>
    <row r="819" ht="12.0" customHeight="1">
      <c r="J819" s="4"/>
    </row>
    <row r="820" ht="12.0" customHeight="1">
      <c r="J820" s="4"/>
    </row>
    <row r="821" ht="12.0" customHeight="1">
      <c r="J821" s="4"/>
    </row>
    <row r="822" ht="12.0" customHeight="1">
      <c r="J822" s="4"/>
    </row>
    <row r="823" ht="12.0" customHeight="1">
      <c r="J823" s="4"/>
    </row>
    <row r="824" ht="12.0" customHeight="1">
      <c r="J824" s="4"/>
    </row>
    <row r="825" ht="12.0" customHeight="1">
      <c r="J825" s="4"/>
    </row>
    <row r="826" ht="12.0" customHeight="1">
      <c r="J826" s="4"/>
    </row>
    <row r="827" ht="12.0" customHeight="1">
      <c r="J827" s="4"/>
    </row>
    <row r="828" ht="12.0" customHeight="1">
      <c r="J828" s="4"/>
    </row>
    <row r="829" ht="12.0" customHeight="1">
      <c r="J829" s="4"/>
    </row>
    <row r="830" ht="12.0" customHeight="1">
      <c r="J830" s="4"/>
    </row>
    <row r="831" ht="12.0" customHeight="1">
      <c r="J831" s="4"/>
    </row>
    <row r="832" ht="12.0" customHeight="1">
      <c r="J832" s="4"/>
    </row>
    <row r="833" ht="12.0" customHeight="1">
      <c r="J833" s="4"/>
    </row>
    <row r="834" ht="12.0" customHeight="1">
      <c r="J834" s="4"/>
    </row>
    <row r="835" ht="12.0" customHeight="1">
      <c r="J835" s="4"/>
    </row>
    <row r="836" ht="12.0" customHeight="1">
      <c r="J836" s="4"/>
    </row>
    <row r="837" ht="12.0" customHeight="1">
      <c r="J837" s="4"/>
    </row>
    <row r="838" ht="12.0" customHeight="1">
      <c r="J838" s="4"/>
    </row>
    <row r="839" ht="12.0" customHeight="1">
      <c r="J839" s="4"/>
    </row>
    <row r="840" ht="12.0" customHeight="1">
      <c r="J840" s="4"/>
    </row>
    <row r="841" ht="12.0" customHeight="1">
      <c r="J841" s="4"/>
    </row>
    <row r="842" ht="12.0" customHeight="1">
      <c r="J842" s="4"/>
    </row>
    <row r="843" ht="12.0" customHeight="1">
      <c r="J843" s="4"/>
    </row>
    <row r="844" ht="12.0" customHeight="1">
      <c r="J844" s="4"/>
    </row>
    <row r="845" ht="12.0" customHeight="1">
      <c r="J845" s="4"/>
    </row>
    <row r="846" ht="12.0" customHeight="1">
      <c r="J846" s="4"/>
    </row>
    <row r="847" ht="12.0" customHeight="1">
      <c r="J847" s="4"/>
    </row>
    <row r="848" ht="12.0" customHeight="1">
      <c r="J848" s="4"/>
    </row>
    <row r="849" ht="12.0" customHeight="1">
      <c r="J849" s="4"/>
    </row>
    <row r="850" ht="12.0" customHeight="1">
      <c r="J850" s="4"/>
    </row>
    <row r="851" ht="12.0" customHeight="1">
      <c r="J851" s="4"/>
    </row>
    <row r="852" ht="12.0" customHeight="1">
      <c r="J852" s="4"/>
    </row>
    <row r="853" ht="12.0" customHeight="1">
      <c r="J853" s="4"/>
    </row>
    <row r="854" ht="12.0" customHeight="1">
      <c r="J854" s="4"/>
    </row>
    <row r="855" ht="12.0" customHeight="1">
      <c r="J855" s="4"/>
    </row>
    <row r="856" ht="12.0" customHeight="1">
      <c r="J856" s="4"/>
    </row>
    <row r="857" ht="12.0" customHeight="1">
      <c r="J857" s="4"/>
    </row>
    <row r="858" ht="12.0" customHeight="1">
      <c r="J858" s="4"/>
    </row>
    <row r="859" ht="12.0" customHeight="1">
      <c r="J859" s="4"/>
    </row>
    <row r="860" ht="12.0" customHeight="1">
      <c r="J860" s="4"/>
    </row>
    <row r="861" ht="12.0" customHeight="1">
      <c r="J861" s="4"/>
    </row>
    <row r="862" ht="12.0" customHeight="1">
      <c r="J862" s="4"/>
    </row>
    <row r="863" ht="12.0" customHeight="1">
      <c r="J863" s="4"/>
    </row>
    <row r="864" ht="12.0" customHeight="1">
      <c r="J864" s="4"/>
    </row>
    <row r="865" ht="12.0" customHeight="1">
      <c r="J865" s="4"/>
    </row>
    <row r="866" ht="12.0" customHeight="1">
      <c r="J866" s="4"/>
    </row>
    <row r="867" ht="12.0" customHeight="1">
      <c r="J867" s="4"/>
    </row>
    <row r="868" ht="12.0" customHeight="1">
      <c r="J868" s="4"/>
    </row>
    <row r="869" ht="12.0" customHeight="1">
      <c r="J869" s="4"/>
    </row>
    <row r="870" ht="12.0" customHeight="1">
      <c r="J870" s="4"/>
    </row>
    <row r="871" ht="12.0" customHeight="1">
      <c r="J871" s="4"/>
    </row>
    <row r="872" ht="12.0" customHeight="1">
      <c r="J872" s="4"/>
    </row>
    <row r="873" ht="12.0" customHeight="1">
      <c r="J873" s="4"/>
    </row>
    <row r="874" ht="12.0" customHeight="1">
      <c r="J874" s="4"/>
    </row>
    <row r="875" ht="12.0" customHeight="1">
      <c r="J875" s="4"/>
    </row>
    <row r="876" ht="12.0" customHeight="1">
      <c r="J876" s="4"/>
    </row>
    <row r="877" ht="12.0" customHeight="1">
      <c r="J877" s="4"/>
    </row>
    <row r="878" ht="12.0" customHeight="1">
      <c r="J878" s="4"/>
    </row>
    <row r="879" ht="12.0" customHeight="1">
      <c r="J879" s="4"/>
    </row>
    <row r="880" ht="12.0" customHeight="1">
      <c r="J880" s="4"/>
    </row>
    <row r="881" ht="12.0" customHeight="1">
      <c r="J881" s="4"/>
    </row>
    <row r="882" ht="12.0" customHeight="1">
      <c r="J882" s="4"/>
    </row>
    <row r="883" ht="12.0" customHeight="1">
      <c r="J883" s="4"/>
    </row>
    <row r="884" ht="12.0" customHeight="1">
      <c r="J884" s="4"/>
    </row>
    <row r="885" ht="12.0" customHeight="1">
      <c r="J885" s="4"/>
    </row>
    <row r="886" ht="12.0" customHeight="1">
      <c r="J886" s="4"/>
    </row>
    <row r="887" ht="12.0" customHeight="1">
      <c r="J887" s="4"/>
    </row>
    <row r="888" ht="12.0" customHeight="1">
      <c r="J888" s="4"/>
    </row>
    <row r="889" ht="12.0" customHeight="1">
      <c r="J889" s="4"/>
    </row>
    <row r="890" ht="12.0" customHeight="1">
      <c r="J890" s="4"/>
    </row>
    <row r="891" ht="12.0" customHeight="1">
      <c r="J891" s="4"/>
    </row>
    <row r="892" ht="12.0" customHeight="1">
      <c r="J892" s="4"/>
    </row>
    <row r="893" ht="12.0" customHeight="1">
      <c r="J893" s="4"/>
    </row>
    <row r="894" ht="12.0" customHeight="1">
      <c r="J894" s="4"/>
    </row>
    <row r="895" ht="12.0" customHeight="1">
      <c r="J895" s="4"/>
    </row>
    <row r="896" ht="12.0" customHeight="1">
      <c r="J896" s="4"/>
    </row>
    <row r="897" ht="12.0" customHeight="1">
      <c r="J897" s="4"/>
    </row>
    <row r="898" ht="12.0" customHeight="1">
      <c r="J898" s="4"/>
    </row>
    <row r="899" ht="12.0" customHeight="1">
      <c r="J899" s="4"/>
    </row>
    <row r="900" ht="12.0" customHeight="1">
      <c r="J900" s="4"/>
    </row>
    <row r="901" ht="12.0" customHeight="1">
      <c r="J901" s="4"/>
    </row>
    <row r="902" ht="12.0" customHeight="1">
      <c r="J902" s="4"/>
    </row>
    <row r="903" ht="12.0" customHeight="1">
      <c r="J903" s="4"/>
    </row>
    <row r="904" ht="12.0" customHeight="1">
      <c r="J904" s="4"/>
    </row>
    <row r="905" ht="12.0" customHeight="1">
      <c r="J905" s="4"/>
    </row>
    <row r="906" ht="12.0" customHeight="1">
      <c r="J906" s="4"/>
    </row>
    <row r="907" ht="12.0" customHeight="1">
      <c r="J907" s="4"/>
    </row>
    <row r="908" ht="12.0" customHeight="1">
      <c r="J908" s="4"/>
    </row>
    <row r="909" ht="12.0" customHeight="1">
      <c r="J909" s="4"/>
    </row>
    <row r="910" ht="12.0" customHeight="1">
      <c r="J910" s="4"/>
    </row>
    <row r="911" ht="12.0" customHeight="1">
      <c r="J911" s="4"/>
    </row>
    <row r="912" ht="12.0" customHeight="1">
      <c r="J912" s="4"/>
    </row>
    <row r="913" ht="12.0" customHeight="1">
      <c r="J913" s="4"/>
    </row>
    <row r="914" ht="12.0" customHeight="1">
      <c r="J914" s="4"/>
    </row>
    <row r="915" ht="12.0" customHeight="1">
      <c r="J915" s="4"/>
    </row>
    <row r="916" ht="12.0" customHeight="1">
      <c r="J916" s="4"/>
    </row>
    <row r="917" ht="12.0" customHeight="1">
      <c r="J917" s="4"/>
    </row>
    <row r="918" ht="12.0" customHeight="1">
      <c r="J918" s="4"/>
    </row>
    <row r="919" ht="12.0" customHeight="1">
      <c r="J919" s="4"/>
    </row>
    <row r="920" ht="12.0" customHeight="1">
      <c r="J920" s="4"/>
    </row>
    <row r="921" ht="12.0" customHeight="1">
      <c r="J921" s="4"/>
    </row>
    <row r="922" ht="12.0" customHeight="1">
      <c r="J922" s="4"/>
    </row>
    <row r="923" ht="12.0" customHeight="1">
      <c r="J923" s="4"/>
    </row>
    <row r="924" ht="12.0" customHeight="1">
      <c r="J924" s="4"/>
    </row>
    <row r="925" ht="12.0" customHeight="1">
      <c r="J925" s="4"/>
    </row>
    <row r="926" ht="12.0" customHeight="1">
      <c r="J926" s="4"/>
    </row>
    <row r="927" ht="12.0" customHeight="1">
      <c r="J927" s="4"/>
    </row>
    <row r="928" ht="12.0" customHeight="1">
      <c r="J928" s="4"/>
    </row>
    <row r="929" ht="12.0" customHeight="1">
      <c r="J929" s="4"/>
    </row>
    <row r="930" ht="12.0" customHeight="1">
      <c r="J930" s="4"/>
    </row>
    <row r="931" ht="12.0" customHeight="1">
      <c r="J931" s="4"/>
    </row>
    <row r="932" ht="12.0" customHeight="1">
      <c r="J932" s="4"/>
    </row>
    <row r="933" ht="12.0" customHeight="1">
      <c r="J933" s="4"/>
    </row>
    <row r="934" ht="12.0" customHeight="1">
      <c r="J934" s="4"/>
    </row>
    <row r="935" ht="12.0" customHeight="1">
      <c r="J935" s="4"/>
    </row>
    <row r="936" ht="12.0" customHeight="1">
      <c r="J936" s="4"/>
    </row>
    <row r="937" ht="12.0" customHeight="1">
      <c r="J937" s="4"/>
    </row>
    <row r="938" ht="12.0" customHeight="1">
      <c r="J938" s="4"/>
    </row>
    <row r="939" ht="12.0" customHeight="1">
      <c r="J939" s="4"/>
    </row>
    <row r="940" ht="12.0" customHeight="1">
      <c r="J940" s="4"/>
    </row>
    <row r="941" ht="12.0" customHeight="1">
      <c r="J941" s="4"/>
    </row>
    <row r="942" ht="12.0" customHeight="1">
      <c r="J942" s="4"/>
    </row>
    <row r="943" ht="12.0" customHeight="1">
      <c r="J943" s="4"/>
    </row>
    <row r="944" ht="12.0" customHeight="1">
      <c r="J944" s="4"/>
    </row>
    <row r="945" ht="12.0" customHeight="1">
      <c r="J945" s="4"/>
    </row>
    <row r="946" ht="12.0" customHeight="1">
      <c r="J946" s="4"/>
    </row>
    <row r="947" ht="12.0" customHeight="1">
      <c r="J947" s="4"/>
    </row>
    <row r="948" ht="12.0" customHeight="1">
      <c r="J948" s="4"/>
    </row>
    <row r="949" ht="12.0" customHeight="1">
      <c r="J949" s="4"/>
    </row>
    <row r="950" ht="12.0" customHeight="1">
      <c r="J950" s="4"/>
    </row>
    <row r="951" ht="12.0" customHeight="1">
      <c r="J951" s="4"/>
    </row>
    <row r="952" ht="12.0" customHeight="1">
      <c r="J952" s="4"/>
    </row>
    <row r="953" ht="12.0" customHeight="1">
      <c r="J953" s="4"/>
    </row>
    <row r="954" ht="12.0" customHeight="1">
      <c r="J954" s="4"/>
    </row>
    <row r="955" ht="12.0" customHeight="1">
      <c r="J955" s="4"/>
    </row>
    <row r="956" ht="12.0" customHeight="1">
      <c r="J956" s="4"/>
    </row>
    <row r="957" ht="12.0" customHeight="1">
      <c r="J957" s="4"/>
    </row>
    <row r="958" ht="12.0" customHeight="1">
      <c r="J958" s="4"/>
    </row>
    <row r="959" ht="12.0" customHeight="1">
      <c r="J959" s="4"/>
    </row>
    <row r="960" ht="12.0" customHeight="1">
      <c r="J960" s="4"/>
    </row>
    <row r="961" ht="12.0" customHeight="1">
      <c r="J961" s="4"/>
    </row>
    <row r="962" ht="12.0" customHeight="1">
      <c r="J962" s="4"/>
    </row>
    <row r="963" ht="12.0" customHeight="1">
      <c r="J963" s="4"/>
    </row>
    <row r="964" ht="12.0" customHeight="1">
      <c r="J964" s="4"/>
    </row>
    <row r="965" ht="12.0" customHeight="1">
      <c r="J965" s="4"/>
    </row>
    <row r="966" ht="12.0" customHeight="1">
      <c r="J966" s="4"/>
    </row>
    <row r="967" ht="12.0" customHeight="1">
      <c r="J967" s="4"/>
    </row>
    <row r="968" ht="12.0" customHeight="1">
      <c r="J968" s="4"/>
    </row>
    <row r="969" ht="12.0" customHeight="1">
      <c r="J969" s="4"/>
    </row>
    <row r="970" ht="12.0" customHeight="1">
      <c r="J970" s="4"/>
    </row>
    <row r="971" ht="12.0" customHeight="1">
      <c r="J971" s="4"/>
    </row>
    <row r="972" ht="12.0" customHeight="1">
      <c r="J972" s="4"/>
    </row>
    <row r="973" ht="12.0" customHeight="1">
      <c r="J973" s="4"/>
    </row>
    <row r="974" ht="12.0" customHeight="1">
      <c r="J974" s="4"/>
    </row>
    <row r="975" ht="12.0" customHeight="1">
      <c r="J975" s="4"/>
    </row>
    <row r="976" ht="12.0" customHeight="1">
      <c r="J976" s="4"/>
    </row>
    <row r="977" ht="12.0" customHeight="1">
      <c r="J977" s="4"/>
    </row>
    <row r="978" ht="12.0" customHeight="1">
      <c r="J978" s="4"/>
    </row>
    <row r="979" ht="12.0" customHeight="1">
      <c r="J979" s="4"/>
    </row>
    <row r="980" ht="12.0" customHeight="1">
      <c r="J980" s="4"/>
    </row>
    <row r="981" ht="12.0" customHeight="1">
      <c r="J981" s="4"/>
    </row>
    <row r="982" ht="12.0" customHeight="1">
      <c r="J982" s="4"/>
    </row>
    <row r="983" ht="12.0" customHeight="1">
      <c r="J983" s="4"/>
    </row>
    <row r="984" ht="12.0" customHeight="1">
      <c r="J984" s="4"/>
    </row>
    <row r="985" ht="12.0" customHeight="1">
      <c r="J985" s="4"/>
    </row>
    <row r="986" ht="12.0" customHeight="1">
      <c r="J986" s="4"/>
    </row>
    <row r="987" ht="12.0" customHeight="1">
      <c r="J987" s="4"/>
    </row>
    <row r="988" ht="12.0" customHeight="1">
      <c r="J988" s="4"/>
    </row>
    <row r="989" ht="12.0" customHeight="1">
      <c r="J989" s="4"/>
    </row>
    <row r="990" ht="12.0" customHeight="1">
      <c r="J990" s="4"/>
    </row>
    <row r="991" ht="12.0" customHeight="1">
      <c r="J991" s="4"/>
    </row>
    <row r="992" ht="12.0" customHeight="1">
      <c r="J992" s="4"/>
    </row>
    <row r="993" ht="12.0" customHeight="1">
      <c r="J993" s="4"/>
    </row>
    <row r="994" ht="12.0" customHeight="1">
      <c r="J994" s="4"/>
    </row>
    <row r="995" ht="12.0" customHeight="1">
      <c r="J995" s="4"/>
    </row>
    <row r="996" ht="12.0" customHeight="1">
      <c r="J996" s="4"/>
    </row>
    <row r="997" ht="12.0" customHeight="1">
      <c r="J997" s="4"/>
    </row>
    <row r="998" ht="12.0" customHeight="1">
      <c r="J998" s="4"/>
    </row>
    <row r="999" ht="12.0" customHeight="1">
      <c r="J999" s="4"/>
    </row>
    <row r="1000" ht="12.0" customHeight="1">
      <c r="J1000" s="4"/>
    </row>
  </sheetData>
  <printOptions horizontalCentered="1" verticalCentered="1"/>
  <pageMargins bottom="0.7480314960629921" footer="0.0" header="0.0" left="0.2362204724409449" right="0.2362204724409449" top="0.7480314960629921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showGridLines="0" workbookViewId="0"/>
  </sheetViews>
  <sheetFormatPr customHeight="1" defaultColWidth="14.43" defaultRowHeight="15.0"/>
  <cols>
    <col customWidth="1" min="1" max="1" width="12.43"/>
    <col customWidth="1" min="2" max="2" width="11.14"/>
    <col customWidth="1" min="3" max="3" width="6.14"/>
    <col customWidth="1" min="4" max="4" width="4.86"/>
    <col customWidth="1" min="5" max="5" width="3.86"/>
    <col customWidth="1" min="6" max="6" width="6.86"/>
    <col customWidth="1" min="7" max="7" width="9.57"/>
    <col customWidth="1" min="8" max="8" width="9.0"/>
    <col customWidth="1" min="9" max="9" width="15.14"/>
    <col customWidth="1" min="10" max="10" width="11.14"/>
    <col customWidth="1" min="11" max="11" width="12.0"/>
    <col customWidth="1" min="12" max="12" width="9.14"/>
    <col customWidth="1" min="13" max="13" width="10.14"/>
    <col customWidth="1" min="14" max="14" width="9.0"/>
    <col customWidth="1" min="15" max="16" width="11.14"/>
    <col customWidth="1" min="17" max="19" width="7.86"/>
    <col customWidth="1" min="20" max="26" width="9.0"/>
  </cols>
  <sheetData>
    <row r="1" ht="12.0" customHeight="1">
      <c r="A1" s="319" t="s">
        <v>1155</v>
      </c>
      <c r="B1" s="320" t="s">
        <v>3</v>
      </c>
      <c r="C1" s="320" t="s">
        <v>1156</v>
      </c>
      <c r="D1" s="321" t="s">
        <v>1157</v>
      </c>
      <c r="E1" s="321" t="s">
        <v>1158</v>
      </c>
      <c r="F1" s="322" t="s">
        <v>1159</v>
      </c>
      <c r="G1" s="323" t="s">
        <v>1160</v>
      </c>
    </row>
    <row r="2" ht="12.0" customHeight="1">
      <c r="A2" s="324">
        <v>43353.0</v>
      </c>
      <c r="B2" s="325" t="s">
        <v>1161</v>
      </c>
      <c r="C2" s="325" t="str">
        <f t="shared" ref="C2:C80" si="1">LEFT(D2,1)&amp;"단지"</f>
        <v>4단지</v>
      </c>
      <c r="D2" s="326">
        <v>402.0</v>
      </c>
      <c r="E2" s="326">
        <v>14.0</v>
      </c>
      <c r="F2" s="327" t="str">
        <f t="shared" ref="F2:F80" si="2">IF(E2=1,"1층",IF(AND(E2&gt;3,E2&lt;10),"중",IF(E2&gt;15,E2,IF(E2&gt;=10,"고","저"))))</f>
        <v>고</v>
      </c>
      <c r="G2" s="328">
        <v>60000.0</v>
      </c>
    </row>
    <row r="3" ht="12.0" customHeight="1">
      <c r="A3" s="324">
        <v>43353.0</v>
      </c>
      <c r="B3" s="325" t="s">
        <v>1161</v>
      </c>
      <c r="C3" s="325" t="str">
        <f t="shared" si="1"/>
        <v>4단지</v>
      </c>
      <c r="D3" s="326">
        <v>404.0</v>
      </c>
      <c r="E3" s="326" t="s">
        <v>1165</v>
      </c>
      <c r="F3" s="327" t="str">
        <f t="shared" si="2"/>
        <v>고</v>
      </c>
      <c r="G3" s="328">
        <v>45000.0</v>
      </c>
    </row>
    <row r="4" ht="12.0" customHeight="1">
      <c r="A4" s="324">
        <v>43353.0</v>
      </c>
      <c r="B4" s="325" t="s">
        <v>1161</v>
      </c>
      <c r="C4" s="325" t="str">
        <f t="shared" si="1"/>
        <v>2단지</v>
      </c>
      <c r="D4" s="326">
        <v>203.0</v>
      </c>
      <c r="E4" s="326">
        <v>9.0</v>
      </c>
      <c r="F4" s="327" t="str">
        <f t="shared" si="2"/>
        <v>중</v>
      </c>
      <c r="G4" s="328">
        <v>58000.0</v>
      </c>
    </row>
    <row r="5" ht="12.0" customHeight="1">
      <c r="A5" s="324">
        <v>43354.0</v>
      </c>
      <c r="B5" s="325" t="s">
        <v>1161</v>
      </c>
      <c r="C5" s="325" t="str">
        <f t="shared" si="1"/>
        <v>2단지</v>
      </c>
      <c r="D5" s="326">
        <v>203.0</v>
      </c>
      <c r="E5" s="326">
        <v>11.0</v>
      </c>
      <c r="F5" s="327" t="str">
        <f t="shared" si="2"/>
        <v>고</v>
      </c>
      <c r="G5" s="328">
        <v>42000.0</v>
      </c>
    </row>
    <row r="6" ht="12.0" customHeight="1">
      <c r="A6" s="324">
        <v>43355.0</v>
      </c>
      <c r="B6" s="325" t="s">
        <v>1161</v>
      </c>
      <c r="C6" s="325" t="str">
        <f t="shared" si="1"/>
        <v>4단지</v>
      </c>
      <c r="D6" s="326">
        <v>402.0</v>
      </c>
      <c r="E6" s="326">
        <v>11.0</v>
      </c>
      <c r="F6" s="327" t="str">
        <f t="shared" si="2"/>
        <v>고</v>
      </c>
      <c r="G6" s="328">
        <v>54000.0</v>
      </c>
    </row>
    <row r="7" ht="12.0" customHeight="1">
      <c r="A7" s="324">
        <v>43355.0</v>
      </c>
      <c r="B7" s="325" t="s">
        <v>1161</v>
      </c>
      <c r="C7" s="325" t="str">
        <f t="shared" si="1"/>
        <v>4단지</v>
      </c>
      <c r="D7" s="326">
        <v>407.0</v>
      </c>
      <c r="E7" s="326">
        <v>9.0</v>
      </c>
      <c r="F7" s="327" t="str">
        <f t="shared" si="2"/>
        <v>중</v>
      </c>
      <c r="G7" s="328">
        <v>55000.0</v>
      </c>
    </row>
    <row r="8" ht="12.0" customHeight="1">
      <c r="A8" s="324">
        <v>43355.0</v>
      </c>
      <c r="B8" s="325" t="s">
        <v>1161</v>
      </c>
      <c r="C8" s="325" t="str">
        <f t="shared" si="1"/>
        <v>2단지</v>
      </c>
      <c r="D8" s="326">
        <v>202.0</v>
      </c>
      <c r="E8" s="326">
        <v>12.0</v>
      </c>
      <c r="F8" s="327" t="str">
        <f t="shared" si="2"/>
        <v>고</v>
      </c>
      <c r="G8" s="328">
        <v>43500.0</v>
      </c>
    </row>
    <row r="9" ht="12.0" customHeight="1">
      <c r="A9" s="324">
        <v>43357.0</v>
      </c>
      <c r="B9" s="325" t="s">
        <v>1161</v>
      </c>
      <c r="C9" s="325" t="str">
        <f t="shared" si="1"/>
        <v>4단지</v>
      </c>
      <c r="D9" s="326">
        <v>404.0</v>
      </c>
      <c r="E9" s="326">
        <v>4.0</v>
      </c>
      <c r="F9" s="327" t="str">
        <f t="shared" si="2"/>
        <v>중</v>
      </c>
      <c r="G9" s="328">
        <v>50000.0</v>
      </c>
    </row>
    <row r="10" ht="12.0" customHeight="1">
      <c r="A10" s="324">
        <v>43357.0</v>
      </c>
      <c r="B10" s="325" t="s">
        <v>1161</v>
      </c>
      <c r="C10" s="325" t="str">
        <f t="shared" si="1"/>
        <v>2단지</v>
      </c>
      <c r="D10" s="326">
        <v>202.0</v>
      </c>
      <c r="E10" s="326">
        <v>9.0</v>
      </c>
      <c r="F10" s="327" t="str">
        <f t="shared" si="2"/>
        <v>중</v>
      </c>
      <c r="G10" s="328">
        <v>59500.0</v>
      </c>
    </row>
    <row r="11" ht="12.0" customHeight="1">
      <c r="A11" s="324">
        <v>43366.0</v>
      </c>
      <c r="B11" s="325" t="s">
        <v>1161</v>
      </c>
      <c r="C11" s="325" t="str">
        <f t="shared" si="1"/>
        <v>3단지</v>
      </c>
      <c r="D11" s="326">
        <v>302.0</v>
      </c>
      <c r="E11" s="326">
        <v>3.0</v>
      </c>
      <c r="F11" s="327" t="str">
        <f t="shared" si="2"/>
        <v>저</v>
      </c>
      <c r="G11" s="328">
        <v>53500.0</v>
      </c>
    </row>
    <row r="12" ht="12.0" customHeight="1">
      <c r="A12" s="324">
        <v>43367.0</v>
      </c>
      <c r="B12" s="325" t="s">
        <v>1161</v>
      </c>
      <c r="C12" s="325" t="str">
        <f t="shared" si="1"/>
        <v>4단지</v>
      </c>
      <c r="D12" s="326">
        <v>407.0</v>
      </c>
      <c r="E12" s="326">
        <v>4.0</v>
      </c>
      <c r="F12" s="327" t="str">
        <f t="shared" si="2"/>
        <v>중</v>
      </c>
      <c r="G12" s="328">
        <v>53000.0</v>
      </c>
    </row>
    <row r="13" ht="12.0" customHeight="1">
      <c r="A13" s="324">
        <v>43370.0</v>
      </c>
      <c r="B13" s="325" t="s">
        <v>1161</v>
      </c>
      <c r="C13" s="325" t="str">
        <f t="shared" si="1"/>
        <v>4단지</v>
      </c>
      <c r="D13" s="326">
        <v>407.0</v>
      </c>
      <c r="E13" s="326">
        <v>9.0</v>
      </c>
      <c r="F13" s="327" t="str">
        <f t="shared" si="2"/>
        <v>중</v>
      </c>
      <c r="G13" s="328">
        <v>50000.0</v>
      </c>
    </row>
    <row r="14" ht="12.0" customHeight="1">
      <c r="A14" s="324">
        <v>43370.0</v>
      </c>
      <c r="B14" s="325" t="s">
        <v>1161</v>
      </c>
      <c r="C14" s="325" t="str">
        <f t="shared" si="1"/>
        <v>1단지</v>
      </c>
      <c r="D14" s="326">
        <v>109.0</v>
      </c>
      <c r="E14" s="326">
        <v>10.0</v>
      </c>
      <c r="F14" s="327" t="str">
        <f t="shared" si="2"/>
        <v>고</v>
      </c>
      <c r="G14" s="328">
        <v>43000.0</v>
      </c>
    </row>
    <row r="15" ht="12.0" customHeight="1">
      <c r="A15" s="324">
        <v>43371.0</v>
      </c>
      <c r="B15" s="325" t="s">
        <v>1161</v>
      </c>
      <c r="C15" s="325" t="str">
        <f t="shared" si="1"/>
        <v>3단지</v>
      </c>
      <c r="D15" s="326">
        <v>303.0</v>
      </c>
      <c r="E15" s="326">
        <v>15.0</v>
      </c>
      <c r="F15" s="327" t="str">
        <f t="shared" si="2"/>
        <v>고</v>
      </c>
      <c r="G15" s="328">
        <v>52000.0</v>
      </c>
    </row>
    <row r="16" ht="12.0" customHeight="1">
      <c r="A16" s="324">
        <v>43374.0</v>
      </c>
      <c r="B16" s="325" t="s">
        <v>1161</v>
      </c>
      <c r="C16" s="325" t="str">
        <f t="shared" si="1"/>
        <v>1단지</v>
      </c>
      <c r="D16" s="326">
        <v>111.0</v>
      </c>
      <c r="E16" s="326">
        <v>13.0</v>
      </c>
      <c r="F16" s="327" t="str">
        <f t="shared" si="2"/>
        <v>고</v>
      </c>
      <c r="G16" s="328">
        <v>43000.0</v>
      </c>
    </row>
    <row r="17" ht="12.0" customHeight="1">
      <c r="A17" s="324">
        <v>43374.0</v>
      </c>
      <c r="B17" s="325" t="s">
        <v>1161</v>
      </c>
      <c r="C17" s="325" t="str">
        <f t="shared" si="1"/>
        <v>1단지</v>
      </c>
      <c r="D17" s="326">
        <v>111.0</v>
      </c>
      <c r="E17" s="326">
        <v>5.0</v>
      </c>
      <c r="F17" s="327" t="str">
        <f t="shared" si="2"/>
        <v>중</v>
      </c>
      <c r="G17" s="328">
        <v>43000.0</v>
      </c>
    </row>
    <row r="18" ht="12.0" customHeight="1">
      <c r="A18" s="324">
        <v>43374.0</v>
      </c>
      <c r="B18" s="325" t="s">
        <v>1161</v>
      </c>
      <c r="C18" s="325" t="str">
        <f t="shared" si="1"/>
        <v>1단지</v>
      </c>
      <c r="D18" s="326">
        <v>109.0</v>
      </c>
      <c r="E18" s="326">
        <v>9.0</v>
      </c>
      <c r="F18" s="327" t="str">
        <f t="shared" si="2"/>
        <v>중</v>
      </c>
      <c r="G18" s="328">
        <v>43000.0</v>
      </c>
    </row>
    <row r="19" ht="12.0" customHeight="1">
      <c r="A19" s="324">
        <v>43374.0</v>
      </c>
      <c r="B19" s="325" t="s">
        <v>1161</v>
      </c>
      <c r="C19" s="325" t="str">
        <f t="shared" si="1"/>
        <v>4단지</v>
      </c>
      <c r="D19" s="326">
        <v>406.0</v>
      </c>
      <c r="E19" s="326">
        <v>6.0</v>
      </c>
      <c r="F19" s="327" t="str">
        <f t="shared" si="2"/>
        <v>중</v>
      </c>
      <c r="G19" s="328">
        <v>49000.0</v>
      </c>
    </row>
    <row r="20" ht="12.0" customHeight="1">
      <c r="A20" s="324">
        <v>43377.0</v>
      </c>
      <c r="B20" s="325" t="s">
        <v>1161</v>
      </c>
      <c r="C20" s="325" t="str">
        <f t="shared" si="1"/>
        <v>4단지</v>
      </c>
      <c r="D20" s="326">
        <v>406.0</v>
      </c>
      <c r="E20" s="326">
        <v>6.0</v>
      </c>
      <c r="F20" s="327" t="str">
        <f t="shared" si="2"/>
        <v>중</v>
      </c>
      <c r="G20" s="328">
        <v>47000.0</v>
      </c>
    </row>
    <row r="21" ht="12.0" customHeight="1">
      <c r="A21" s="324">
        <v>43377.0</v>
      </c>
      <c r="B21" s="325" t="s">
        <v>1161</v>
      </c>
      <c r="C21" s="325" t="str">
        <f t="shared" si="1"/>
        <v>2단지</v>
      </c>
      <c r="D21" s="326">
        <v>203.0</v>
      </c>
      <c r="E21" s="326">
        <v>11.0</v>
      </c>
      <c r="F21" s="327" t="str">
        <f t="shared" si="2"/>
        <v>고</v>
      </c>
      <c r="G21" s="328">
        <v>42000.0</v>
      </c>
    </row>
    <row r="22" ht="12.0" customHeight="1">
      <c r="A22" s="324">
        <v>43383.0</v>
      </c>
      <c r="B22" s="325" t="s">
        <v>1161</v>
      </c>
      <c r="C22" s="325" t="str">
        <f t="shared" si="1"/>
        <v>1단지</v>
      </c>
      <c r="D22" s="326">
        <v>109.0</v>
      </c>
      <c r="E22" s="326">
        <v>10.0</v>
      </c>
      <c r="F22" s="327" t="str">
        <f t="shared" si="2"/>
        <v>고</v>
      </c>
      <c r="G22" s="328">
        <v>43000.0</v>
      </c>
    </row>
    <row r="23" ht="12.0" customHeight="1">
      <c r="A23" s="324">
        <v>43389.0</v>
      </c>
      <c r="B23" s="325" t="s">
        <v>1161</v>
      </c>
      <c r="C23" s="325" t="str">
        <f t="shared" si="1"/>
        <v>4단지</v>
      </c>
      <c r="D23" s="326">
        <v>402.0</v>
      </c>
      <c r="E23" s="326">
        <v>14.0</v>
      </c>
      <c r="F23" s="327" t="str">
        <f t="shared" si="2"/>
        <v>고</v>
      </c>
      <c r="G23" s="328">
        <v>60000.0</v>
      </c>
    </row>
    <row r="24" ht="12.0" customHeight="1">
      <c r="A24" s="324">
        <v>43389.0</v>
      </c>
      <c r="B24" s="325" t="s">
        <v>1161</v>
      </c>
      <c r="C24" s="325" t="str">
        <f t="shared" si="1"/>
        <v>4단지</v>
      </c>
      <c r="D24" s="326">
        <v>407.0</v>
      </c>
      <c r="E24" s="326">
        <v>9.0</v>
      </c>
      <c r="F24" s="327" t="str">
        <f t="shared" si="2"/>
        <v>중</v>
      </c>
      <c r="G24" s="328">
        <v>55000.0</v>
      </c>
    </row>
    <row r="25" ht="12.0" customHeight="1">
      <c r="A25" s="324">
        <v>43389.0</v>
      </c>
      <c r="B25" s="325" t="s">
        <v>1161</v>
      </c>
      <c r="C25" s="325" t="str">
        <f t="shared" si="1"/>
        <v>2단지</v>
      </c>
      <c r="D25" s="326">
        <v>202.0</v>
      </c>
      <c r="E25" s="326">
        <v>6.0</v>
      </c>
      <c r="F25" s="327" t="str">
        <f t="shared" si="2"/>
        <v>중</v>
      </c>
      <c r="G25" s="328">
        <v>44000.0</v>
      </c>
    </row>
    <row r="26" ht="12.0" customHeight="1">
      <c r="A26" s="324">
        <v>43389.0</v>
      </c>
      <c r="B26" s="325" t="s">
        <v>1161</v>
      </c>
      <c r="C26" s="325" t="str">
        <f t="shared" si="1"/>
        <v>2단지</v>
      </c>
      <c r="D26" s="326">
        <v>203.0</v>
      </c>
      <c r="E26" s="326">
        <v>11.0</v>
      </c>
      <c r="F26" s="327" t="str">
        <f t="shared" si="2"/>
        <v>고</v>
      </c>
      <c r="G26" s="328">
        <v>42000.0</v>
      </c>
    </row>
    <row r="27" ht="12.0" customHeight="1">
      <c r="A27" s="324">
        <v>43389.0</v>
      </c>
      <c r="B27" s="325" t="s">
        <v>1161</v>
      </c>
      <c r="C27" s="325" t="str">
        <f t="shared" si="1"/>
        <v>2단지</v>
      </c>
      <c r="D27" s="326">
        <v>204.0</v>
      </c>
      <c r="E27" s="326">
        <v>9.0</v>
      </c>
      <c r="F27" s="327" t="str">
        <f t="shared" si="2"/>
        <v>중</v>
      </c>
      <c r="G27" s="328">
        <v>58000.0</v>
      </c>
    </row>
    <row r="28" ht="12.0" customHeight="1">
      <c r="A28" s="324">
        <v>43392.0</v>
      </c>
      <c r="B28" s="325" t="s">
        <v>1161</v>
      </c>
      <c r="C28" s="325" t="str">
        <f t="shared" si="1"/>
        <v>4단지</v>
      </c>
      <c r="D28" s="326">
        <v>402.0</v>
      </c>
      <c r="E28" s="326">
        <v>11.0</v>
      </c>
      <c r="F28" s="327" t="str">
        <f t="shared" si="2"/>
        <v>고</v>
      </c>
      <c r="G28" s="328">
        <v>55000.0</v>
      </c>
    </row>
    <row r="29" ht="12.0" customHeight="1">
      <c r="A29" s="324">
        <v>43392.0</v>
      </c>
      <c r="B29" s="325" t="s">
        <v>1161</v>
      </c>
      <c r="C29" s="325" t="str">
        <f t="shared" si="1"/>
        <v>4단지</v>
      </c>
      <c r="D29" s="326">
        <v>402.0</v>
      </c>
      <c r="E29" s="326">
        <v>14.0</v>
      </c>
      <c r="F29" s="327" t="str">
        <f t="shared" si="2"/>
        <v>고</v>
      </c>
      <c r="G29" s="328">
        <v>60000.0</v>
      </c>
    </row>
    <row r="30" ht="12.0" customHeight="1">
      <c r="A30" s="324">
        <v>43392.0</v>
      </c>
      <c r="B30" s="325" t="s">
        <v>1161</v>
      </c>
      <c r="C30" s="325" t="str">
        <f t="shared" si="1"/>
        <v>3단지</v>
      </c>
      <c r="D30" s="326">
        <v>301.0</v>
      </c>
      <c r="E30" s="326">
        <v>6.0</v>
      </c>
      <c r="F30" s="327" t="str">
        <f t="shared" si="2"/>
        <v>중</v>
      </c>
      <c r="G30" s="328">
        <v>55000.0</v>
      </c>
    </row>
    <row r="31" ht="12.0" customHeight="1">
      <c r="A31" s="324">
        <v>43397.0</v>
      </c>
      <c r="B31" s="325" t="s">
        <v>1161</v>
      </c>
      <c r="C31" s="325" t="str">
        <f t="shared" si="1"/>
        <v>4단지</v>
      </c>
      <c r="D31" s="326">
        <v>402.0</v>
      </c>
      <c r="E31" s="326" t="s">
        <v>1165</v>
      </c>
      <c r="F31" s="327" t="str">
        <f t="shared" si="2"/>
        <v>고</v>
      </c>
      <c r="G31" s="328">
        <v>50000.0</v>
      </c>
    </row>
    <row r="32" ht="12.0" customHeight="1">
      <c r="A32" s="324">
        <v>43404.0</v>
      </c>
      <c r="B32" s="325" t="s">
        <v>1161</v>
      </c>
      <c r="C32" s="325" t="str">
        <f t="shared" si="1"/>
        <v>2단지</v>
      </c>
      <c r="D32" s="326">
        <v>202.0</v>
      </c>
      <c r="E32" s="326">
        <v>6.0</v>
      </c>
      <c r="F32" s="327" t="str">
        <f t="shared" si="2"/>
        <v>중</v>
      </c>
      <c r="G32" s="328">
        <v>44000.0</v>
      </c>
    </row>
    <row r="33" ht="12.0" customHeight="1">
      <c r="A33" s="324">
        <v>43405.0</v>
      </c>
      <c r="B33" s="325" t="s">
        <v>1161</v>
      </c>
      <c r="C33" s="325" t="str">
        <f t="shared" si="1"/>
        <v>4단지</v>
      </c>
      <c r="D33" s="326">
        <v>407.0</v>
      </c>
      <c r="E33" s="326">
        <v>14.0</v>
      </c>
      <c r="F33" s="327" t="str">
        <f t="shared" si="2"/>
        <v>고</v>
      </c>
      <c r="G33" s="328">
        <v>50000.0</v>
      </c>
    </row>
    <row r="34" ht="12.0" customHeight="1">
      <c r="A34" s="324">
        <v>43412.0</v>
      </c>
      <c r="B34" s="325" t="s">
        <v>1161</v>
      </c>
      <c r="C34" s="325" t="str">
        <f t="shared" si="1"/>
        <v>3단지</v>
      </c>
      <c r="D34" s="326">
        <v>307.0</v>
      </c>
      <c r="E34" s="326">
        <v>1.0</v>
      </c>
      <c r="F34" s="327" t="str">
        <f t="shared" si="2"/>
        <v>1층</v>
      </c>
      <c r="G34" s="328">
        <v>41000.0</v>
      </c>
    </row>
    <row r="35" ht="12.0" customHeight="1">
      <c r="A35" s="324">
        <v>43413.0</v>
      </c>
      <c r="B35" s="325" t="s">
        <v>1161</v>
      </c>
      <c r="C35" s="325" t="str">
        <f t="shared" si="1"/>
        <v>3단지</v>
      </c>
      <c r="D35" s="326">
        <v>307.0</v>
      </c>
      <c r="E35" s="326">
        <v>10.0</v>
      </c>
      <c r="F35" s="327" t="str">
        <f t="shared" si="2"/>
        <v>고</v>
      </c>
      <c r="G35" s="328">
        <v>46000.0</v>
      </c>
    </row>
    <row r="36" ht="12.0" customHeight="1">
      <c r="A36" s="324">
        <v>43413.0</v>
      </c>
      <c r="B36" s="325" t="s">
        <v>1161</v>
      </c>
      <c r="C36" s="325" t="str">
        <f t="shared" si="1"/>
        <v>1단지</v>
      </c>
      <c r="D36" s="326">
        <v>104.0</v>
      </c>
      <c r="E36" s="326">
        <v>3.0</v>
      </c>
      <c r="F36" s="327" t="str">
        <f t="shared" si="2"/>
        <v>저</v>
      </c>
      <c r="G36" s="328">
        <v>43000.0</v>
      </c>
    </row>
    <row r="37" ht="12.0" customHeight="1">
      <c r="A37" s="324">
        <v>43413.0</v>
      </c>
      <c r="B37" s="325" t="s">
        <v>1161</v>
      </c>
      <c r="C37" s="325" t="str">
        <f t="shared" si="1"/>
        <v>1단지</v>
      </c>
      <c r="D37" s="326">
        <v>104.0</v>
      </c>
      <c r="E37" s="326">
        <v>5.0</v>
      </c>
      <c r="F37" s="327" t="str">
        <f t="shared" si="2"/>
        <v>중</v>
      </c>
      <c r="G37" s="328">
        <v>43000.0</v>
      </c>
    </row>
    <row r="38" ht="12.0" customHeight="1">
      <c r="A38" s="324">
        <v>43423.0</v>
      </c>
      <c r="B38" s="325" t="s">
        <v>1161</v>
      </c>
      <c r="C38" s="325" t="str">
        <f t="shared" si="1"/>
        <v>1단지</v>
      </c>
      <c r="D38" s="326">
        <v>109.0</v>
      </c>
      <c r="E38" s="326">
        <v>10.0</v>
      </c>
      <c r="F38" s="327" t="str">
        <f t="shared" si="2"/>
        <v>고</v>
      </c>
      <c r="G38" s="328">
        <v>43000.0</v>
      </c>
    </row>
    <row r="39" ht="12.0" customHeight="1">
      <c r="A39" s="324">
        <v>43423.0</v>
      </c>
      <c r="B39" s="325" t="s">
        <v>1161</v>
      </c>
      <c r="C39" s="325" t="str">
        <f t="shared" si="1"/>
        <v>2단지</v>
      </c>
      <c r="D39" s="326">
        <v>203.0</v>
      </c>
      <c r="E39" s="326">
        <v>11.0</v>
      </c>
      <c r="F39" s="327" t="str">
        <f t="shared" si="2"/>
        <v>고</v>
      </c>
      <c r="G39" s="328">
        <v>42000.0</v>
      </c>
    </row>
    <row r="40" ht="12.0" customHeight="1">
      <c r="A40" s="330">
        <v>43466.0</v>
      </c>
      <c r="B40" s="330" t="s">
        <v>1166</v>
      </c>
      <c r="C40" s="330" t="str">
        <f t="shared" si="1"/>
        <v>4단지</v>
      </c>
      <c r="D40" s="331">
        <v>400.0</v>
      </c>
      <c r="E40" s="331">
        <v>5.0</v>
      </c>
      <c r="F40" s="331" t="str">
        <f t="shared" si="2"/>
        <v>중</v>
      </c>
      <c r="G40" s="332">
        <v>47000.0</v>
      </c>
    </row>
    <row r="41" ht="12.0" customHeight="1">
      <c r="A41" s="330">
        <v>43466.0</v>
      </c>
      <c r="B41" s="330" t="s">
        <v>1166</v>
      </c>
      <c r="C41" s="330" t="str">
        <f t="shared" si="1"/>
        <v>1단지</v>
      </c>
      <c r="D41" s="331">
        <v>100.0</v>
      </c>
      <c r="E41" s="331">
        <v>15.0</v>
      </c>
      <c r="F41" s="331" t="str">
        <f t="shared" si="2"/>
        <v>고</v>
      </c>
      <c r="G41" s="332">
        <v>42000.0</v>
      </c>
    </row>
    <row r="42" ht="12.0" customHeight="1">
      <c r="A42" s="330">
        <v>43466.0</v>
      </c>
      <c r="B42" s="330" t="s">
        <v>1166</v>
      </c>
      <c r="C42" s="330" t="str">
        <f t="shared" si="1"/>
        <v>2단지</v>
      </c>
      <c r="D42" s="331">
        <v>200.0</v>
      </c>
      <c r="E42" s="331">
        <v>13.0</v>
      </c>
      <c r="F42" s="331" t="str">
        <f t="shared" si="2"/>
        <v>고</v>
      </c>
      <c r="G42" s="332">
        <v>39900.0</v>
      </c>
    </row>
    <row r="43" ht="12.0" customHeight="1">
      <c r="A43" s="324">
        <v>43494.0</v>
      </c>
      <c r="B43" s="325" t="s">
        <v>1161</v>
      </c>
      <c r="C43" s="325" t="str">
        <f t="shared" si="1"/>
        <v>1단지</v>
      </c>
      <c r="D43" s="326">
        <v>109.0</v>
      </c>
      <c r="E43" s="326" t="s">
        <v>1167</v>
      </c>
      <c r="F43" s="327" t="str">
        <f t="shared" si="2"/>
        <v>중</v>
      </c>
      <c r="G43" s="328">
        <v>44000.0</v>
      </c>
    </row>
    <row r="44" ht="12.0" customHeight="1">
      <c r="A44" s="324">
        <v>43504.0</v>
      </c>
      <c r="B44" s="325" t="s">
        <v>1161</v>
      </c>
      <c r="C44" s="325" t="str">
        <f t="shared" si="1"/>
        <v>2단지</v>
      </c>
      <c r="D44" s="326">
        <v>203.0</v>
      </c>
      <c r="E44" s="326">
        <v>9.0</v>
      </c>
      <c r="F44" s="327" t="str">
        <f t="shared" si="2"/>
        <v>중</v>
      </c>
      <c r="G44" s="328">
        <v>58000.0</v>
      </c>
    </row>
    <row r="45" ht="12.0" customHeight="1">
      <c r="A45" s="324">
        <v>43504.0</v>
      </c>
      <c r="B45" s="325" t="s">
        <v>1161</v>
      </c>
      <c r="C45" s="325" t="str">
        <f t="shared" si="1"/>
        <v>4단지</v>
      </c>
      <c r="D45" s="326">
        <v>402.0</v>
      </c>
      <c r="E45" s="326">
        <v>14.0</v>
      </c>
      <c r="F45" s="327" t="str">
        <f t="shared" si="2"/>
        <v>고</v>
      </c>
      <c r="G45" s="328">
        <v>60000.0</v>
      </c>
    </row>
    <row r="46" ht="12.0" customHeight="1">
      <c r="A46" s="324">
        <v>43505.0</v>
      </c>
      <c r="B46" s="325" t="s">
        <v>1161</v>
      </c>
      <c r="C46" s="325" t="str">
        <f t="shared" si="1"/>
        <v>3단지</v>
      </c>
      <c r="D46" s="326">
        <v>306.0</v>
      </c>
      <c r="E46" s="326">
        <v>9.0</v>
      </c>
      <c r="F46" s="327" t="str">
        <f t="shared" si="2"/>
        <v>중</v>
      </c>
      <c r="G46" s="328">
        <v>53000.0</v>
      </c>
    </row>
    <row r="47" ht="12.0" customHeight="1">
      <c r="A47" s="324">
        <v>43508.0</v>
      </c>
      <c r="B47" s="325" t="s">
        <v>1161</v>
      </c>
      <c r="C47" s="325" t="str">
        <f t="shared" si="1"/>
        <v>4단지</v>
      </c>
      <c r="D47" s="326">
        <v>402.0</v>
      </c>
      <c r="E47" s="326" t="s">
        <v>1167</v>
      </c>
      <c r="F47" s="327" t="str">
        <f t="shared" si="2"/>
        <v>중</v>
      </c>
      <c r="G47" s="328">
        <v>55000.0</v>
      </c>
    </row>
    <row r="48" ht="12.0" customHeight="1">
      <c r="A48" s="324">
        <v>43510.0</v>
      </c>
      <c r="B48" s="325" t="s">
        <v>1161</v>
      </c>
      <c r="C48" s="325" t="str">
        <f t="shared" si="1"/>
        <v>3단지</v>
      </c>
      <c r="D48" s="326">
        <v>308.0</v>
      </c>
      <c r="E48" s="326">
        <v>1.0</v>
      </c>
      <c r="F48" s="327" t="str">
        <f t="shared" si="2"/>
        <v>1층</v>
      </c>
      <c r="G48" s="328">
        <v>42000.0</v>
      </c>
    </row>
    <row r="49" ht="12.0" customHeight="1">
      <c r="A49" s="324">
        <v>43510.0</v>
      </c>
      <c r="B49" s="325" t="s">
        <v>1161</v>
      </c>
      <c r="C49" s="325" t="str">
        <f t="shared" si="1"/>
        <v>3단지</v>
      </c>
      <c r="D49" s="326">
        <v>301.0</v>
      </c>
      <c r="E49" s="326">
        <v>9.0</v>
      </c>
      <c r="F49" s="327" t="str">
        <f t="shared" si="2"/>
        <v>중</v>
      </c>
      <c r="G49" s="328">
        <v>55000.0</v>
      </c>
    </row>
    <row r="50" ht="12.0" customHeight="1">
      <c r="A50" s="324">
        <v>43510.0</v>
      </c>
      <c r="B50" s="325" t="s">
        <v>1161</v>
      </c>
      <c r="C50" s="325" t="str">
        <f t="shared" si="1"/>
        <v>4단지</v>
      </c>
      <c r="D50" s="326">
        <v>407.0</v>
      </c>
      <c r="E50" s="326">
        <v>9.0</v>
      </c>
      <c r="F50" s="327" t="str">
        <f t="shared" si="2"/>
        <v>중</v>
      </c>
      <c r="G50" s="328">
        <v>55000.0</v>
      </c>
    </row>
    <row r="51" ht="12.0" customHeight="1">
      <c r="A51" s="324">
        <v>43510.0</v>
      </c>
      <c r="B51" s="325" t="s">
        <v>1161</v>
      </c>
      <c r="C51" s="325" t="str">
        <f t="shared" si="1"/>
        <v>4단지</v>
      </c>
      <c r="D51" s="326">
        <v>407.0</v>
      </c>
      <c r="E51" s="326">
        <v>14.0</v>
      </c>
      <c r="F51" s="327" t="str">
        <f t="shared" si="2"/>
        <v>고</v>
      </c>
      <c r="G51" s="328">
        <v>50000.0</v>
      </c>
    </row>
    <row r="52" ht="12.0" customHeight="1">
      <c r="A52" s="324">
        <v>43511.0</v>
      </c>
      <c r="B52" s="325" t="s">
        <v>1161</v>
      </c>
      <c r="C52" s="325" t="str">
        <f t="shared" si="1"/>
        <v>1단지</v>
      </c>
      <c r="D52" s="326">
        <v>109.0</v>
      </c>
      <c r="E52" s="326">
        <v>13.0</v>
      </c>
      <c r="F52" s="327" t="str">
        <f t="shared" si="2"/>
        <v>고</v>
      </c>
      <c r="G52" s="328">
        <v>44000.0</v>
      </c>
    </row>
    <row r="53" ht="12.0" customHeight="1">
      <c r="A53" s="324">
        <v>43512.0</v>
      </c>
      <c r="B53" s="325" t="s">
        <v>1161</v>
      </c>
      <c r="C53" s="325" t="str">
        <f t="shared" si="1"/>
        <v>2단지</v>
      </c>
      <c r="D53" s="326">
        <v>202.0</v>
      </c>
      <c r="E53" s="326">
        <v>6.0</v>
      </c>
      <c r="F53" s="327" t="str">
        <f t="shared" si="2"/>
        <v>중</v>
      </c>
      <c r="G53" s="328">
        <v>44000.0</v>
      </c>
    </row>
    <row r="54" ht="12.0" customHeight="1">
      <c r="A54" s="324">
        <v>43515.0</v>
      </c>
      <c r="B54" s="325" t="s">
        <v>1161</v>
      </c>
      <c r="C54" s="325" t="str">
        <f t="shared" si="1"/>
        <v>3단지</v>
      </c>
      <c r="D54" s="326">
        <v>302.0</v>
      </c>
      <c r="E54" s="326">
        <v>4.0</v>
      </c>
      <c r="F54" s="327" t="str">
        <f t="shared" si="2"/>
        <v>중</v>
      </c>
      <c r="G54" s="328">
        <v>53000.0</v>
      </c>
    </row>
    <row r="55" ht="12.0" customHeight="1">
      <c r="A55" s="324">
        <v>43516.0</v>
      </c>
      <c r="B55" s="325" t="s">
        <v>1161</v>
      </c>
      <c r="C55" s="325" t="str">
        <f t="shared" si="1"/>
        <v>3단지</v>
      </c>
      <c r="D55" s="326">
        <v>301.0</v>
      </c>
      <c r="E55" s="326">
        <v>4.0</v>
      </c>
      <c r="F55" s="327" t="str">
        <f t="shared" si="2"/>
        <v>중</v>
      </c>
      <c r="G55" s="328">
        <v>50000.0</v>
      </c>
    </row>
    <row r="56" ht="12.0" customHeight="1">
      <c r="A56" s="324">
        <v>43517.0</v>
      </c>
      <c r="B56" s="325" t="s">
        <v>1161</v>
      </c>
      <c r="C56" s="325" t="str">
        <f t="shared" si="1"/>
        <v>3단지</v>
      </c>
      <c r="D56" s="326">
        <v>301.0</v>
      </c>
      <c r="E56" s="326">
        <v>6.0</v>
      </c>
      <c r="F56" s="327" t="str">
        <f t="shared" si="2"/>
        <v>중</v>
      </c>
      <c r="G56" s="328">
        <v>55000.0</v>
      </c>
    </row>
    <row r="57" ht="12.0" customHeight="1">
      <c r="A57" s="324">
        <v>43517.0</v>
      </c>
      <c r="B57" s="325" t="s">
        <v>1161</v>
      </c>
      <c r="C57" s="325" t="str">
        <f t="shared" si="1"/>
        <v>3단지</v>
      </c>
      <c r="D57" s="326">
        <v>308.0</v>
      </c>
      <c r="E57" s="326">
        <v>4.0</v>
      </c>
      <c r="F57" s="327" t="str">
        <f t="shared" si="2"/>
        <v>중</v>
      </c>
      <c r="G57" s="328">
        <v>50000.0</v>
      </c>
    </row>
    <row r="58" ht="12.0" customHeight="1">
      <c r="A58" s="324">
        <v>43517.0</v>
      </c>
      <c r="B58" s="325" t="s">
        <v>1161</v>
      </c>
      <c r="C58" s="325" t="str">
        <f t="shared" si="1"/>
        <v>4단지</v>
      </c>
      <c r="D58" s="326">
        <v>407.0</v>
      </c>
      <c r="E58" s="326">
        <v>1.0</v>
      </c>
      <c r="F58" s="327" t="str">
        <f t="shared" si="2"/>
        <v>1층</v>
      </c>
      <c r="G58" s="328">
        <v>45000.0</v>
      </c>
    </row>
    <row r="59" ht="12.0" customHeight="1">
      <c r="A59" s="324">
        <v>43518.0</v>
      </c>
      <c r="B59" s="325" t="s">
        <v>1161</v>
      </c>
      <c r="C59" s="325" t="str">
        <f t="shared" si="1"/>
        <v>2단지</v>
      </c>
      <c r="D59" s="326">
        <v>208.0</v>
      </c>
      <c r="E59" s="326" t="s">
        <v>1168</v>
      </c>
      <c r="F59" s="327" t="str">
        <f t="shared" si="2"/>
        <v>저</v>
      </c>
      <c r="G59" s="328">
        <v>44000.0</v>
      </c>
    </row>
    <row r="60" ht="12.0" customHeight="1">
      <c r="A60" s="324">
        <v>43519.0</v>
      </c>
      <c r="B60" s="325" t="s">
        <v>1161</v>
      </c>
      <c r="C60" s="325" t="str">
        <f t="shared" si="1"/>
        <v>1단지</v>
      </c>
      <c r="D60" s="326">
        <v>109.0</v>
      </c>
      <c r="E60" s="326">
        <v>3.0</v>
      </c>
      <c r="F60" s="327" t="str">
        <f t="shared" si="2"/>
        <v>저</v>
      </c>
      <c r="G60" s="328">
        <v>42000.0</v>
      </c>
    </row>
    <row r="61" ht="12.0" customHeight="1">
      <c r="A61" s="324">
        <v>43519.0</v>
      </c>
      <c r="B61" s="325" t="s">
        <v>1161</v>
      </c>
      <c r="C61" s="325" t="str">
        <f t="shared" si="1"/>
        <v>3단지</v>
      </c>
      <c r="D61" s="326">
        <v>309.0</v>
      </c>
      <c r="E61" s="326">
        <v>7.0</v>
      </c>
      <c r="F61" s="327" t="str">
        <f t="shared" si="2"/>
        <v>중</v>
      </c>
      <c r="G61" s="328">
        <v>55000.0</v>
      </c>
    </row>
    <row r="62" ht="12.0" customHeight="1">
      <c r="A62" s="324">
        <v>43519.0</v>
      </c>
      <c r="B62" s="325" t="s">
        <v>1161</v>
      </c>
      <c r="C62" s="325" t="str">
        <f t="shared" si="1"/>
        <v>3단지</v>
      </c>
      <c r="D62" s="326">
        <v>303.0</v>
      </c>
      <c r="E62" s="326" t="s">
        <v>1165</v>
      </c>
      <c r="F62" s="327" t="str">
        <f t="shared" si="2"/>
        <v>고</v>
      </c>
      <c r="G62" s="328">
        <v>50000.0</v>
      </c>
    </row>
    <row r="63" ht="12.0" customHeight="1">
      <c r="A63" s="324">
        <v>43519.0</v>
      </c>
      <c r="B63" s="325" t="s">
        <v>1161</v>
      </c>
      <c r="C63" s="325" t="str">
        <f t="shared" si="1"/>
        <v>2단지</v>
      </c>
      <c r="D63" s="326">
        <v>202.0</v>
      </c>
      <c r="E63" s="326">
        <v>15.0</v>
      </c>
      <c r="F63" s="327" t="str">
        <f t="shared" si="2"/>
        <v>고</v>
      </c>
      <c r="G63" s="328">
        <v>42500.0</v>
      </c>
    </row>
    <row r="64" ht="12.0" customHeight="1">
      <c r="A64" s="324">
        <v>43519.0</v>
      </c>
      <c r="B64" s="325" t="s">
        <v>1161</v>
      </c>
      <c r="C64" s="325" t="str">
        <f t="shared" si="1"/>
        <v>2단지</v>
      </c>
      <c r="D64" s="326">
        <v>208.0</v>
      </c>
      <c r="E64" s="326" t="s">
        <v>1165</v>
      </c>
      <c r="F64" s="327" t="str">
        <f t="shared" si="2"/>
        <v>고</v>
      </c>
      <c r="G64" s="328">
        <v>42000.0</v>
      </c>
    </row>
    <row r="65" ht="12.0" customHeight="1">
      <c r="A65" s="324">
        <v>43523.0</v>
      </c>
      <c r="B65" s="325" t="s">
        <v>1161</v>
      </c>
      <c r="C65" s="325" t="str">
        <f t="shared" si="1"/>
        <v>3단지</v>
      </c>
      <c r="D65" s="326">
        <v>303.0</v>
      </c>
      <c r="E65" s="326">
        <v>14.0</v>
      </c>
      <c r="F65" s="327" t="str">
        <f t="shared" si="2"/>
        <v>고</v>
      </c>
      <c r="G65" s="328">
        <v>55000.0</v>
      </c>
    </row>
    <row r="66" ht="12.0" customHeight="1">
      <c r="A66" s="324">
        <v>43523.0</v>
      </c>
      <c r="B66" s="325" t="s">
        <v>1161</v>
      </c>
      <c r="C66" s="325" t="str">
        <f t="shared" si="1"/>
        <v>3단지</v>
      </c>
      <c r="D66" s="326">
        <v>301.0</v>
      </c>
      <c r="E66" s="326">
        <v>13.0</v>
      </c>
      <c r="F66" s="327" t="str">
        <f t="shared" si="2"/>
        <v>고</v>
      </c>
      <c r="G66" s="328">
        <v>55000.0</v>
      </c>
    </row>
    <row r="67" ht="12.0" customHeight="1">
      <c r="A67" s="324">
        <v>43523.0</v>
      </c>
      <c r="B67" s="325" t="s">
        <v>1161</v>
      </c>
      <c r="C67" s="325" t="str">
        <f t="shared" si="1"/>
        <v>3단지</v>
      </c>
      <c r="D67" s="326">
        <v>303.0</v>
      </c>
      <c r="E67" s="326" t="s">
        <v>1165</v>
      </c>
      <c r="F67" s="327" t="str">
        <f t="shared" si="2"/>
        <v>고</v>
      </c>
      <c r="G67" s="328">
        <v>50000.0</v>
      </c>
    </row>
    <row r="68" ht="12.0" customHeight="1">
      <c r="A68" s="324">
        <v>43523.0</v>
      </c>
      <c r="B68" s="325" t="s">
        <v>1161</v>
      </c>
      <c r="C68" s="325" t="str">
        <f t="shared" si="1"/>
        <v>4단지</v>
      </c>
      <c r="D68" s="326">
        <v>402.0</v>
      </c>
      <c r="E68" s="326">
        <v>10.0</v>
      </c>
      <c r="F68" s="327" t="str">
        <f t="shared" si="2"/>
        <v>고</v>
      </c>
      <c r="G68" s="328">
        <v>53000.0</v>
      </c>
    </row>
    <row r="69" ht="12.0" customHeight="1">
      <c r="A69" s="324">
        <v>43523.0</v>
      </c>
      <c r="B69" s="325" t="s">
        <v>1161</v>
      </c>
      <c r="C69" s="325" t="str">
        <f t="shared" si="1"/>
        <v>2단지</v>
      </c>
      <c r="D69" s="326">
        <v>202.0</v>
      </c>
      <c r="E69" s="326">
        <v>9.0</v>
      </c>
      <c r="F69" s="327" t="str">
        <f t="shared" si="2"/>
        <v>중</v>
      </c>
      <c r="G69" s="328">
        <v>44000.0</v>
      </c>
    </row>
    <row r="70" ht="12.0" customHeight="1">
      <c r="A70" s="324">
        <v>43521.0</v>
      </c>
      <c r="B70" s="325" t="s">
        <v>1161</v>
      </c>
      <c r="C70" s="325" t="str">
        <f t="shared" si="1"/>
        <v>2단지</v>
      </c>
      <c r="D70" s="326">
        <v>202.0</v>
      </c>
      <c r="E70" s="326">
        <v>6.0</v>
      </c>
      <c r="F70" s="327" t="str">
        <f t="shared" si="2"/>
        <v>중</v>
      </c>
      <c r="G70" s="328">
        <v>44000.0</v>
      </c>
    </row>
    <row r="71" ht="12.0" customHeight="1">
      <c r="A71" s="324">
        <v>43531.0</v>
      </c>
      <c r="B71" s="325" t="s">
        <v>1161</v>
      </c>
      <c r="C71" s="325" t="str">
        <f t="shared" si="1"/>
        <v>1단지</v>
      </c>
      <c r="D71" s="326">
        <v>109.0</v>
      </c>
      <c r="E71" s="326">
        <v>7.0</v>
      </c>
      <c r="F71" s="327" t="str">
        <f t="shared" si="2"/>
        <v>중</v>
      </c>
      <c r="G71" s="328">
        <v>44000.0</v>
      </c>
    </row>
    <row r="72" ht="12.0" customHeight="1">
      <c r="A72" s="324">
        <v>43519.0</v>
      </c>
      <c r="B72" s="325" t="s">
        <v>1161</v>
      </c>
      <c r="C72" s="325" t="str">
        <f t="shared" si="1"/>
        <v>1단지</v>
      </c>
      <c r="D72" s="326">
        <v>111.0</v>
      </c>
      <c r="E72" s="326">
        <v>3.0</v>
      </c>
      <c r="F72" s="327" t="str">
        <f t="shared" si="2"/>
        <v>저</v>
      </c>
      <c r="G72" s="328">
        <v>41500.0</v>
      </c>
    </row>
    <row r="73" ht="12.0" customHeight="1">
      <c r="A73" s="324">
        <v>43519.0</v>
      </c>
      <c r="B73" s="325" t="s">
        <v>1161</v>
      </c>
      <c r="C73" s="325" t="str">
        <f t="shared" si="1"/>
        <v>1단지</v>
      </c>
      <c r="D73" s="326">
        <v>111.0</v>
      </c>
      <c r="E73" s="326">
        <v>9.0</v>
      </c>
      <c r="F73" s="327" t="str">
        <f t="shared" si="2"/>
        <v>중</v>
      </c>
      <c r="G73" s="328">
        <v>42000.0</v>
      </c>
    </row>
    <row r="74" ht="12.0" customHeight="1">
      <c r="A74" s="324">
        <v>43522.0</v>
      </c>
      <c r="B74" s="325" t="s">
        <v>1161</v>
      </c>
      <c r="C74" s="325" t="str">
        <f t="shared" si="1"/>
        <v>2단지</v>
      </c>
      <c r="D74" s="326">
        <v>202.0</v>
      </c>
      <c r="E74" s="326">
        <v>6.0</v>
      </c>
      <c r="F74" s="327" t="str">
        <f t="shared" si="2"/>
        <v>중</v>
      </c>
      <c r="G74" s="328">
        <v>44000.0</v>
      </c>
    </row>
    <row r="75" ht="12.0" customHeight="1">
      <c r="A75" s="330">
        <v>43466.0</v>
      </c>
      <c r="B75" s="330" t="s">
        <v>1166</v>
      </c>
      <c r="C75" s="330" t="str">
        <f t="shared" si="1"/>
        <v>3단지</v>
      </c>
      <c r="D75" s="331">
        <v>300.0</v>
      </c>
      <c r="E75" s="331">
        <v>2.0</v>
      </c>
      <c r="F75" s="331" t="str">
        <f t="shared" si="2"/>
        <v>저</v>
      </c>
      <c r="G75" s="332">
        <v>44200.0</v>
      </c>
    </row>
    <row r="76" ht="12.0" customHeight="1">
      <c r="A76" s="324">
        <v>43533.0</v>
      </c>
      <c r="B76" s="325"/>
      <c r="C76" s="325" t="str">
        <f t="shared" si="1"/>
        <v>3단지</v>
      </c>
      <c r="D76" s="326">
        <v>301.0</v>
      </c>
      <c r="E76" s="326">
        <v>4.0</v>
      </c>
      <c r="F76" s="327" t="str">
        <f t="shared" si="2"/>
        <v>중</v>
      </c>
      <c r="G76" s="328">
        <v>50000.0</v>
      </c>
    </row>
    <row r="77" ht="12.0" customHeight="1">
      <c r="A77" s="324">
        <v>43531.0</v>
      </c>
      <c r="B77" s="325"/>
      <c r="C77" s="325" t="str">
        <f t="shared" si="1"/>
        <v>3단지</v>
      </c>
      <c r="D77" s="326">
        <v>302.0</v>
      </c>
      <c r="E77" s="326">
        <v>9.0</v>
      </c>
      <c r="F77" s="327" t="str">
        <f t="shared" si="2"/>
        <v>중</v>
      </c>
      <c r="G77" s="328">
        <v>52000.0</v>
      </c>
    </row>
    <row r="78" ht="12.0" customHeight="1">
      <c r="A78" s="324">
        <v>43531.0</v>
      </c>
      <c r="B78" s="325"/>
      <c r="C78" s="325" t="str">
        <f t="shared" si="1"/>
        <v>3단지</v>
      </c>
      <c r="D78" s="326">
        <v>301.0</v>
      </c>
      <c r="E78" s="326">
        <v>13.0</v>
      </c>
      <c r="F78" s="327" t="str">
        <f t="shared" si="2"/>
        <v>고</v>
      </c>
      <c r="G78" s="328">
        <v>53000.0</v>
      </c>
    </row>
    <row r="79" ht="12.0" customHeight="1">
      <c r="A79" s="324">
        <v>43531.0</v>
      </c>
      <c r="B79" s="325"/>
      <c r="C79" s="325" t="str">
        <f t="shared" si="1"/>
        <v>4단지</v>
      </c>
      <c r="D79" s="326">
        <v>407.0</v>
      </c>
      <c r="E79" s="326">
        <v>14.0</v>
      </c>
      <c r="F79" s="327" t="str">
        <f t="shared" si="2"/>
        <v>고</v>
      </c>
      <c r="G79" s="328">
        <v>50000.0</v>
      </c>
    </row>
    <row r="80" ht="12.0" customHeight="1">
      <c r="A80" s="324">
        <v>43531.0</v>
      </c>
      <c r="B80" s="325"/>
      <c r="C80" s="325" t="str">
        <f t="shared" si="1"/>
        <v>4단지</v>
      </c>
      <c r="D80" s="326">
        <v>402.0</v>
      </c>
      <c r="E80" s="326">
        <v>10.0</v>
      </c>
      <c r="F80" s="327" t="str">
        <f t="shared" si="2"/>
        <v>고</v>
      </c>
      <c r="G80" s="328">
        <v>52000.0</v>
      </c>
    </row>
    <row r="81" ht="12.0" customHeight="1">
      <c r="A81" s="333"/>
      <c r="B81" s="147"/>
      <c r="C81" s="147"/>
      <c r="D81" s="334"/>
      <c r="E81" s="334"/>
      <c r="F81" s="69"/>
      <c r="G81" s="59"/>
    </row>
    <row r="82" ht="12.0" customHeight="1">
      <c r="A82" s="333"/>
      <c r="B82" s="147"/>
      <c r="C82" s="147"/>
      <c r="D82" s="334"/>
      <c r="E82" s="334"/>
      <c r="F82" s="69"/>
      <c r="G82" s="59"/>
    </row>
    <row r="83" ht="12.0" customHeight="1">
      <c r="A83" s="333"/>
      <c r="B83" s="147"/>
      <c r="C83" s="147"/>
      <c r="D83" s="334"/>
      <c r="E83" s="334"/>
      <c r="F83" s="69"/>
      <c r="G83" s="59"/>
    </row>
    <row r="84" ht="12.0" customHeight="1">
      <c r="A84" s="333"/>
      <c r="B84" s="147"/>
      <c r="C84" s="147"/>
      <c r="D84" s="334"/>
      <c r="E84" s="334"/>
      <c r="F84" s="69"/>
      <c r="G84" s="59"/>
    </row>
    <row r="85" ht="12.0" customHeight="1">
      <c r="A85" s="333"/>
      <c r="B85" s="147"/>
      <c r="C85" s="147"/>
      <c r="D85" s="334"/>
      <c r="E85" s="334"/>
      <c r="F85" s="69"/>
      <c r="G85" s="59"/>
    </row>
    <row r="86" ht="12.0" customHeight="1">
      <c r="A86" s="333"/>
      <c r="B86" s="147"/>
      <c r="C86" s="147"/>
      <c r="D86" s="334"/>
      <c r="E86" s="334"/>
      <c r="F86" s="69"/>
      <c r="G86" s="59"/>
    </row>
    <row r="87" ht="12.0" customHeight="1">
      <c r="A87" s="333"/>
      <c r="B87" s="147"/>
      <c r="C87" s="147"/>
      <c r="D87" s="334"/>
      <c r="E87" s="334"/>
      <c r="F87" s="69"/>
      <c r="G87" s="59"/>
    </row>
    <row r="88" ht="12.0" customHeight="1">
      <c r="A88" s="333"/>
      <c r="B88" s="147"/>
      <c r="C88" s="147"/>
      <c r="D88" s="334"/>
      <c r="E88" s="334"/>
      <c r="F88" s="69"/>
      <c r="G88" s="59"/>
    </row>
    <row r="89" ht="12.0" customHeight="1">
      <c r="A89" s="333"/>
      <c r="B89" s="147"/>
      <c r="C89" s="147"/>
      <c r="D89" s="334"/>
      <c r="E89" s="334"/>
      <c r="F89" s="69"/>
      <c r="G89" s="59"/>
    </row>
    <row r="90" ht="12.0" customHeight="1">
      <c r="A90" s="333"/>
      <c r="B90" s="147"/>
      <c r="C90" s="147"/>
      <c r="D90" s="334"/>
      <c r="E90" s="334"/>
      <c r="F90" s="69"/>
      <c r="G90" s="59"/>
    </row>
    <row r="91" ht="12.0" customHeight="1">
      <c r="A91" s="333"/>
      <c r="B91" s="147"/>
      <c r="C91" s="147"/>
      <c r="D91" s="334"/>
      <c r="E91" s="334"/>
      <c r="F91" s="69"/>
      <c r="G91" s="59"/>
    </row>
    <row r="92" ht="12.0" customHeight="1">
      <c r="A92" s="333"/>
      <c r="B92" s="147"/>
      <c r="C92" s="147"/>
      <c r="D92" s="334"/>
      <c r="E92" s="334"/>
      <c r="F92" s="69"/>
      <c r="G92" s="59"/>
    </row>
    <row r="93" ht="12.0" customHeight="1">
      <c r="A93" s="333"/>
      <c r="B93" s="147"/>
      <c r="C93" s="147"/>
      <c r="D93" s="334"/>
      <c r="E93" s="334"/>
      <c r="F93" s="69"/>
      <c r="G93" s="59"/>
    </row>
    <row r="94" ht="12.0" customHeight="1">
      <c r="A94" s="333"/>
      <c r="B94" s="147"/>
      <c r="C94" s="147"/>
      <c r="D94" s="334"/>
      <c r="E94" s="334"/>
      <c r="F94" s="69"/>
      <c r="G94" s="59"/>
    </row>
    <row r="95" ht="12.0" customHeight="1">
      <c r="A95" s="333"/>
      <c r="B95" s="147"/>
      <c r="C95" s="147"/>
      <c r="D95" s="334"/>
      <c r="E95" s="334"/>
      <c r="F95" s="69"/>
      <c r="G95" s="59"/>
    </row>
    <row r="96" ht="12.0" customHeight="1">
      <c r="A96" s="333"/>
      <c r="B96" s="147"/>
      <c r="C96" s="147"/>
      <c r="D96" s="334"/>
      <c r="E96" s="334"/>
      <c r="F96" s="69"/>
      <c r="G96" s="59"/>
    </row>
    <row r="97" ht="12.0" customHeight="1">
      <c r="A97" s="333"/>
      <c r="B97" s="147"/>
      <c r="C97" s="147"/>
      <c r="D97" s="334"/>
      <c r="E97" s="334"/>
      <c r="F97" s="69"/>
      <c r="G97" s="59"/>
    </row>
    <row r="98" ht="12.0" customHeight="1">
      <c r="A98" s="333"/>
      <c r="B98" s="147"/>
      <c r="C98" s="147"/>
      <c r="D98" s="334"/>
      <c r="E98" s="334"/>
      <c r="F98" s="69"/>
      <c r="G98" s="59"/>
    </row>
    <row r="99" ht="12.0" customHeight="1">
      <c r="A99" s="333"/>
      <c r="B99" s="147"/>
      <c r="C99" s="147"/>
      <c r="D99" s="334"/>
      <c r="E99" s="334"/>
      <c r="F99" s="69"/>
      <c r="G99" s="59"/>
    </row>
    <row r="100" ht="12.0" customHeight="1">
      <c r="A100" s="333"/>
      <c r="B100" s="147"/>
      <c r="C100" s="147"/>
      <c r="D100" s="334"/>
      <c r="E100" s="334"/>
      <c r="F100" s="69"/>
      <c r="G100" s="59"/>
    </row>
    <row r="101" ht="12.0" customHeight="1">
      <c r="A101" s="333"/>
      <c r="B101" s="147"/>
      <c r="C101" s="147"/>
      <c r="D101" s="334"/>
      <c r="E101" s="334"/>
      <c r="F101" s="69"/>
      <c r="G101" s="59"/>
    </row>
    <row r="102" ht="12.0" customHeight="1">
      <c r="A102" s="333"/>
      <c r="B102" s="147"/>
      <c r="C102" s="147"/>
      <c r="D102" s="334"/>
      <c r="E102" s="334"/>
      <c r="F102" s="69"/>
      <c r="G102" s="59"/>
    </row>
    <row r="103" ht="12.0" customHeight="1">
      <c r="A103" s="333"/>
      <c r="B103" s="147"/>
      <c r="C103" s="147"/>
      <c r="D103" s="334"/>
      <c r="E103" s="334"/>
      <c r="F103" s="69"/>
      <c r="G103" s="59"/>
    </row>
    <row r="104" ht="12.0" customHeight="1">
      <c r="A104" s="333"/>
      <c r="B104" s="147"/>
      <c r="C104" s="147"/>
      <c r="D104" s="334"/>
      <c r="E104" s="334"/>
      <c r="F104" s="69"/>
      <c r="G104" s="59"/>
    </row>
    <row r="105" ht="12.0" customHeight="1">
      <c r="A105" s="333"/>
      <c r="B105" s="147"/>
      <c r="C105" s="147"/>
      <c r="D105" s="334"/>
      <c r="E105" s="334"/>
      <c r="F105" s="69"/>
      <c r="G105" s="59"/>
    </row>
    <row r="106" ht="12.0" customHeight="1">
      <c r="A106" s="333"/>
      <c r="B106" s="147"/>
      <c r="C106" s="147"/>
      <c r="D106" s="334"/>
      <c r="E106" s="334"/>
      <c r="F106" s="69"/>
      <c r="G106" s="59"/>
    </row>
    <row r="107" ht="12.0" customHeight="1">
      <c r="A107" s="333"/>
      <c r="B107" s="147"/>
      <c r="C107" s="147"/>
      <c r="D107" s="334"/>
      <c r="E107" s="334"/>
      <c r="F107" s="69"/>
      <c r="G107" s="59"/>
    </row>
    <row r="108" ht="12.0" customHeight="1">
      <c r="A108" s="333"/>
      <c r="B108" s="147"/>
      <c r="C108" s="147"/>
      <c r="D108" s="334"/>
      <c r="E108" s="334"/>
      <c r="F108" s="69"/>
      <c r="G108" s="59"/>
    </row>
    <row r="109" ht="12.0" customHeight="1">
      <c r="A109" s="333"/>
      <c r="B109" s="147"/>
      <c r="C109" s="147"/>
      <c r="D109" s="334"/>
      <c r="E109" s="334"/>
      <c r="F109" s="69"/>
      <c r="G109" s="59"/>
    </row>
    <row r="110" ht="12.0" customHeight="1">
      <c r="A110" s="333"/>
      <c r="B110" s="147"/>
      <c r="C110" s="147"/>
      <c r="D110" s="334"/>
      <c r="E110" s="334"/>
      <c r="F110" s="69"/>
      <c r="G110" s="59"/>
    </row>
    <row r="111" ht="12.0" customHeight="1">
      <c r="A111" s="333"/>
      <c r="B111" s="147"/>
      <c r="C111" s="147"/>
      <c r="D111" s="334"/>
      <c r="E111" s="334"/>
      <c r="F111" s="69"/>
      <c r="G111" s="59"/>
    </row>
    <row r="112" ht="12.0" customHeight="1">
      <c r="A112" s="333"/>
      <c r="B112" s="147"/>
      <c r="C112" s="147"/>
      <c r="D112" s="334"/>
      <c r="E112" s="334"/>
      <c r="F112" s="69"/>
      <c r="G112" s="59"/>
    </row>
    <row r="113" ht="12.0" customHeight="1">
      <c r="A113" s="333"/>
      <c r="B113" s="147"/>
      <c r="C113" s="147"/>
      <c r="D113" s="334"/>
      <c r="E113" s="334"/>
      <c r="F113" s="69"/>
      <c r="G113" s="59"/>
    </row>
    <row r="114" ht="12.0" customHeight="1">
      <c r="A114" s="333"/>
      <c r="B114" s="147"/>
      <c r="C114" s="147"/>
      <c r="D114" s="334"/>
      <c r="E114" s="334"/>
      <c r="F114" s="69"/>
      <c r="G114" s="59"/>
    </row>
    <row r="115" ht="12.0" customHeight="1">
      <c r="A115" s="333"/>
      <c r="B115" s="147"/>
      <c r="C115" s="147"/>
      <c r="D115" s="334"/>
      <c r="E115" s="334"/>
      <c r="F115" s="69"/>
      <c r="G115" s="59"/>
    </row>
    <row r="116" ht="12.0" customHeight="1">
      <c r="A116" s="333"/>
      <c r="B116" s="147"/>
      <c r="C116" s="147"/>
      <c r="D116" s="334"/>
      <c r="E116" s="334"/>
      <c r="F116" s="69"/>
      <c r="G116" s="59"/>
    </row>
    <row r="117" ht="12.0" customHeight="1">
      <c r="A117" s="333"/>
      <c r="B117" s="147"/>
      <c r="C117" s="147"/>
      <c r="D117" s="334"/>
      <c r="E117" s="334"/>
      <c r="F117" s="69"/>
      <c r="G117" s="59"/>
    </row>
    <row r="118" ht="12.0" customHeight="1">
      <c r="A118" s="333"/>
      <c r="B118" s="147"/>
      <c r="C118" s="147"/>
      <c r="D118" s="334"/>
      <c r="E118" s="334"/>
      <c r="F118" s="69"/>
      <c r="G118" s="59"/>
    </row>
    <row r="119" ht="12.0" customHeight="1">
      <c r="A119" s="333"/>
      <c r="B119" s="147"/>
      <c r="C119" s="147"/>
      <c r="D119" s="334"/>
      <c r="E119" s="334"/>
      <c r="F119" s="69"/>
      <c r="G119" s="59"/>
    </row>
    <row r="120" ht="12.0" customHeight="1">
      <c r="A120" s="333"/>
      <c r="B120" s="147"/>
      <c r="C120" s="147"/>
      <c r="D120" s="334"/>
      <c r="E120" s="334"/>
      <c r="F120" s="69"/>
      <c r="G120" s="59"/>
    </row>
    <row r="121" ht="12.0" customHeight="1">
      <c r="A121" s="333"/>
      <c r="B121" s="147"/>
      <c r="C121" s="147"/>
      <c r="D121" s="334"/>
      <c r="E121" s="334"/>
      <c r="F121" s="69"/>
      <c r="G121" s="59"/>
    </row>
    <row r="122" ht="12.0" customHeight="1">
      <c r="A122" s="333"/>
      <c r="B122" s="147"/>
      <c r="C122" s="147"/>
      <c r="D122" s="334"/>
      <c r="E122" s="334"/>
      <c r="F122" s="69"/>
      <c r="G122" s="59"/>
    </row>
    <row r="123" ht="12.0" customHeight="1">
      <c r="A123" s="333"/>
      <c r="B123" s="147"/>
      <c r="C123" s="147"/>
      <c r="D123" s="334"/>
      <c r="E123" s="334"/>
      <c r="F123" s="69"/>
      <c r="G123" s="59"/>
    </row>
    <row r="124" ht="12.0" customHeight="1">
      <c r="A124" s="333"/>
      <c r="B124" s="147"/>
      <c r="C124" s="147"/>
      <c r="D124" s="334"/>
      <c r="E124" s="334"/>
      <c r="F124" s="69"/>
      <c r="G124" s="59"/>
    </row>
    <row r="125" ht="12.0" customHeight="1">
      <c r="A125" s="333"/>
      <c r="B125" s="147"/>
      <c r="C125" s="147"/>
      <c r="D125" s="334"/>
      <c r="E125" s="334"/>
      <c r="F125" s="69"/>
      <c r="G125" s="59"/>
    </row>
    <row r="126" ht="12.0" customHeight="1">
      <c r="A126" s="333"/>
      <c r="B126" s="147"/>
      <c r="C126" s="147"/>
      <c r="D126" s="334"/>
      <c r="E126" s="334"/>
      <c r="F126" s="69"/>
      <c r="G126" s="59"/>
    </row>
    <row r="127" ht="12.0" customHeight="1">
      <c r="A127" s="333"/>
      <c r="B127" s="147"/>
      <c r="C127" s="147"/>
      <c r="D127" s="334"/>
      <c r="E127" s="334"/>
      <c r="F127" s="69"/>
      <c r="G127" s="59"/>
    </row>
    <row r="128" ht="12.0" customHeight="1">
      <c r="A128" s="333"/>
      <c r="B128" s="147"/>
      <c r="C128" s="147"/>
      <c r="D128" s="334"/>
      <c r="E128" s="334"/>
      <c r="F128" s="69"/>
      <c r="G128" s="59"/>
    </row>
    <row r="129" ht="12.0" customHeight="1">
      <c r="A129" s="333"/>
      <c r="B129" s="147"/>
      <c r="C129" s="147"/>
      <c r="D129" s="334"/>
      <c r="E129" s="334"/>
      <c r="F129" s="69"/>
      <c r="G129" s="59"/>
    </row>
    <row r="130" ht="12.0" customHeight="1">
      <c r="A130" s="333"/>
      <c r="B130" s="147"/>
      <c r="C130" s="147"/>
      <c r="D130" s="334"/>
      <c r="E130" s="334"/>
      <c r="F130" s="69"/>
      <c r="G130" s="59"/>
    </row>
    <row r="131" ht="12.0" customHeight="1">
      <c r="A131" s="333"/>
      <c r="B131" s="147"/>
      <c r="C131" s="147"/>
      <c r="D131" s="334"/>
      <c r="E131" s="334"/>
      <c r="F131" s="69"/>
      <c r="G131" s="59"/>
    </row>
    <row r="132" ht="12.0" customHeight="1">
      <c r="A132" s="333"/>
      <c r="B132" s="147"/>
      <c r="C132" s="147"/>
      <c r="D132" s="334"/>
      <c r="E132" s="334"/>
      <c r="F132" s="69"/>
      <c r="G132" s="59"/>
    </row>
    <row r="133" ht="12.0" customHeight="1">
      <c r="A133" s="333"/>
      <c r="B133" s="147"/>
      <c r="C133" s="147"/>
      <c r="D133" s="334"/>
      <c r="E133" s="334"/>
      <c r="F133" s="69"/>
      <c r="G133" s="59"/>
    </row>
    <row r="134" ht="12.0" customHeight="1">
      <c r="A134" s="333"/>
      <c r="B134" s="147"/>
      <c r="C134" s="147"/>
      <c r="D134" s="334"/>
      <c r="E134" s="334"/>
      <c r="F134" s="69"/>
      <c r="G134" s="59"/>
    </row>
    <row r="135" ht="12.0" customHeight="1">
      <c r="A135" s="333"/>
      <c r="B135" s="147"/>
      <c r="C135" s="147"/>
      <c r="D135" s="334"/>
      <c r="E135" s="334"/>
      <c r="F135" s="69"/>
      <c r="G135" s="59"/>
    </row>
    <row r="136" ht="12.0" customHeight="1">
      <c r="A136" s="333"/>
      <c r="B136" s="147"/>
      <c r="C136" s="147"/>
      <c r="D136" s="334"/>
      <c r="E136" s="334"/>
      <c r="F136" s="69"/>
      <c r="G136" s="59"/>
    </row>
    <row r="137" ht="12.0" customHeight="1">
      <c r="A137" s="333"/>
      <c r="B137" s="147"/>
      <c r="C137" s="147"/>
      <c r="D137" s="334"/>
      <c r="E137" s="334"/>
      <c r="F137" s="69"/>
      <c r="G137" s="59"/>
    </row>
    <row r="138" ht="12.0" customHeight="1">
      <c r="A138" s="333"/>
      <c r="B138" s="147"/>
      <c r="C138" s="147"/>
      <c r="D138" s="334"/>
      <c r="E138" s="334"/>
      <c r="F138" s="69"/>
      <c r="G138" s="59"/>
    </row>
    <row r="139" ht="12.0" customHeight="1">
      <c r="A139" s="333"/>
      <c r="B139" s="147"/>
      <c r="C139" s="147"/>
      <c r="D139" s="334"/>
      <c r="E139" s="334"/>
      <c r="F139" s="69"/>
      <c r="G139" s="59"/>
    </row>
    <row r="140" ht="12.0" customHeight="1">
      <c r="A140" s="333"/>
      <c r="B140" s="147"/>
      <c r="C140" s="147"/>
      <c r="D140" s="334"/>
      <c r="E140" s="334"/>
      <c r="F140" s="69"/>
      <c r="G140" s="59"/>
    </row>
    <row r="141" ht="12.0" customHeight="1">
      <c r="A141" s="333"/>
      <c r="B141" s="147"/>
      <c r="C141" s="147"/>
      <c r="D141" s="334"/>
      <c r="E141" s="334"/>
      <c r="F141" s="69"/>
      <c r="G141" s="59"/>
    </row>
    <row r="142" ht="12.0" customHeight="1">
      <c r="A142" s="333"/>
      <c r="B142" s="147"/>
      <c r="C142" s="147"/>
      <c r="D142" s="334"/>
      <c r="E142" s="334"/>
      <c r="F142" s="69"/>
      <c r="G142" s="59"/>
    </row>
    <row r="143" ht="12.0" customHeight="1">
      <c r="A143" s="333"/>
      <c r="B143" s="147"/>
      <c r="C143" s="147"/>
      <c r="D143" s="334"/>
      <c r="E143" s="334"/>
      <c r="F143" s="69"/>
      <c r="G143" s="59"/>
    </row>
    <row r="144" ht="12.0" customHeight="1">
      <c r="A144" s="333"/>
      <c r="B144" s="147"/>
      <c r="C144" s="147"/>
      <c r="D144" s="334"/>
      <c r="E144" s="334"/>
      <c r="F144" s="69"/>
      <c r="G144" s="59"/>
    </row>
    <row r="145" ht="12.0" customHeight="1">
      <c r="A145" s="333"/>
      <c r="B145" s="147"/>
      <c r="C145" s="147"/>
      <c r="D145" s="334"/>
      <c r="E145" s="334"/>
      <c r="F145" s="69"/>
      <c r="G145" s="59"/>
    </row>
    <row r="146" ht="12.0" customHeight="1">
      <c r="A146" s="333"/>
      <c r="B146" s="147"/>
      <c r="C146" s="147"/>
      <c r="D146" s="334"/>
      <c r="E146" s="334"/>
      <c r="F146" s="69"/>
      <c r="G146" s="59"/>
    </row>
    <row r="147" ht="12.0" customHeight="1">
      <c r="A147" s="333"/>
      <c r="B147" s="147"/>
      <c r="C147" s="147"/>
      <c r="D147" s="334"/>
      <c r="E147" s="334"/>
      <c r="F147" s="69"/>
      <c r="G147" s="59"/>
    </row>
    <row r="148" ht="12.0" customHeight="1">
      <c r="A148" s="333"/>
      <c r="B148" s="147"/>
      <c r="C148" s="147"/>
      <c r="D148" s="334"/>
      <c r="E148" s="334"/>
      <c r="F148" s="69"/>
      <c r="G148" s="59"/>
    </row>
    <row r="149" ht="12.0" customHeight="1">
      <c r="A149" s="333"/>
      <c r="B149" s="147"/>
      <c r="C149" s="147"/>
      <c r="D149" s="334"/>
      <c r="E149" s="334"/>
      <c r="F149" s="69"/>
      <c r="G149" s="59"/>
    </row>
    <row r="150" ht="12.0" customHeight="1">
      <c r="A150" s="333"/>
      <c r="B150" s="147"/>
      <c r="C150" s="147"/>
      <c r="D150" s="334"/>
      <c r="E150" s="334"/>
      <c r="F150" s="69"/>
      <c r="G150" s="59"/>
    </row>
    <row r="151" ht="12.0" customHeight="1">
      <c r="A151" s="333"/>
      <c r="B151" s="147"/>
      <c r="C151" s="147"/>
      <c r="D151" s="334"/>
      <c r="E151" s="334"/>
      <c r="F151" s="69"/>
      <c r="G151" s="59"/>
    </row>
    <row r="152" ht="12.0" customHeight="1">
      <c r="A152" s="333"/>
      <c r="B152" s="147"/>
      <c r="C152" s="147"/>
      <c r="D152" s="334"/>
      <c r="E152" s="334"/>
      <c r="F152" s="69"/>
      <c r="G152" s="59"/>
    </row>
    <row r="153" ht="12.0" customHeight="1">
      <c r="A153" s="333"/>
      <c r="B153" s="147"/>
      <c r="C153" s="147"/>
      <c r="D153" s="334"/>
      <c r="E153" s="334"/>
      <c r="F153" s="69"/>
      <c r="G153" s="59"/>
    </row>
    <row r="154" ht="12.0" customHeight="1">
      <c r="A154" s="333"/>
      <c r="B154" s="147"/>
      <c r="C154" s="147"/>
      <c r="D154" s="334"/>
      <c r="E154" s="334"/>
      <c r="F154" s="69"/>
      <c r="G154" s="59"/>
    </row>
    <row r="155" ht="12.0" customHeight="1">
      <c r="A155" s="333"/>
      <c r="B155" s="147"/>
      <c r="C155" s="147"/>
      <c r="D155" s="334"/>
      <c r="E155" s="334"/>
      <c r="F155" s="69"/>
      <c r="G155" s="59"/>
    </row>
    <row r="156" ht="12.0" customHeight="1">
      <c r="A156" s="333"/>
      <c r="B156" s="147"/>
      <c r="C156" s="147"/>
      <c r="D156" s="334"/>
      <c r="E156" s="334"/>
      <c r="F156" s="69"/>
      <c r="G156" s="59"/>
    </row>
    <row r="157" ht="12.0" customHeight="1">
      <c r="A157" s="333"/>
      <c r="B157" s="147"/>
      <c r="C157" s="147"/>
      <c r="D157" s="334"/>
      <c r="E157" s="334"/>
      <c r="F157" s="69"/>
      <c r="G157" s="59"/>
    </row>
    <row r="158" ht="12.0" customHeight="1">
      <c r="A158" s="333"/>
      <c r="B158" s="147"/>
      <c r="C158" s="147"/>
      <c r="D158" s="334"/>
      <c r="E158" s="334"/>
      <c r="F158" s="69"/>
      <c r="G158" s="59"/>
    </row>
    <row r="159" ht="12.0" customHeight="1">
      <c r="A159" s="333"/>
      <c r="B159" s="147"/>
      <c r="C159" s="147"/>
      <c r="D159" s="334"/>
      <c r="E159" s="334"/>
      <c r="F159" s="69"/>
      <c r="G159" s="59"/>
    </row>
    <row r="160" ht="12.0" customHeight="1">
      <c r="A160" s="333"/>
      <c r="B160" s="147"/>
      <c r="C160" s="147"/>
      <c r="D160" s="334"/>
      <c r="E160" s="334"/>
      <c r="F160" s="69"/>
      <c r="G160" s="59"/>
    </row>
    <row r="161" ht="12.0" customHeight="1">
      <c r="A161" s="333"/>
      <c r="B161" s="147"/>
      <c r="C161" s="147"/>
      <c r="D161" s="334"/>
      <c r="E161" s="334"/>
      <c r="F161" s="69"/>
      <c r="G161" s="59"/>
    </row>
    <row r="162" ht="12.0" customHeight="1">
      <c r="A162" s="333"/>
      <c r="B162" s="147"/>
      <c r="C162" s="147"/>
      <c r="D162" s="334"/>
      <c r="E162" s="334"/>
      <c r="F162" s="69"/>
      <c r="G162" s="59"/>
    </row>
    <row r="163" ht="12.0" customHeight="1">
      <c r="A163" s="333"/>
      <c r="B163" s="147"/>
      <c r="C163" s="147"/>
      <c r="D163" s="334"/>
      <c r="E163" s="334"/>
      <c r="F163" s="69"/>
      <c r="G163" s="59"/>
    </row>
    <row r="164" ht="12.0" customHeight="1">
      <c r="A164" s="333"/>
      <c r="B164" s="147"/>
      <c r="C164" s="147"/>
      <c r="D164" s="334"/>
      <c r="E164" s="334"/>
      <c r="F164" s="69"/>
      <c r="G164" s="59"/>
    </row>
    <row r="165" ht="12.0" customHeight="1">
      <c r="A165" s="333"/>
      <c r="B165" s="147"/>
      <c r="C165" s="147"/>
      <c r="D165" s="334"/>
      <c r="E165" s="334"/>
      <c r="F165" s="69"/>
      <c r="G165" s="59"/>
    </row>
    <row r="166" ht="12.0" customHeight="1">
      <c r="A166" s="333"/>
      <c r="B166" s="147"/>
      <c r="C166" s="147"/>
      <c r="D166" s="334"/>
      <c r="E166" s="334"/>
      <c r="F166" s="69"/>
      <c r="G166" s="59"/>
    </row>
    <row r="167" ht="12.0" customHeight="1">
      <c r="A167" s="333"/>
      <c r="B167" s="147"/>
      <c r="C167" s="147"/>
      <c r="D167" s="334"/>
      <c r="E167" s="334"/>
      <c r="F167" s="69"/>
      <c r="G167" s="59"/>
    </row>
    <row r="168" ht="12.0" customHeight="1">
      <c r="A168" s="333"/>
      <c r="B168" s="147"/>
      <c r="C168" s="147"/>
      <c r="D168" s="334"/>
      <c r="E168" s="334"/>
      <c r="F168" s="69"/>
      <c r="G168" s="59"/>
    </row>
    <row r="169" ht="12.0" customHeight="1">
      <c r="A169" s="333"/>
      <c r="B169" s="147"/>
      <c r="C169" s="147"/>
      <c r="D169" s="334"/>
      <c r="E169" s="334"/>
      <c r="F169" s="69"/>
      <c r="G169" s="59"/>
    </row>
    <row r="170" ht="12.0" customHeight="1">
      <c r="A170" s="333"/>
      <c r="B170" s="147"/>
      <c r="C170" s="147"/>
      <c r="D170" s="334"/>
      <c r="E170" s="334"/>
      <c r="F170" s="69"/>
      <c r="G170" s="59"/>
    </row>
    <row r="171" ht="12.0" customHeight="1">
      <c r="A171" s="333"/>
      <c r="B171" s="147"/>
      <c r="C171" s="147"/>
      <c r="D171" s="334"/>
      <c r="E171" s="334"/>
      <c r="F171" s="69"/>
      <c r="G171" s="59"/>
    </row>
    <row r="172" ht="12.0" customHeight="1">
      <c r="A172" s="333"/>
      <c r="B172" s="147"/>
      <c r="C172" s="147"/>
      <c r="D172" s="334"/>
      <c r="E172" s="334"/>
      <c r="F172" s="69"/>
      <c r="G172" s="59"/>
    </row>
    <row r="173" ht="12.0" customHeight="1">
      <c r="A173" s="333"/>
      <c r="B173" s="147"/>
      <c r="C173" s="147"/>
      <c r="D173" s="334"/>
      <c r="E173" s="334"/>
      <c r="F173" s="69"/>
      <c r="G173" s="59"/>
    </row>
    <row r="174" ht="12.0" customHeight="1">
      <c r="A174" s="333"/>
      <c r="B174" s="147"/>
      <c r="C174" s="147"/>
      <c r="D174" s="334"/>
      <c r="E174" s="334"/>
      <c r="F174" s="69"/>
      <c r="G174" s="59"/>
    </row>
    <row r="175" ht="12.0" customHeight="1">
      <c r="A175" s="333"/>
      <c r="B175" s="147"/>
      <c r="C175" s="147"/>
      <c r="D175" s="334"/>
      <c r="E175" s="334"/>
      <c r="F175" s="69"/>
      <c r="G175" s="59"/>
    </row>
    <row r="176" ht="12.0" customHeight="1">
      <c r="A176" s="333"/>
      <c r="B176" s="147"/>
      <c r="C176" s="147"/>
      <c r="D176" s="334"/>
      <c r="E176" s="334"/>
      <c r="F176" s="69"/>
      <c r="G176" s="59"/>
    </row>
    <row r="177" ht="12.0" customHeight="1">
      <c r="A177" s="333"/>
      <c r="B177" s="147"/>
      <c r="C177" s="147"/>
      <c r="D177" s="334"/>
      <c r="E177" s="334"/>
      <c r="F177" s="69"/>
      <c r="G177" s="59"/>
    </row>
    <row r="178" ht="12.0" customHeight="1">
      <c r="A178" s="333"/>
      <c r="B178" s="147"/>
      <c r="C178" s="147"/>
      <c r="D178" s="334"/>
      <c r="E178" s="334"/>
      <c r="F178" s="69"/>
      <c r="G178" s="59"/>
    </row>
    <row r="179" ht="12.0" customHeight="1">
      <c r="A179" s="333"/>
      <c r="B179" s="147"/>
      <c r="C179" s="147"/>
      <c r="D179" s="334"/>
      <c r="E179" s="334"/>
      <c r="F179" s="69"/>
      <c r="G179" s="59"/>
    </row>
    <row r="180" ht="12.0" customHeight="1">
      <c r="A180" s="333"/>
      <c r="B180" s="147"/>
      <c r="C180" s="147"/>
      <c r="D180" s="334"/>
      <c r="E180" s="334"/>
      <c r="F180" s="69"/>
      <c r="G180" s="59"/>
    </row>
    <row r="181" ht="12.0" customHeight="1">
      <c r="A181" s="333"/>
      <c r="B181" s="147"/>
      <c r="C181" s="147"/>
      <c r="D181" s="334"/>
      <c r="E181" s="334"/>
      <c r="F181" s="69"/>
      <c r="G181" s="59"/>
    </row>
    <row r="182" ht="12.0" customHeight="1">
      <c r="A182" s="333"/>
      <c r="B182" s="147"/>
      <c r="C182" s="147"/>
      <c r="D182" s="334"/>
      <c r="E182" s="334"/>
      <c r="F182" s="69"/>
      <c r="G182" s="59"/>
    </row>
    <row r="183" ht="12.0" customHeight="1">
      <c r="A183" s="333"/>
      <c r="B183" s="147"/>
      <c r="C183" s="147"/>
      <c r="D183" s="334"/>
      <c r="E183" s="334"/>
      <c r="F183" s="69"/>
      <c r="G183" s="59"/>
    </row>
    <row r="184" ht="12.0" customHeight="1">
      <c r="A184" s="333"/>
      <c r="B184" s="147"/>
      <c r="C184" s="147"/>
      <c r="D184" s="334"/>
      <c r="E184" s="334"/>
      <c r="F184" s="69"/>
      <c r="G184" s="59"/>
    </row>
    <row r="185" ht="12.0" customHeight="1">
      <c r="A185" s="333"/>
      <c r="B185" s="147"/>
      <c r="C185" s="147"/>
      <c r="D185" s="334"/>
      <c r="E185" s="334"/>
      <c r="F185" s="69"/>
      <c r="G185" s="59"/>
    </row>
    <row r="186" ht="12.0" customHeight="1">
      <c r="A186" s="333"/>
      <c r="B186" s="147"/>
      <c r="C186" s="147"/>
      <c r="D186" s="334"/>
      <c r="E186" s="334"/>
      <c r="F186" s="69"/>
      <c r="G186" s="59"/>
    </row>
    <row r="187" ht="12.0" customHeight="1">
      <c r="A187" s="333"/>
      <c r="B187" s="147"/>
      <c r="C187" s="147"/>
      <c r="D187" s="334"/>
      <c r="E187" s="334"/>
      <c r="F187" s="69"/>
      <c r="G187" s="59"/>
    </row>
    <row r="188" ht="12.0" customHeight="1">
      <c r="A188" s="333"/>
      <c r="B188" s="147"/>
      <c r="C188" s="147"/>
      <c r="D188" s="334"/>
      <c r="E188" s="334"/>
      <c r="F188" s="69"/>
      <c r="G188" s="59"/>
    </row>
    <row r="189" ht="12.0" customHeight="1">
      <c r="A189" s="333"/>
      <c r="B189" s="147"/>
      <c r="C189" s="147"/>
      <c r="D189" s="334"/>
      <c r="E189" s="334"/>
      <c r="F189" s="69"/>
      <c r="G189" s="59"/>
    </row>
    <row r="190" ht="12.0" customHeight="1">
      <c r="A190" s="333"/>
      <c r="B190" s="147"/>
      <c r="C190" s="147"/>
      <c r="D190" s="334"/>
      <c r="E190" s="334"/>
      <c r="F190" s="69"/>
      <c r="G190" s="59"/>
    </row>
    <row r="191" ht="12.0" customHeight="1">
      <c r="A191" s="333"/>
      <c r="B191" s="147"/>
      <c r="C191" s="147"/>
      <c r="D191" s="334"/>
      <c r="E191" s="334"/>
      <c r="F191" s="69"/>
      <c r="G191" s="59"/>
    </row>
    <row r="192" ht="12.0" customHeight="1">
      <c r="A192" s="333"/>
      <c r="B192" s="147"/>
      <c r="C192" s="147"/>
      <c r="D192" s="334"/>
      <c r="E192" s="334"/>
      <c r="F192" s="69"/>
      <c r="G192" s="59"/>
    </row>
    <row r="193" ht="12.0" customHeight="1">
      <c r="A193" s="333"/>
      <c r="B193" s="147"/>
      <c r="C193" s="147"/>
      <c r="D193" s="334"/>
      <c r="E193" s="334"/>
      <c r="F193" s="69"/>
      <c r="G193" s="59"/>
    </row>
    <row r="194" ht="12.0" customHeight="1">
      <c r="A194" s="333"/>
      <c r="B194" s="147"/>
      <c r="C194" s="147"/>
      <c r="D194" s="334"/>
      <c r="E194" s="334"/>
      <c r="F194" s="69"/>
      <c r="G194" s="59"/>
    </row>
    <row r="195" ht="12.0" customHeight="1">
      <c r="A195" s="333"/>
      <c r="B195" s="147"/>
      <c r="C195" s="147"/>
      <c r="D195" s="334"/>
      <c r="E195" s="334"/>
      <c r="F195" s="69"/>
      <c r="G195" s="59"/>
    </row>
    <row r="196" ht="12.0" customHeight="1">
      <c r="A196" s="333"/>
      <c r="B196" s="147"/>
      <c r="C196" s="147"/>
      <c r="D196" s="334"/>
      <c r="E196" s="334"/>
      <c r="F196" s="69"/>
      <c r="G196" s="59"/>
    </row>
    <row r="197" ht="12.0" customHeight="1">
      <c r="A197" s="333"/>
      <c r="B197" s="147"/>
      <c r="C197" s="147"/>
      <c r="D197" s="334"/>
      <c r="E197" s="334"/>
      <c r="F197" s="69"/>
      <c r="G197" s="59"/>
    </row>
    <row r="198" ht="12.0" customHeight="1">
      <c r="A198" s="333"/>
      <c r="B198" s="147"/>
      <c r="C198" s="147"/>
      <c r="D198" s="334"/>
      <c r="E198" s="334"/>
      <c r="F198" s="69"/>
      <c r="G198" s="59"/>
    </row>
    <row r="199" ht="12.0" customHeight="1">
      <c r="A199" s="333"/>
      <c r="B199" s="147"/>
      <c r="C199" s="147"/>
      <c r="D199" s="334"/>
      <c r="E199" s="334"/>
      <c r="F199" s="69"/>
      <c r="G199" s="59"/>
    </row>
    <row r="200" ht="12.0" customHeight="1">
      <c r="A200" s="333"/>
      <c r="B200" s="147"/>
      <c r="C200" s="147"/>
      <c r="D200" s="334"/>
      <c r="E200" s="334"/>
      <c r="F200" s="69"/>
      <c r="G200" s="59"/>
    </row>
    <row r="201" ht="12.0" customHeight="1">
      <c r="A201" s="333"/>
      <c r="B201" s="147"/>
      <c r="C201" s="147"/>
      <c r="D201" s="334"/>
      <c r="E201" s="334"/>
      <c r="F201" s="69"/>
      <c r="G201" s="59"/>
    </row>
    <row r="202" ht="12.0" customHeight="1">
      <c r="A202" s="333"/>
      <c r="B202" s="147"/>
      <c r="C202" s="147"/>
      <c r="D202" s="334"/>
      <c r="E202" s="334"/>
      <c r="F202" s="69"/>
      <c r="G202" s="59"/>
    </row>
    <row r="203" ht="12.0" customHeight="1">
      <c r="A203" s="333"/>
      <c r="B203" s="147"/>
      <c r="C203" s="147"/>
      <c r="D203" s="334"/>
      <c r="E203" s="334"/>
      <c r="F203" s="69"/>
      <c r="G203" s="59"/>
    </row>
    <row r="204" ht="12.0" customHeight="1">
      <c r="A204" s="333"/>
      <c r="B204" s="147"/>
      <c r="C204" s="147"/>
      <c r="D204" s="334"/>
      <c r="E204" s="334"/>
      <c r="F204" s="69"/>
      <c r="G204" s="59"/>
    </row>
    <row r="205" ht="12.0" customHeight="1">
      <c r="A205" s="333"/>
      <c r="B205" s="147"/>
      <c r="C205" s="147"/>
      <c r="D205" s="334"/>
      <c r="E205" s="334"/>
      <c r="F205" s="69"/>
      <c r="G205" s="59"/>
    </row>
    <row r="206" ht="12.0" customHeight="1">
      <c r="A206" s="333"/>
      <c r="B206" s="147"/>
      <c r="C206" s="147"/>
      <c r="D206" s="334"/>
      <c r="E206" s="334"/>
      <c r="F206" s="69"/>
      <c r="G206" s="59"/>
    </row>
    <row r="207" ht="12.0" customHeight="1">
      <c r="A207" s="333"/>
      <c r="B207" s="147"/>
      <c r="C207" s="147"/>
      <c r="D207" s="334"/>
      <c r="E207" s="334"/>
      <c r="F207" s="69"/>
      <c r="G207" s="59"/>
    </row>
    <row r="208" ht="12.0" customHeight="1">
      <c r="A208" s="333"/>
      <c r="B208" s="147"/>
      <c r="C208" s="147"/>
      <c r="D208" s="334"/>
      <c r="E208" s="334"/>
      <c r="F208" s="69"/>
      <c r="G208" s="59"/>
    </row>
    <row r="209" ht="12.0" customHeight="1">
      <c r="A209" s="333"/>
      <c r="B209" s="147"/>
      <c r="C209" s="147"/>
      <c r="D209" s="334"/>
      <c r="E209" s="334"/>
      <c r="F209" s="69"/>
      <c r="G209" s="59"/>
    </row>
    <row r="210" ht="12.0" customHeight="1">
      <c r="A210" s="333"/>
      <c r="B210" s="147"/>
      <c r="C210" s="147"/>
      <c r="D210" s="334"/>
      <c r="E210" s="334"/>
      <c r="F210" s="69"/>
      <c r="G210" s="59"/>
    </row>
    <row r="211" ht="12.0" customHeight="1">
      <c r="A211" s="333"/>
      <c r="B211" s="147"/>
      <c r="C211" s="147"/>
      <c r="D211" s="334"/>
      <c r="E211" s="334"/>
      <c r="F211" s="69"/>
      <c r="G211" s="59"/>
    </row>
    <row r="212" ht="12.0" customHeight="1">
      <c r="A212" s="333"/>
      <c r="B212" s="147"/>
      <c r="C212" s="147"/>
      <c r="D212" s="334"/>
      <c r="E212" s="334"/>
      <c r="F212" s="69"/>
      <c r="G212" s="59"/>
    </row>
    <row r="213" ht="12.0" customHeight="1">
      <c r="A213" s="333"/>
      <c r="B213" s="147"/>
      <c r="C213" s="147"/>
      <c r="D213" s="334"/>
      <c r="E213" s="334"/>
      <c r="F213" s="69"/>
      <c r="G213" s="59"/>
    </row>
    <row r="214" ht="12.0" customHeight="1">
      <c r="A214" s="333"/>
      <c r="B214" s="147"/>
      <c r="C214" s="147"/>
      <c r="D214" s="334"/>
      <c r="E214" s="334"/>
      <c r="F214" s="69"/>
      <c r="G214" s="59"/>
    </row>
    <row r="215" ht="12.0" customHeight="1">
      <c r="A215" s="333"/>
      <c r="B215" s="147"/>
      <c r="C215" s="147"/>
      <c r="D215" s="334"/>
      <c r="E215" s="334"/>
      <c r="F215" s="69"/>
      <c r="G215" s="59"/>
    </row>
    <row r="216" ht="12.0" customHeight="1">
      <c r="A216" s="333"/>
      <c r="B216" s="147"/>
      <c r="C216" s="147"/>
      <c r="D216" s="334"/>
      <c r="E216" s="334"/>
      <c r="F216" s="69"/>
      <c r="G216" s="59"/>
    </row>
    <row r="217" ht="12.0" customHeight="1">
      <c r="A217" s="333"/>
      <c r="B217" s="147"/>
      <c r="C217" s="147"/>
      <c r="D217" s="334"/>
      <c r="E217" s="334"/>
      <c r="F217" s="69"/>
      <c r="G217" s="59"/>
    </row>
    <row r="218" ht="12.0" customHeight="1">
      <c r="A218" s="333"/>
      <c r="B218" s="147"/>
      <c r="C218" s="147"/>
      <c r="D218" s="334"/>
      <c r="E218" s="334"/>
      <c r="F218" s="69"/>
      <c r="G218" s="59"/>
    </row>
    <row r="219" ht="12.0" customHeight="1">
      <c r="A219" s="333"/>
      <c r="B219" s="147"/>
      <c r="C219" s="147"/>
      <c r="D219" s="334"/>
      <c r="E219" s="334"/>
      <c r="F219" s="69"/>
      <c r="G219" s="59"/>
    </row>
    <row r="220" ht="12.0" customHeight="1">
      <c r="A220" s="333"/>
      <c r="B220" s="147"/>
      <c r="C220" s="147"/>
      <c r="D220" s="334"/>
      <c r="E220" s="334"/>
      <c r="F220" s="69"/>
      <c r="G220" s="59"/>
    </row>
    <row r="221" ht="12.0" customHeight="1">
      <c r="A221" s="333"/>
      <c r="B221" s="147"/>
      <c r="C221" s="147"/>
      <c r="D221" s="334"/>
      <c r="E221" s="334"/>
      <c r="F221" s="69"/>
      <c r="G221" s="59"/>
    </row>
    <row r="222" ht="12.0" customHeight="1">
      <c r="A222" s="333"/>
      <c r="B222" s="147"/>
      <c r="C222" s="147"/>
      <c r="D222" s="334"/>
      <c r="E222" s="334"/>
      <c r="F222" s="69"/>
      <c r="G222" s="59"/>
    </row>
    <row r="223" ht="12.0" customHeight="1">
      <c r="A223" s="333"/>
      <c r="B223" s="147"/>
      <c r="C223" s="147"/>
      <c r="D223" s="334"/>
      <c r="E223" s="334"/>
      <c r="F223" s="69"/>
      <c r="G223" s="59"/>
    </row>
    <row r="224" ht="12.0" customHeight="1">
      <c r="A224" s="333"/>
      <c r="B224" s="147"/>
      <c r="C224" s="147"/>
      <c r="D224" s="334"/>
      <c r="E224" s="334"/>
      <c r="F224" s="69"/>
      <c r="G224" s="59"/>
    </row>
    <row r="225" ht="12.0" customHeight="1">
      <c r="A225" s="333"/>
      <c r="B225" s="147"/>
      <c r="C225" s="147"/>
      <c r="D225" s="334"/>
      <c r="E225" s="334"/>
      <c r="F225" s="69"/>
      <c r="G225" s="59"/>
    </row>
    <row r="226" ht="12.0" customHeight="1">
      <c r="A226" s="333"/>
      <c r="B226" s="147"/>
      <c r="C226" s="147"/>
      <c r="D226" s="334"/>
      <c r="E226" s="334"/>
      <c r="F226" s="69"/>
      <c r="G226" s="59"/>
    </row>
    <row r="227" ht="12.0" customHeight="1">
      <c r="A227" s="333"/>
      <c r="B227" s="147"/>
      <c r="C227" s="147"/>
      <c r="D227" s="334"/>
      <c r="E227" s="334"/>
      <c r="F227" s="69"/>
      <c r="G227" s="59"/>
    </row>
    <row r="228" ht="12.0" customHeight="1">
      <c r="A228" s="333"/>
      <c r="B228" s="147"/>
      <c r="C228" s="147"/>
      <c r="D228" s="334"/>
      <c r="E228" s="334"/>
      <c r="F228" s="69"/>
      <c r="G228" s="59"/>
    </row>
    <row r="229" ht="12.0" customHeight="1">
      <c r="A229" s="333"/>
      <c r="B229" s="147"/>
      <c r="C229" s="147"/>
      <c r="D229" s="334"/>
      <c r="E229" s="334"/>
      <c r="F229" s="69"/>
      <c r="G229" s="59"/>
    </row>
    <row r="230" ht="12.0" customHeight="1">
      <c r="A230" s="333"/>
      <c r="B230" s="147"/>
      <c r="C230" s="147"/>
      <c r="D230" s="334"/>
      <c r="E230" s="334"/>
      <c r="F230" s="69"/>
      <c r="G230" s="59"/>
    </row>
    <row r="231" ht="12.0" customHeight="1">
      <c r="A231" s="333"/>
      <c r="B231" s="147"/>
      <c r="C231" s="147"/>
      <c r="D231" s="334"/>
      <c r="E231" s="334"/>
      <c r="F231" s="69"/>
      <c r="G231" s="59"/>
    </row>
    <row r="232" ht="12.0" customHeight="1">
      <c r="A232" s="333"/>
      <c r="B232" s="147"/>
      <c r="C232" s="147"/>
      <c r="D232" s="334"/>
      <c r="E232" s="334"/>
      <c r="F232" s="69"/>
      <c r="G232" s="59"/>
    </row>
    <row r="233" ht="12.0" customHeight="1">
      <c r="A233" s="333"/>
      <c r="B233" s="147"/>
      <c r="C233" s="147"/>
      <c r="D233" s="334"/>
      <c r="E233" s="334"/>
      <c r="F233" s="69"/>
      <c r="G233" s="59"/>
    </row>
    <row r="234" ht="12.0" customHeight="1">
      <c r="A234" s="333"/>
      <c r="B234" s="147"/>
      <c r="C234" s="147"/>
      <c r="D234" s="334"/>
      <c r="E234" s="334"/>
      <c r="F234" s="69"/>
      <c r="G234" s="59"/>
    </row>
    <row r="235" ht="12.0" customHeight="1">
      <c r="A235" s="333"/>
      <c r="B235" s="147"/>
      <c r="C235" s="147"/>
      <c r="D235" s="334"/>
      <c r="E235" s="334"/>
      <c r="F235" s="69"/>
      <c r="G235" s="59"/>
    </row>
    <row r="236" ht="12.0" customHeight="1">
      <c r="A236" s="333"/>
      <c r="B236" s="147"/>
      <c r="C236" s="147"/>
      <c r="D236" s="334"/>
      <c r="E236" s="334"/>
      <c r="F236" s="69"/>
      <c r="G236" s="59"/>
    </row>
    <row r="237" ht="12.0" customHeight="1">
      <c r="A237" s="333"/>
      <c r="B237" s="147"/>
      <c r="C237" s="147"/>
      <c r="D237" s="334"/>
      <c r="E237" s="334"/>
      <c r="F237" s="69"/>
      <c r="G237" s="59"/>
    </row>
    <row r="238" ht="12.0" customHeight="1">
      <c r="A238" s="333"/>
      <c r="B238" s="147"/>
      <c r="C238" s="147"/>
      <c r="D238" s="334"/>
      <c r="E238" s="334"/>
      <c r="F238" s="69"/>
      <c r="G238" s="59"/>
    </row>
    <row r="239" ht="12.0" customHeight="1">
      <c r="A239" s="333"/>
      <c r="B239" s="147"/>
      <c r="C239" s="147"/>
      <c r="D239" s="334"/>
      <c r="E239" s="334"/>
      <c r="F239" s="69"/>
      <c r="G239" s="59"/>
    </row>
    <row r="240" ht="12.0" customHeight="1">
      <c r="A240" s="333"/>
      <c r="B240" s="147"/>
      <c r="C240" s="147"/>
      <c r="D240" s="334"/>
      <c r="E240" s="334"/>
      <c r="F240" s="69"/>
      <c r="G240" s="59"/>
    </row>
    <row r="241" ht="12.0" customHeight="1">
      <c r="A241" s="333"/>
      <c r="B241" s="147"/>
      <c r="C241" s="147"/>
      <c r="D241" s="334"/>
      <c r="E241" s="334"/>
      <c r="F241" s="69"/>
      <c r="G241" s="59"/>
    </row>
    <row r="242" ht="12.0" customHeight="1">
      <c r="A242" s="333"/>
      <c r="B242" s="147"/>
      <c r="C242" s="147"/>
      <c r="D242" s="334"/>
      <c r="E242" s="334"/>
      <c r="F242" s="69"/>
      <c r="G242" s="59"/>
    </row>
    <row r="243" ht="12.0" customHeight="1">
      <c r="A243" s="333"/>
      <c r="B243" s="147"/>
      <c r="C243" s="147"/>
      <c r="D243" s="334"/>
      <c r="E243" s="334"/>
      <c r="F243" s="69"/>
      <c r="G243" s="59"/>
    </row>
    <row r="244" ht="12.0" customHeight="1">
      <c r="A244" s="333"/>
      <c r="B244" s="147"/>
      <c r="C244" s="147"/>
      <c r="D244" s="334"/>
      <c r="E244" s="334"/>
      <c r="F244" s="69"/>
      <c r="G244" s="59"/>
    </row>
    <row r="245" ht="12.0" customHeight="1">
      <c r="A245" s="333"/>
      <c r="B245" s="147"/>
      <c r="C245" s="147"/>
      <c r="D245" s="334"/>
      <c r="E245" s="334"/>
      <c r="F245" s="69"/>
      <c r="G245" s="59"/>
    </row>
    <row r="246" ht="12.0" customHeight="1">
      <c r="A246" s="333"/>
      <c r="B246" s="147"/>
      <c r="C246" s="147"/>
      <c r="D246" s="334"/>
      <c r="E246" s="334"/>
      <c r="F246" s="69"/>
      <c r="G246" s="59"/>
    </row>
    <row r="247" ht="12.0" customHeight="1">
      <c r="A247" s="333"/>
      <c r="B247" s="147"/>
      <c r="C247" s="147"/>
      <c r="D247" s="334"/>
      <c r="E247" s="334"/>
      <c r="F247" s="69"/>
      <c r="G247" s="59"/>
    </row>
    <row r="248" ht="12.0" customHeight="1">
      <c r="A248" s="333"/>
      <c r="B248" s="147"/>
      <c r="C248" s="147"/>
      <c r="D248" s="334"/>
      <c r="E248" s="334"/>
      <c r="F248" s="69"/>
      <c r="G248" s="59"/>
    </row>
    <row r="249" ht="12.0" customHeight="1">
      <c r="A249" s="333"/>
      <c r="B249" s="147"/>
      <c r="C249" s="147"/>
      <c r="D249" s="334"/>
      <c r="E249" s="334"/>
      <c r="F249" s="69"/>
      <c r="G249" s="59"/>
    </row>
    <row r="250" ht="12.0" customHeight="1">
      <c r="A250" s="333"/>
      <c r="B250" s="147"/>
      <c r="C250" s="147"/>
      <c r="D250" s="334"/>
      <c r="E250" s="334"/>
      <c r="F250" s="69"/>
      <c r="G250" s="59"/>
    </row>
    <row r="251" ht="12.0" customHeight="1">
      <c r="A251" s="333"/>
      <c r="B251" s="147"/>
      <c r="C251" s="147"/>
      <c r="D251" s="334"/>
      <c r="E251" s="334"/>
      <c r="F251" s="69"/>
      <c r="G251" s="59"/>
    </row>
    <row r="252" ht="12.0" customHeight="1">
      <c r="A252" s="333"/>
      <c r="B252" s="147"/>
      <c r="C252" s="147"/>
      <c r="D252" s="334"/>
      <c r="E252" s="334"/>
      <c r="F252" s="69"/>
      <c r="G252" s="59"/>
    </row>
    <row r="253" ht="12.0" customHeight="1">
      <c r="A253" s="333"/>
      <c r="B253" s="147"/>
      <c r="C253" s="147"/>
      <c r="D253" s="334"/>
      <c r="E253" s="334"/>
      <c r="F253" s="69"/>
      <c r="G253" s="59"/>
    </row>
    <row r="254" ht="12.0" customHeight="1">
      <c r="A254" s="333"/>
      <c r="B254" s="147"/>
      <c r="C254" s="147"/>
      <c r="D254" s="334"/>
      <c r="E254" s="334"/>
      <c r="F254" s="69"/>
      <c r="G254" s="59"/>
    </row>
    <row r="255" ht="12.0" customHeight="1">
      <c r="A255" s="333"/>
      <c r="B255" s="147"/>
      <c r="C255" s="147"/>
      <c r="D255" s="334"/>
      <c r="E255" s="334"/>
      <c r="F255" s="69"/>
      <c r="G255" s="59"/>
    </row>
    <row r="256" ht="12.0" customHeight="1">
      <c r="A256" s="333"/>
      <c r="B256" s="147"/>
      <c r="C256" s="147"/>
      <c r="D256" s="334"/>
      <c r="E256" s="334"/>
      <c r="F256" s="69"/>
      <c r="G256" s="59"/>
    </row>
    <row r="257" ht="12.0" customHeight="1">
      <c r="A257" s="333"/>
      <c r="B257" s="147"/>
      <c r="C257" s="147"/>
      <c r="D257" s="334"/>
      <c r="E257" s="334"/>
      <c r="F257" s="69"/>
      <c r="G257" s="59"/>
    </row>
    <row r="258" ht="12.0" customHeight="1">
      <c r="A258" s="333"/>
      <c r="B258" s="147"/>
      <c r="C258" s="147"/>
      <c r="D258" s="334"/>
      <c r="E258" s="334"/>
      <c r="F258" s="69"/>
      <c r="G258" s="59"/>
    </row>
    <row r="259" ht="12.0" customHeight="1">
      <c r="A259" s="333"/>
      <c r="B259" s="147"/>
      <c r="C259" s="147"/>
      <c r="D259" s="334"/>
      <c r="E259" s="334"/>
      <c r="F259" s="69"/>
      <c r="G259" s="59"/>
    </row>
    <row r="260" ht="12.0" customHeight="1">
      <c r="A260" s="333"/>
      <c r="B260" s="147"/>
      <c r="C260" s="147"/>
      <c r="D260" s="334"/>
      <c r="E260" s="334"/>
      <c r="F260" s="69"/>
      <c r="G260" s="59"/>
    </row>
    <row r="261" ht="12.0" customHeight="1">
      <c r="A261" s="333"/>
      <c r="B261" s="147"/>
      <c r="C261" s="147"/>
      <c r="D261" s="334"/>
      <c r="E261" s="334"/>
      <c r="F261" s="69"/>
      <c r="G261" s="59"/>
    </row>
    <row r="262" ht="12.0" customHeight="1">
      <c r="A262" s="333"/>
      <c r="B262" s="147"/>
      <c r="C262" s="147"/>
      <c r="D262" s="334"/>
      <c r="E262" s="334"/>
      <c r="F262" s="69"/>
      <c r="G262" s="59"/>
    </row>
    <row r="263" ht="12.0" customHeight="1">
      <c r="A263" s="333"/>
      <c r="B263" s="147"/>
      <c r="C263" s="147"/>
      <c r="D263" s="334"/>
      <c r="E263" s="334"/>
      <c r="F263" s="69"/>
      <c r="G263" s="59"/>
    </row>
    <row r="264" ht="12.0" customHeight="1">
      <c r="A264" s="333"/>
      <c r="B264" s="147"/>
      <c r="C264" s="147"/>
      <c r="D264" s="334"/>
      <c r="E264" s="334"/>
      <c r="F264" s="69"/>
      <c r="G264" s="59"/>
    </row>
    <row r="265" ht="12.0" customHeight="1">
      <c r="A265" s="333"/>
      <c r="B265" s="147"/>
      <c r="C265" s="147"/>
      <c r="D265" s="334"/>
      <c r="E265" s="334"/>
      <c r="F265" s="69"/>
      <c r="G265" s="59"/>
    </row>
    <row r="266" ht="12.0" customHeight="1">
      <c r="A266" s="333"/>
      <c r="B266" s="147"/>
      <c r="C266" s="147"/>
      <c r="D266" s="334"/>
      <c r="E266" s="334"/>
      <c r="F266" s="69"/>
      <c r="G266" s="59"/>
    </row>
    <row r="267" ht="12.0" customHeight="1">
      <c r="A267" s="333"/>
      <c r="B267" s="147"/>
      <c r="C267" s="147"/>
      <c r="D267" s="334"/>
      <c r="E267" s="334"/>
      <c r="F267" s="69"/>
      <c r="G267" s="59"/>
    </row>
    <row r="268" ht="12.0" customHeight="1">
      <c r="A268" s="333"/>
      <c r="B268" s="147"/>
      <c r="C268" s="147"/>
      <c r="D268" s="334"/>
      <c r="E268" s="334"/>
      <c r="F268" s="69"/>
      <c r="G268" s="59"/>
    </row>
    <row r="269" ht="12.0" customHeight="1">
      <c r="A269" s="333"/>
      <c r="B269" s="147"/>
      <c r="C269" s="147"/>
      <c r="D269" s="334"/>
      <c r="E269" s="334"/>
      <c r="F269" s="69"/>
      <c r="G269" s="59"/>
    </row>
    <row r="270" ht="12.0" customHeight="1">
      <c r="A270" s="333"/>
      <c r="B270" s="147"/>
      <c r="C270" s="147"/>
      <c r="D270" s="334"/>
      <c r="E270" s="334"/>
      <c r="F270" s="69"/>
      <c r="G270" s="59"/>
    </row>
    <row r="271" ht="12.0" customHeight="1">
      <c r="A271" s="333"/>
      <c r="B271" s="147"/>
      <c r="C271" s="147"/>
      <c r="D271" s="334"/>
      <c r="E271" s="334"/>
      <c r="F271" s="69"/>
      <c r="G271" s="59"/>
    </row>
    <row r="272" ht="12.0" customHeight="1">
      <c r="A272" s="333"/>
      <c r="B272" s="147"/>
      <c r="C272" s="147"/>
      <c r="D272" s="334"/>
      <c r="E272" s="334"/>
      <c r="F272" s="69"/>
      <c r="G272" s="59"/>
    </row>
    <row r="273" ht="12.0" customHeight="1">
      <c r="A273" s="333"/>
      <c r="B273" s="147"/>
      <c r="C273" s="147"/>
      <c r="D273" s="334"/>
      <c r="E273" s="334"/>
      <c r="F273" s="69"/>
      <c r="G273" s="59"/>
    </row>
    <row r="274" ht="12.0" customHeight="1">
      <c r="A274" s="333"/>
      <c r="B274" s="147"/>
      <c r="C274" s="147"/>
      <c r="D274" s="334"/>
      <c r="E274" s="334"/>
      <c r="F274" s="69"/>
      <c r="G274" s="59"/>
    </row>
    <row r="275" ht="12.0" customHeight="1">
      <c r="A275" s="333"/>
      <c r="B275" s="147"/>
      <c r="C275" s="147"/>
      <c r="D275" s="334"/>
      <c r="E275" s="334"/>
      <c r="F275" s="69"/>
      <c r="G275" s="59"/>
    </row>
    <row r="276" ht="12.0" customHeight="1">
      <c r="A276" s="333"/>
      <c r="B276" s="147"/>
      <c r="C276" s="147"/>
      <c r="D276" s="334"/>
      <c r="E276" s="334"/>
      <c r="F276" s="69"/>
      <c r="G276" s="59"/>
    </row>
    <row r="277" ht="12.0" customHeight="1">
      <c r="A277" s="333"/>
      <c r="B277" s="147"/>
      <c r="C277" s="147"/>
      <c r="D277" s="334"/>
      <c r="E277" s="334"/>
      <c r="F277" s="69"/>
      <c r="G277" s="59"/>
    </row>
    <row r="278" ht="12.0" customHeight="1">
      <c r="A278" s="333"/>
      <c r="B278" s="147"/>
      <c r="C278" s="147"/>
      <c r="D278" s="334"/>
      <c r="E278" s="334"/>
      <c r="F278" s="69"/>
      <c r="G278" s="59"/>
    </row>
    <row r="279" ht="12.0" customHeight="1">
      <c r="A279" s="333"/>
      <c r="B279" s="147"/>
      <c r="C279" s="147"/>
      <c r="D279" s="334"/>
      <c r="E279" s="334"/>
      <c r="F279" s="69"/>
      <c r="G279" s="59"/>
    </row>
    <row r="280" ht="12.0" customHeight="1">
      <c r="A280" s="333"/>
      <c r="B280" s="147"/>
      <c r="C280" s="147"/>
      <c r="D280" s="334"/>
      <c r="E280" s="334"/>
      <c r="F280" s="69"/>
      <c r="G280" s="59"/>
    </row>
    <row r="281" ht="12.0" customHeight="1">
      <c r="A281" s="333"/>
      <c r="B281" s="147"/>
      <c r="C281" s="147"/>
      <c r="D281" s="334"/>
      <c r="E281" s="334"/>
      <c r="F281" s="69"/>
      <c r="G281" s="59"/>
    </row>
    <row r="282" ht="12.0" customHeight="1">
      <c r="A282" s="333"/>
      <c r="B282" s="147"/>
      <c r="C282" s="147"/>
      <c r="D282" s="334"/>
      <c r="E282" s="334"/>
      <c r="F282" s="69"/>
      <c r="G282" s="59"/>
    </row>
    <row r="283" ht="12.0" customHeight="1">
      <c r="A283" s="333"/>
      <c r="B283" s="147"/>
      <c r="C283" s="147"/>
      <c r="D283" s="334"/>
      <c r="E283" s="334"/>
      <c r="F283" s="69"/>
      <c r="G283" s="59"/>
    </row>
    <row r="284" ht="12.0" customHeight="1">
      <c r="A284" s="333"/>
      <c r="B284" s="147"/>
      <c r="C284" s="147"/>
      <c r="D284" s="334"/>
      <c r="E284" s="334"/>
      <c r="F284" s="69"/>
      <c r="G284" s="59"/>
    </row>
    <row r="285" ht="12.0" customHeight="1">
      <c r="A285" s="333"/>
      <c r="B285" s="147"/>
      <c r="C285" s="147"/>
      <c r="D285" s="334"/>
      <c r="E285" s="334"/>
      <c r="F285" s="69"/>
      <c r="G285" s="59"/>
    </row>
    <row r="286" ht="12.0" customHeight="1">
      <c r="A286" s="333"/>
      <c r="B286" s="147"/>
      <c r="C286" s="147"/>
      <c r="D286" s="334"/>
      <c r="E286" s="334"/>
      <c r="F286" s="69"/>
      <c r="G286" s="59"/>
    </row>
    <row r="287" ht="12.0" customHeight="1">
      <c r="A287" s="333"/>
      <c r="B287" s="147"/>
      <c r="C287" s="147"/>
      <c r="D287" s="334"/>
      <c r="E287" s="334"/>
      <c r="F287" s="69"/>
      <c r="G287" s="59"/>
    </row>
    <row r="288" ht="12.0" customHeight="1">
      <c r="A288" s="333"/>
      <c r="B288" s="147"/>
      <c r="C288" s="147"/>
      <c r="D288" s="334"/>
      <c r="E288" s="334"/>
      <c r="F288" s="69"/>
      <c r="G288" s="59"/>
    </row>
    <row r="289" ht="12.0" customHeight="1">
      <c r="A289" s="333"/>
      <c r="B289" s="147"/>
      <c r="C289" s="147"/>
      <c r="D289" s="334"/>
      <c r="E289" s="334"/>
      <c r="F289" s="69"/>
      <c r="G289" s="59"/>
    </row>
    <row r="290" ht="12.0" customHeight="1">
      <c r="A290" s="333"/>
      <c r="B290" s="147"/>
      <c r="C290" s="147"/>
      <c r="D290" s="334"/>
      <c r="E290" s="334"/>
      <c r="F290" s="69"/>
      <c r="G290" s="59"/>
    </row>
    <row r="291" ht="12.0" customHeight="1">
      <c r="A291" s="333"/>
      <c r="B291" s="147"/>
      <c r="C291" s="147"/>
      <c r="D291" s="334"/>
      <c r="E291" s="334"/>
      <c r="F291" s="69"/>
      <c r="G291" s="59"/>
    </row>
    <row r="292" ht="12.0" customHeight="1">
      <c r="A292" s="333"/>
      <c r="B292" s="147"/>
      <c r="C292" s="147"/>
      <c r="D292" s="334"/>
      <c r="E292" s="334"/>
      <c r="F292" s="69"/>
      <c r="G292" s="59"/>
    </row>
    <row r="293" ht="12.0" customHeight="1">
      <c r="A293" s="333"/>
      <c r="B293" s="147"/>
      <c r="C293" s="147"/>
      <c r="D293" s="334"/>
      <c r="E293" s="334"/>
      <c r="F293" s="69"/>
      <c r="G293" s="59"/>
    </row>
    <row r="294" ht="12.0" customHeight="1">
      <c r="A294" s="333"/>
      <c r="B294" s="147"/>
      <c r="C294" s="147"/>
      <c r="D294" s="334"/>
      <c r="E294" s="334"/>
      <c r="F294" s="69"/>
      <c r="G294" s="59"/>
    </row>
    <row r="295" ht="12.0" customHeight="1">
      <c r="A295" s="333"/>
      <c r="B295" s="147"/>
      <c r="C295" s="147"/>
      <c r="D295" s="334"/>
      <c r="E295" s="334"/>
      <c r="F295" s="69"/>
      <c r="G295" s="59"/>
    </row>
    <row r="296" ht="12.0" customHeight="1">
      <c r="A296" s="333"/>
      <c r="B296" s="147"/>
      <c r="C296" s="147"/>
      <c r="D296" s="334"/>
      <c r="E296" s="334"/>
      <c r="F296" s="69"/>
      <c r="G296" s="59"/>
    </row>
    <row r="297" ht="12.0" customHeight="1">
      <c r="A297" s="333"/>
      <c r="B297" s="147"/>
      <c r="C297" s="147"/>
      <c r="D297" s="334"/>
      <c r="E297" s="334"/>
      <c r="F297" s="69"/>
      <c r="G297" s="59"/>
    </row>
    <row r="298" ht="12.0" customHeight="1">
      <c r="A298" s="333"/>
      <c r="B298" s="147"/>
      <c r="C298" s="147"/>
      <c r="D298" s="334"/>
      <c r="E298" s="334"/>
      <c r="F298" s="69"/>
      <c r="G298" s="59"/>
    </row>
    <row r="299" ht="12.0" customHeight="1">
      <c r="A299" s="333"/>
      <c r="B299" s="147"/>
      <c r="C299" s="147"/>
      <c r="D299" s="334"/>
      <c r="E299" s="334"/>
      <c r="F299" s="69"/>
      <c r="G299" s="59"/>
    </row>
    <row r="300" ht="12.0" customHeight="1">
      <c r="A300" s="333"/>
      <c r="B300" s="147"/>
      <c r="C300" s="147"/>
      <c r="D300" s="334"/>
      <c r="E300" s="334"/>
      <c r="F300" s="69"/>
      <c r="G300" s="59"/>
    </row>
    <row r="301" ht="12.0" customHeight="1">
      <c r="A301" s="333"/>
      <c r="B301" s="147"/>
      <c r="C301" s="147"/>
      <c r="D301" s="334"/>
      <c r="E301" s="334"/>
      <c r="F301" s="69"/>
      <c r="G301" s="59"/>
    </row>
    <row r="302" ht="12.0" customHeight="1">
      <c r="A302" s="333"/>
      <c r="B302" s="147"/>
      <c r="C302" s="147"/>
      <c r="D302" s="334"/>
      <c r="E302" s="334"/>
      <c r="F302" s="69"/>
      <c r="G302" s="59"/>
    </row>
    <row r="303" ht="12.0" customHeight="1">
      <c r="A303" s="333"/>
      <c r="B303" s="147"/>
      <c r="C303" s="147"/>
      <c r="D303" s="334"/>
      <c r="E303" s="334"/>
      <c r="F303" s="69"/>
      <c r="G303" s="59"/>
    </row>
    <row r="304" ht="12.0" customHeight="1">
      <c r="A304" s="333"/>
      <c r="B304" s="147"/>
      <c r="C304" s="147"/>
      <c r="D304" s="334"/>
      <c r="E304" s="334"/>
      <c r="F304" s="69"/>
      <c r="G304" s="59"/>
    </row>
    <row r="305" ht="12.0" customHeight="1">
      <c r="A305" s="333"/>
      <c r="B305" s="147"/>
      <c r="C305" s="147"/>
      <c r="D305" s="334"/>
      <c r="E305" s="334"/>
      <c r="F305" s="69"/>
      <c r="G305" s="59"/>
    </row>
    <row r="306" ht="12.0" customHeight="1">
      <c r="A306" s="333"/>
      <c r="B306" s="147"/>
      <c r="C306" s="147"/>
      <c r="D306" s="334"/>
      <c r="E306" s="334"/>
      <c r="F306" s="69"/>
      <c r="G306" s="59"/>
    </row>
    <row r="307" ht="12.0" customHeight="1">
      <c r="A307" s="333"/>
      <c r="B307" s="147"/>
      <c r="C307" s="147"/>
      <c r="D307" s="334"/>
      <c r="E307" s="334"/>
      <c r="F307" s="69"/>
      <c r="G307" s="59"/>
    </row>
    <row r="308" ht="12.0" customHeight="1">
      <c r="A308" s="333"/>
      <c r="B308" s="147"/>
      <c r="C308" s="147"/>
      <c r="D308" s="334"/>
      <c r="E308" s="334"/>
      <c r="F308" s="69"/>
      <c r="G308" s="59"/>
    </row>
    <row r="309" ht="12.0" customHeight="1">
      <c r="A309" s="333"/>
      <c r="B309" s="147"/>
      <c r="C309" s="147"/>
      <c r="D309" s="334"/>
      <c r="E309" s="334"/>
      <c r="F309" s="69"/>
      <c r="G309" s="59"/>
    </row>
    <row r="310" ht="12.0" customHeight="1">
      <c r="A310" s="333"/>
      <c r="B310" s="147"/>
      <c r="C310" s="147"/>
      <c r="D310" s="334"/>
      <c r="E310" s="334"/>
      <c r="F310" s="69"/>
      <c r="G310" s="59"/>
    </row>
    <row r="311" ht="12.0" customHeight="1">
      <c r="A311" s="333"/>
      <c r="B311" s="147"/>
      <c r="C311" s="147"/>
      <c r="D311" s="334"/>
      <c r="E311" s="334"/>
      <c r="F311" s="69"/>
      <c r="G311" s="59"/>
    </row>
    <row r="312" ht="12.0" customHeight="1">
      <c r="A312" s="333"/>
      <c r="B312" s="147"/>
      <c r="C312" s="147"/>
      <c r="D312" s="334"/>
      <c r="E312" s="334"/>
      <c r="F312" s="69"/>
      <c r="G312" s="59"/>
    </row>
    <row r="313" ht="12.0" customHeight="1">
      <c r="A313" s="333"/>
      <c r="B313" s="147"/>
      <c r="C313" s="147"/>
      <c r="D313" s="334"/>
      <c r="E313" s="334"/>
      <c r="F313" s="69"/>
      <c r="G313" s="59"/>
    </row>
    <row r="314" ht="12.0" customHeight="1">
      <c r="A314" s="333"/>
      <c r="B314" s="147"/>
      <c r="C314" s="147"/>
      <c r="D314" s="334"/>
      <c r="E314" s="334"/>
      <c r="F314" s="69"/>
      <c r="G314" s="59"/>
    </row>
    <row r="315" ht="12.0" customHeight="1">
      <c r="A315" s="333"/>
      <c r="B315" s="147"/>
      <c r="C315" s="147"/>
      <c r="D315" s="334"/>
      <c r="E315" s="334"/>
      <c r="F315" s="69"/>
      <c r="G315" s="59"/>
    </row>
    <row r="316" ht="12.0" customHeight="1">
      <c r="A316" s="333"/>
      <c r="B316" s="147"/>
      <c r="C316" s="147"/>
      <c r="D316" s="334"/>
      <c r="E316" s="334"/>
      <c r="F316" s="69"/>
      <c r="G316" s="59"/>
    </row>
    <row r="317" ht="12.0" customHeight="1">
      <c r="A317" s="333"/>
      <c r="B317" s="147"/>
      <c r="C317" s="147"/>
      <c r="D317" s="334"/>
      <c r="E317" s="334"/>
      <c r="F317" s="69"/>
      <c r="G317" s="59"/>
    </row>
    <row r="318" ht="12.0" customHeight="1">
      <c r="A318" s="333"/>
      <c r="B318" s="147"/>
      <c r="C318" s="147"/>
      <c r="D318" s="334"/>
      <c r="E318" s="334"/>
      <c r="F318" s="69"/>
      <c r="G318" s="59"/>
    </row>
    <row r="319" ht="12.0" customHeight="1">
      <c r="A319" s="333"/>
      <c r="B319" s="147"/>
      <c r="C319" s="147"/>
      <c r="D319" s="334"/>
      <c r="E319" s="334"/>
      <c r="F319" s="69"/>
      <c r="G319" s="59"/>
    </row>
    <row r="320" ht="12.0" customHeight="1">
      <c r="A320" s="333"/>
      <c r="B320" s="147"/>
      <c r="C320" s="147"/>
      <c r="D320" s="334"/>
      <c r="E320" s="334"/>
      <c r="F320" s="69"/>
      <c r="G320" s="59"/>
    </row>
    <row r="321" ht="12.0" customHeight="1">
      <c r="A321" s="333"/>
      <c r="B321" s="147"/>
      <c r="C321" s="147"/>
      <c r="D321" s="334"/>
      <c r="E321" s="334"/>
      <c r="F321" s="69"/>
      <c r="G321" s="59"/>
    </row>
    <row r="322" ht="12.0" customHeight="1">
      <c r="A322" s="333"/>
      <c r="B322" s="147"/>
      <c r="C322" s="147"/>
      <c r="D322" s="334"/>
      <c r="E322" s="334"/>
      <c r="F322" s="69"/>
      <c r="G322" s="59"/>
    </row>
    <row r="323" ht="12.0" customHeight="1">
      <c r="A323" s="333"/>
      <c r="B323" s="147"/>
      <c r="C323" s="147"/>
      <c r="D323" s="334"/>
      <c r="E323" s="334"/>
      <c r="F323" s="69"/>
      <c r="G323" s="59"/>
    </row>
    <row r="324" ht="12.0" customHeight="1">
      <c r="A324" s="333"/>
      <c r="B324" s="147"/>
      <c r="C324" s="147"/>
      <c r="D324" s="334"/>
      <c r="E324" s="334"/>
      <c r="F324" s="69"/>
      <c r="G324" s="59"/>
    </row>
    <row r="325" ht="12.0" customHeight="1">
      <c r="A325" s="333"/>
      <c r="B325" s="147"/>
      <c r="C325" s="147"/>
      <c r="D325" s="334"/>
      <c r="E325" s="334"/>
      <c r="F325" s="69"/>
      <c r="G325" s="59"/>
    </row>
    <row r="326" ht="12.0" customHeight="1">
      <c r="A326" s="333"/>
      <c r="B326" s="147"/>
      <c r="C326" s="147"/>
      <c r="D326" s="334"/>
      <c r="E326" s="334"/>
      <c r="F326" s="69"/>
      <c r="G326" s="59"/>
    </row>
    <row r="327" ht="12.0" customHeight="1">
      <c r="A327" s="333"/>
      <c r="B327" s="147"/>
      <c r="C327" s="147"/>
      <c r="D327" s="334"/>
      <c r="E327" s="334"/>
      <c r="F327" s="69"/>
      <c r="G327" s="59"/>
    </row>
    <row r="328" ht="12.0" customHeight="1">
      <c r="A328" s="333"/>
      <c r="B328" s="147"/>
      <c r="C328" s="147"/>
      <c r="D328" s="334"/>
      <c r="E328" s="334"/>
      <c r="F328" s="69"/>
      <c r="G328" s="59"/>
    </row>
    <row r="329" ht="12.0" customHeight="1">
      <c r="A329" s="333"/>
      <c r="B329" s="147"/>
      <c r="C329" s="147"/>
      <c r="D329" s="334"/>
      <c r="E329" s="334"/>
      <c r="F329" s="69"/>
      <c r="G329" s="59"/>
    </row>
    <row r="330" ht="12.0" customHeight="1">
      <c r="A330" s="333"/>
      <c r="B330" s="147"/>
      <c r="C330" s="147"/>
      <c r="D330" s="334"/>
      <c r="E330" s="334"/>
      <c r="F330" s="69"/>
      <c r="G330" s="59"/>
    </row>
    <row r="331" ht="12.0" customHeight="1">
      <c r="A331" s="333"/>
      <c r="B331" s="147"/>
      <c r="C331" s="147"/>
      <c r="D331" s="334"/>
      <c r="E331" s="334"/>
      <c r="F331" s="69"/>
      <c r="G331" s="59"/>
    </row>
    <row r="332" ht="12.0" customHeight="1">
      <c r="A332" s="333"/>
      <c r="B332" s="147"/>
      <c r="C332" s="147"/>
      <c r="D332" s="334"/>
      <c r="E332" s="334"/>
      <c r="F332" s="69"/>
      <c r="G332" s="59"/>
    </row>
    <row r="333" ht="12.0" customHeight="1">
      <c r="A333" s="333"/>
      <c r="B333" s="147"/>
      <c r="C333" s="147"/>
      <c r="D333" s="334"/>
      <c r="E333" s="334"/>
      <c r="F333" s="69"/>
      <c r="G333" s="59"/>
    </row>
    <row r="334" ht="12.0" customHeight="1">
      <c r="A334" s="333"/>
      <c r="B334" s="147"/>
      <c r="C334" s="147"/>
      <c r="D334" s="334"/>
      <c r="E334" s="334"/>
      <c r="F334" s="69"/>
      <c r="G334" s="59"/>
    </row>
    <row r="335" ht="12.0" customHeight="1">
      <c r="A335" s="333"/>
      <c r="B335" s="147"/>
      <c r="C335" s="147"/>
      <c r="D335" s="334"/>
      <c r="E335" s="334"/>
      <c r="F335" s="69"/>
      <c r="G335" s="59"/>
    </row>
    <row r="336" ht="12.0" customHeight="1">
      <c r="A336" s="333"/>
      <c r="B336" s="147"/>
      <c r="C336" s="147"/>
      <c r="D336" s="334"/>
      <c r="E336" s="334"/>
      <c r="F336" s="69"/>
      <c r="G336" s="59"/>
    </row>
    <row r="337" ht="12.0" customHeight="1">
      <c r="A337" s="333"/>
      <c r="B337" s="147"/>
      <c r="C337" s="147"/>
      <c r="D337" s="334"/>
      <c r="E337" s="334"/>
      <c r="F337" s="69"/>
      <c r="G337" s="59"/>
    </row>
    <row r="338" ht="12.0" customHeight="1">
      <c r="A338" s="333"/>
      <c r="B338" s="147"/>
      <c r="C338" s="147"/>
      <c r="D338" s="334"/>
      <c r="E338" s="334"/>
      <c r="F338" s="69"/>
      <c r="G338" s="59"/>
    </row>
    <row r="339" ht="12.0" customHeight="1">
      <c r="A339" s="333"/>
      <c r="B339" s="147"/>
      <c r="C339" s="147"/>
      <c r="D339" s="334"/>
      <c r="E339" s="334"/>
      <c r="F339" s="69"/>
      <c r="G339" s="59"/>
    </row>
    <row r="340" ht="12.0" customHeight="1">
      <c r="A340" s="333"/>
      <c r="B340" s="147"/>
      <c r="C340" s="147"/>
      <c r="D340" s="334"/>
      <c r="E340" s="334"/>
      <c r="F340" s="69"/>
      <c r="G340" s="59"/>
    </row>
    <row r="341" ht="12.0" customHeight="1">
      <c r="A341" s="333"/>
      <c r="B341" s="147"/>
      <c r="C341" s="147"/>
      <c r="D341" s="334"/>
      <c r="E341" s="334"/>
      <c r="F341" s="69"/>
      <c r="G341" s="59"/>
    </row>
    <row r="342" ht="12.0" customHeight="1">
      <c r="A342" s="333"/>
      <c r="B342" s="147"/>
      <c r="C342" s="147"/>
      <c r="D342" s="334"/>
      <c r="E342" s="334"/>
      <c r="F342" s="69"/>
      <c r="G342" s="59"/>
    </row>
    <row r="343" ht="12.0" customHeight="1">
      <c r="A343" s="333"/>
      <c r="B343" s="147"/>
      <c r="C343" s="147"/>
      <c r="D343" s="334"/>
      <c r="E343" s="334"/>
      <c r="F343" s="69"/>
      <c r="G343" s="59"/>
    </row>
    <row r="344" ht="12.0" customHeight="1">
      <c r="A344" s="333"/>
      <c r="B344" s="147"/>
      <c r="C344" s="147"/>
      <c r="D344" s="334"/>
      <c r="E344" s="334"/>
      <c r="F344" s="69"/>
      <c r="G344" s="59"/>
    </row>
    <row r="345" ht="12.0" customHeight="1">
      <c r="A345" s="333"/>
      <c r="B345" s="147"/>
      <c r="C345" s="147"/>
      <c r="D345" s="334"/>
      <c r="E345" s="334"/>
      <c r="F345" s="69"/>
      <c r="G345" s="59"/>
    </row>
    <row r="346" ht="12.0" customHeight="1">
      <c r="A346" s="333"/>
      <c r="B346" s="147"/>
      <c r="C346" s="147"/>
      <c r="D346" s="334"/>
      <c r="E346" s="334"/>
      <c r="F346" s="69"/>
      <c r="G346" s="59"/>
    </row>
    <row r="347" ht="12.0" customHeight="1">
      <c r="A347" s="333"/>
      <c r="B347" s="147"/>
      <c r="C347" s="147"/>
      <c r="D347" s="334"/>
      <c r="E347" s="334"/>
      <c r="F347" s="69"/>
      <c r="G347" s="59"/>
    </row>
    <row r="348" ht="12.0" customHeight="1">
      <c r="A348" s="333"/>
      <c r="B348" s="147"/>
      <c r="C348" s="147"/>
      <c r="D348" s="334"/>
      <c r="E348" s="334"/>
      <c r="F348" s="69"/>
      <c r="G348" s="59"/>
    </row>
    <row r="349" ht="12.0" customHeight="1">
      <c r="A349" s="333"/>
      <c r="B349" s="147"/>
      <c r="C349" s="147"/>
      <c r="D349" s="334"/>
      <c r="E349" s="334"/>
      <c r="F349" s="69"/>
      <c r="G349" s="59"/>
    </row>
    <row r="350" ht="12.0" customHeight="1">
      <c r="A350" s="333"/>
      <c r="B350" s="147"/>
      <c r="C350" s="147"/>
      <c r="D350" s="334"/>
      <c r="E350" s="334"/>
      <c r="F350" s="69"/>
      <c r="G350" s="59"/>
    </row>
    <row r="351" ht="12.0" customHeight="1">
      <c r="A351" s="333"/>
      <c r="B351" s="147"/>
      <c r="C351" s="147"/>
      <c r="D351" s="334"/>
      <c r="E351" s="334"/>
      <c r="F351" s="69"/>
      <c r="G351" s="59"/>
    </row>
    <row r="352" ht="12.0" customHeight="1">
      <c r="A352" s="333"/>
      <c r="B352" s="147"/>
      <c r="C352" s="147"/>
      <c r="D352" s="334"/>
      <c r="E352" s="334"/>
      <c r="F352" s="69"/>
      <c r="G352" s="59"/>
    </row>
    <row r="353" ht="12.0" customHeight="1">
      <c r="A353" s="333"/>
      <c r="B353" s="147"/>
      <c r="C353" s="147"/>
      <c r="D353" s="334"/>
      <c r="E353" s="334"/>
      <c r="F353" s="69"/>
      <c r="G353" s="59"/>
    </row>
    <row r="354" ht="12.0" customHeight="1">
      <c r="A354" s="333"/>
      <c r="B354" s="147"/>
      <c r="C354" s="147"/>
      <c r="D354" s="334"/>
      <c r="E354" s="334"/>
      <c r="F354" s="69"/>
      <c r="G354" s="59"/>
    </row>
    <row r="355" ht="12.0" customHeight="1">
      <c r="A355" s="333"/>
      <c r="B355" s="147"/>
      <c r="C355" s="147"/>
      <c r="D355" s="334"/>
      <c r="E355" s="334"/>
      <c r="F355" s="69"/>
      <c r="G355" s="59"/>
    </row>
    <row r="356" ht="12.0" customHeight="1">
      <c r="A356" s="333"/>
      <c r="B356" s="147"/>
      <c r="C356" s="147"/>
      <c r="D356" s="334"/>
      <c r="E356" s="334"/>
      <c r="F356" s="69"/>
      <c r="G356" s="59"/>
    </row>
    <row r="357" ht="12.0" customHeight="1">
      <c r="A357" s="333"/>
      <c r="B357" s="147"/>
      <c r="C357" s="147"/>
      <c r="D357" s="334"/>
      <c r="E357" s="334"/>
      <c r="F357" s="69"/>
      <c r="G357" s="59"/>
    </row>
    <row r="358" ht="12.0" customHeight="1">
      <c r="A358" s="333"/>
      <c r="B358" s="147"/>
      <c r="C358" s="147"/>
      <c r="D358" s="334"/>
      <c r="E358" s="334"/>
      <c r="F358" s="69"/>
      <c r="G358" s="59"/>
    </row>
    <row r="359" ht="12.0" customHeight="1">
      <c r="A359" s="333"/>
      <c r="B359" s="147"/>
      <c r="C359" s="147"/>
      <c r="D359" s="334"/>
      <c r="E359" s="334"/>
      <c r="F359" s="69"/>
      <c r="G359" s="59"/>
    </row>
    <row r="360" ht="12.0" customHeight="1">
      <c r="A360" s="333"/>
      <c r="B360" s="147"/>
      <c r="C360" s="147"/>
      <c r="D360" s="334"/>
      <c r="E360" s="334"/>
      <c r="F360" s="69"/>
      <c r="G360" s="59"/>
    </row>
    <row r="361" ht="12.0" customHeight="1">
      <c r="A361" s="333"/>
      <c r="B361" s="147"/>
      <c r="C361" s="147"/>
      <c r="D361" s="334"/>
      <c r="E361" s="334"/>
      <c r="F361" s="69"/>
      <c r="G361" s="59"/>
    </row>
    <row r="362" ht="12.0" customHeight="1">
      <c r="A362" s="333"/>
      <c r="B362" s="147"/>
      <c r="C362" s="147"/>
      <c r="D362" s="334"/>
      <c r="E362" s="334"/>
      <c r="F362" s="69"/>
      <c r="G362" s="59"/>
    </row>
    <row r="363" ht="12.0" customHeight="1">
      <c r="A363" s="333"/>
      <c r="B363" s="147"/>
      <c r="C363" s="147"/>
      <c r="D363" s="334"/>
      <c r="E363" s="334"/>
      <c r="F363" s="69"/>
      <c r="G363" s="59"/>
    </row>
    <row r="364" ht="12.0" customHeight="1">
      <c r="A364" s="333"/>
      <c r="B364" s="147"/>
      <c r="C364" s="147"/>
      <c r="D364" s="334"/>
      <c r="E364" s="334"/>
      <c r="F364" s="69"/>
      <c r="G364" s="59"/>
    </row>
    <row r="365" ht="12.0" customHeight="1">
      <c r="A365" s="333"/>
      <c r="B365" s="147"/>
      <c r="C365" s="147"/>
      <c r="D365" s="334"/>
      <c r="E365" s="334"/>
      <c r="F365" s="69"/>
      <c r="G365" s="59"/>
    </row>
    <row r="366" ht="12.0" customHeight="1">
      <c r="A366" s="333"/>
      <c r="B366" s="147"/>
      <c r="C366" s="147"/>
      <c r="D366" s="334"/>
      <c r="E366" s="334"/>
      <c r="F366" s="69"/>
      <c r="G366" s="59"/>
    </row>
    <row r="367" ht="12.0" customHeight="1">
      <c r="A367" s="333"/>
      <c r="B367" s="147"/>
      <c r="C367" s="147"/>
      <c r="D367" s="334"/>
      <c r="E367" s="334"/>
      <c r="F367" s="69"/>
      <c r="G367" s="59"/>
    </row>
    <row r="368" ht="12.0" customHeight="1">
      <c r="A368" s="333"/>
      <c r="B368" s="147"/>
      <c r="C368" s="147"/>
      <c r="D368" s="334"/>
      <c r="E368" s="334"/>
      <c r="F368" s="69"/>
      <c r="G368" s="59"/>
    </row>
    <row r="369" ht="12.0" customHeight="1">
      <c r="A369" s="333"/>
      <c r="B369" s="147"/>
      <c r="C369" s="147"/>
      <c r="D369" s="334"/>
      <c r="E369" s="334"/>
      <c r="F369" s="69"/>
      <c r="G369" s="59"/>
    </row>
    <row r="370" ht="12.0" customHeight="1">
      <c r="A370" s="333"/>
      <c r="B370" s="147"/>
      <c r="C370" s="147"/>
      <c r="D370" s="334"/>
      <c r="E370" s="334"/>
      <c r="F370" s="69"/>
      <c r="G370" s="59"/>
    </row>
    <row r="371" ht="12.0" customHeight="1">
      <c r="A371" s="333"/>
      <c r="B371" s="147"/>
      <c r="C371" s="147"/>
      <c r="D371" s="334"/>
      <c r="E371" s="334"/>
      <c r="F371" s="69"/>
      <c r="G371" s="59"/>
    </row>
    <row r="372" ht="12.0" customHeight="1">
      <c r="A372" s="333"/>
      <c r="B372" s="147"/>
      <c r="C372" s="147"/>
      <c r="D372" s="334"/>
      <c r="E372" s="334"/>
      <c r="F372" s="69"/>
      <c r="G372" s="59"/>
    </row>
    <row r="373" ht="12.0" customHeight="1">
      <c r="A373" s="333"/>
      <c r="B373" s="147"/>
      <c r="C373" s="147"/>
      <c r="D373" s="334"/>
      <c r="E373" s="334"/>
      <c r="F373" s="69"/>
      <c r="G373" s="59"/>
    </row>
    <row r="374" ht="12.0" customHeight="1">
      <c r="A374" s="333"/>
      <c r="B374" s="147"/>
      <c r="C374" s="147"/>
      <c r="D374" s="334"/>
      <c r="E374" s="334"/>
      <c r="F374" s="69"/>
      <c r="G374" s="59"/>
    </row>
    <row r="375" ht="12.0" customHeight="1">
      <c r="A375" s="333"/>
      <c r="B375" s="147"/>
      <c r="C375" s="147"/>
      <c r="D375" s="334"/>
      <c r="E375" s="334"/>
      <c r="F375" s="69"/>
      <c r="G375" s="59"/>
    </row>
    <row r="376" ht="12.0" customHeight="1">
      <c r="A376" s="333"/>
      <c r="B376" s="147"/>
      <c r="C376" s="147"/>
      <c r="D376" s="334"/>
      <c r="E376" s="334"/>
      <c r="F376" s="69"/>
      <c r="G376" s="59"/>
    </row>
    <row r="377" ht="12.0" customHeight="1">
      <c r="A377" s="333"/>
      <c r="B377" s="147"/>
      <c r="C377" s="147"/>
      <c r="D377" s="334"/>
      <c r="E377" s="334"/>
      <c r="F377" s="69"/>
      <c r="G377" s="59"/>
    </row>
    <row r="378" ht="12.0" customHeight="1">
      <c r="A378" s="333"/>
      <c r="B378" s="147"/>
      <c r="C378" s="147"/>
      <c r="D378" s="334"/>
      <c r="E378" s="334"/>
      <c r="F378" s="69"/>
      <c r="G378" s="59"/>
    </row>
    <row r="379" ht="12.0" customHeight="1">
      <c r="A379" s="333"/>
      <c r="B379" s="147"/>
      <c r="C379" s="147"/>
      <c r="D379" s="334"/>
      <c r="E379" s="334"/>
      <c r="F379" s="69"/>
      <c r="G379" s="59"/>
    </row>
    <row r="380" ht="12.0" customHeight="1">
      <c r="A380" s="333"/>
      <c r="B380" s="147"/>
      <c r="C380" s="147"/>
      <c r="D380" s="334"/>
      <c r="E380" s="334"/>
      <c r="F380" s="69"/>
      <c r="G380" s="59"/>
    </row>
    <row r="381" ht="12.0" customHeight="1">
      <c r="A381" s="333"/>
      <c r="B381" s="147"/>
      <c r="C381" s="147"/>
      <c r="D381" s="334"/>
      <c r="E381" s="334"/>
      <c r="F381" s="69"/>
      <c r="G381" s="59"/>
    </row>
    <row r="382" ht="12.0" customHeight="1">
      <c r="A382" s="333"/>
      <c r="B382" s="147"/>
      <c r="C382" s="147"/>
      <c r="D382" s="334"/>
      <c r="E382" s="334"/>
      <c r="F382" s="69"/>
      <c r="G382" s="59"/>
    </row>
    <row r="383" ht="12.0" customHeight="1">
      <c r="A383" s="333"/>
      <c r="B383" s="147"/>
      <c r="C383" s="147"/>
      <c r="D383" s="334"/>
      <c r="E383" s="334"/>
      <c r="F383" s="69"/>
      <c r="G383" s="59"/>
    </row>
    <row r="384" ht="12.0" customHeight="1">
      <c r="A384" s="333"/>
      <c r="B384" s="147"/>
      <c r="C384" s="147"/>
      <c r="D384" s="334"/>
      <c r="E384" s="334"/>
      <c r="F384" s="69"/>
      <c r="G384" s="59"/>
    </row>
    <row r="385" ht="12.0" customHeight="1">
      <c r="A385" s="333"/>
      <c r="B385" s="147"/>
      <c r="C385" s="147"/>
      <c r="D385" s="334"/>
      <c r="E385" s="334"/>
      <c r="F385" s="69"/>
      <c r="G385" s="59"/>
    </row>
    <row r="386" ht="12.0" customHeight="1">
      <c r="A386" s="333"/>
      <c r="B386" s="147"/>
      <c r="C386" s="147"/>
      <c r="D386" s="334"/>
      <c r="E386" s="334"/>
      <c r="F386" s="69"/>
      <c r="G386" s="59"/>
    </row>
    <row r="387" ht="12.0" customHeight="1">
      <c r="A387" s="333"/>
      <c r="B387" s="147"/>
      <c r="C387" s="147"/>
      <c r="D387" s="334"/>
      <c r="E387" s="334"/>
      <c r="F387" s="69"/>
      <c r="G387" s="59"/>
    </row>
    <row r="388" ht="12.0" customHeight="1">
      <c r="A388" s="333"/>
      <c r="B388" s="147"/>
      <c r="C388" s="147"/>
      <c r="D388" s="334"/>
      <c r="E388" s="334"/>
      <c r="F388" s="69"/>
      <c r="G388" s="59"/>
    </row>
    <row r="389" ht="12.0" customHeight="1">
      <c r="A389" s="333"/>
      <c r="B389" s="147"/>
      <c r="C389" s="147"/>
      <c r="D389" s="334"/>
      <c r="E389" s="334"/>
      <c r="F389" s="69"/>
      <c r="G389" s="59"/>
    </row>
    <row r="390" ht="12.0" customHeight="1">
      <c r="A390" s="333"/>
      <c r="B390" s="147"/>
      <c r="C390" s="147"/>
      <c r="D390" s="334"/>
      <c r="E390" s="334"/>
      <c r="F390" s="69"/>
      <c r="G390" s="59"/>
    </row>
    <row r="391" ht="12.0" customHeight="1">
      <c r="A391" s="333"/>
      <c r="B391" s="147"/>
      <c r="C391" s="147"/>
      <c r="D391" s="334"/>
      <c r="E391" s="334"/>
      <c r="F391" s="69"/>
      <c r="G391" s="59"/>
    </row>
    <row r="392" ht="12.0" customHeight="1">
      <c r="A392" s="333"/>
      <c r="B392" s="147"/>
      <c r="C392" s="147"/>
      <c r="D392" s="334"/>
      <c r="E392" s="334"/>
      <c r="F392" s="69"/>
      <c r="G392" s="59"/>
    </row>
    <row r="393" ht="12.0" customHeight="1">
      <c r="A393" s="333"/>
      <c r="B393" s="147"/>
      <c r="C393" s="147"/>
      <c r="D393" s="334"/>
      <c r="E393" s="334"/>
      <c r="F393" s="69"/>
      <c r="G393" s="59"/>
    </row>
    <row r="394" ht="12.0" customHeight="1">
      <c r="A394" s="333"/>
      <c r="B394" s="147"/>
      <c r="C394" s="147"/>
      <c r="D394" s="334"/>
      <c r="E394" s="334"/>
      <c r="F394" s="69"/>
      <c r="G394" s="59"/>
    </row>
    <row r="395" ht="12.0" customHeight="1">
      <c r="A395" s="333"/>
      <c r="B395" s="147"/>
      <c r="C395" s="147"/>
      <c r="D395" s="334"/>
      <c r="E395" s="334"/>
      <c r="F395" s="69"/>
      <c r="G395" s="59"/>
    </row>
    <row r="396" ht="12.0" customHeight="1">
      <c r="A396" s="333"/>
      <c r="B396" s="147"/>
      <c r="C396" s="147"/>
      <c r="D396" s="334"/>
      <c r="E396" s="334"/>
      <c r="F396" s="69"/>
      <c r="G396" s="59"/>
    </row>
    <row r="397" ht="12.0" customHeight="1">
      <c r="A397" s="333"/>
      <c r="B397" s="147"/>
      <c r="C397" s="147"/>
      <c r="D397" s="334"/>
      <c r="E397" s="334"/>
      <c r="F397" s="69"/>
      <c r="G397" s="59"/>
    </row>
    <row r="398" ht="12.0" customHeight="1">
      <c r="A398" s="333"/>
      <c r="B398" s="147"/>
      <c r="C398" s="147"/>
      <c r="D398" s="334"/>
      <c r="E398" s="334"/>
      <c r="F398" s="69"/>
      <c r="G398" s="59"/>
    </row>
    <row r="399" ht="12.0" customHeight="1">
      <c r="A399" s="333"/>
      <c r="B399" s="147"/>
      <c r="C399" s="147"/>
      <c r="D399" s="334"/>
      <c r="E399" s="334"/>
      <c r="F399" s="69"/>
      <c r="G399" s="59"/>
    </row>
    <row r="400" ht="12.0" customHeight="1">
      <c r="A400" s="333"/>
      <c r="B400" s="147"/>
      <c r="C400" s="147"/>
      <c r="D400" s="334"/>
      <c r="E400" s="334"/>
      <c r="F400" s="69"/>
      <c r="G400" s="59"/>
    </row>
    <row r="401" ht="12.0" customHeight="1">
      <c r="A401" s="333"/>
      <c r="B401" s="147"/>
      <c r="C401" s="147"/>
      <c r="D401" s="334"/>
      <c r="E401" s="334"/>
      <c r="F401" s="69"/>
      <c r="G401" s="59"/>
    </row>
    <row r="402" ht="12.0" customHeight="1">
      <c r="A402" s="333"/>
      <c r="B402" s="147"/>
      <c r="C402" s="147"/>
      <c r="D402" s="334"/>
      <c r="E402" s="334"/>
      <c r="F402" s="69"/>
      <c r="G402" s="59"/>
    </row>
    <row r="403" ht="12.0" customHeight="1">
      <c r="A403" s="333"/>
      <c r="B403" s="147"/>
      <c r="C403" s="147"/>
      <c r="D403" s="334"/>
      <c r="E403" s="334"/>
      <c r="F403" s="69"/>
      <c r="G403" s="59"/>
    </row>
    <row r="404" ht="12.0" customHeight="1">
      <c r="A404" s="333"/>
      <c r="B404" s="147"/>
      <c r="C404" s="147"/>
      <c r="D404" s="334"/>
      <c r="E404" s="334"/>
      <c r="F404" s="69"/>
      <c r="G404" s="59"/>
    </row>
    <row r="405" ht="12.0" customHeight="1">
      <c r="A405" s="333"/>
      <c r="B405" s="147"/>
      <c r="C405" s="147"/>
      <c r="D405" s="334"/>
      <c r="E405" s="334"/>
      <c r="F405" s="69"/>
      <c r="G405" s="59"/>
    </row>
    <row r="406" ht="12.0" customHeight="1">
      <c r="A406" s="333"/>
      <c r="B406" s="147"/>
      <c r="C406" s="147"/>
      <c r="D406" s="334"/>
      <c r="E406" s="334"/>
      <c r="F406" s="69"/>
      <c r="G406" s="59"/>
    </row>
    <row r="407" ht="12.0" customHeight="1">
      <c r="A407" s="333"/>
      <c r="B407" s="147"/>
      <c r="C407" s="147"/>
      <c r="D407" s="334"/>
      <c r="E407" s="334"/>
      <c r="F407" s="69"/>
      <c r="G407" s="59"/>
    </row>
    <row r="408" ht="12.0" customHeight="1">
      <c r="A408" s="333"/>
      <c r="B408" s="147"/>
      <c r="C408" s="147"/>
      <c r="D408" s="334"/>
      <c r="E408" s="334"/>
      <c r="F408" s="69"/>
      <c r="G408" s="59"/>
    </row>
    <row r="409" ht="12.0" customHeight="1">
      <c r="A409" s="333"/>
      <c r="B409" s="147"/>
      <c r="C409" s="147"/>
      <c r="D409" s="334"/>
      <c r="E409" s="334"/>
      <c r="F409" s="69"/>
      <c r="G409" s="59"/>
    </row>
    <row r="410" ht="12.0" customHeight="1">
      <c r="A410" s="333"/>
      <c r="B410" s="147"/>
      <c r="C410" s="147"/>
      <c r="D410" s="334"/>
      <c r="E410" s="334"/>
      <c r="F410" s="69"/>
      <c r="G410" s="59"/>
    </row>
    <row r="411" ht="12.0" customHeight="1">
      <c r="A411" s="333"/>
      <c r="B411" s="147"/>
      <c r="C411" s="147"/>
      <c r="D411" s="334"/>
      <c r="E411" s="334"/>
      <c r="F411" s="69"/>
      <c r="G411" s="59"/>
    </row>
    <row r="412" ht="12.0" customHeight="1">
      <c r="A412" s="333"/>
      <c r="B412" s="147"/>
      <c r="C412" s="147"/>
      <c r="D412" s="334"/>
      <c r="E412" s="334"/>
      <c r="F412" s="69"/>
      <c r="G412" s="59"/>
    </row>
    <row r="413" ht="12.0" customHeight="1">
      <c r="A413" s="333"/>
      <c r="B413" s="147"/>
      <c r="C413" s="147"/>
      <c r="D413" s="334"/>
      <c r="E413" s="334"/>
      <c r="F413" s="69"/>
      <c r="G413" s="59"/>
    </row>
    <row r="414" ht="12.0" customHeight="1">
      <c r="A414" s="333"/>
      <c r="B414" s="147"/>
      <c r="C414" s="147"/>
      <c r="D414" s="334"/>
      <c r="E414" s="334"/>
      <c r="F414" s="69"/>
      <c r="G414" s="59"/>
    </row>
    <row r="415" ht="12.0" customHeight="1">
      <c r="A415" s="333"/>
      <c r="B415" s="147"/>
      <c r="C415" s="147"/>
      <c r="D415" s="334"/>
      <c r="E415" s="334"/>
      <c r="F415" s="69"/>
      <c r="G415" s="59"/>
    </row>
    <row r="416" ht="12.0" customHeight="1">
      <c r="A416" s="333"/>
      <c r="B416" s="147"/>
      <c r="C416" s="147"/>
      <c r="D416" s="334"/>
      <c r="E416" s="334"/>
      <c r="F416" s="69"/>
      <c r="G416" s="59"/>
    </row>
    <row r="417" ht="12.0" customHeight="1">
      <c r="A417" s="333"/>
      <c r="B417" s="147"/>
      <c r="C417" s="147"/>
      <c r="D417" s="334"/>
      <c r="E417" s="334"/>
      <c r="F417" s="69"/>
      <c r="G417" s="59"/>
    </row>
    <row r="418" ht="12.0" customHeight="1">
      <c r="A418" s="333"/>
      <c r="B418" s="147"/>
      <c r="C418" s="147"/>
      <c r="D418" s="334"/>
      <c r="E418" s="334"/>
      <c r="F418" s="69"/>
      <c r="G418" s="59"/>
    </row>
    <row r="419" ht="12.0" customHeight="1">
      <c r="A419" s="333"/>
      <c r="B419" s="147"/>
      <c r="C419" s="147"/>
      <c r="D419" s="334"/>
      <c r="E419" s="334"/>
      <c r="F419" s="69"/>
      <c r="G419" s="59"/>
    </row>
    <row r="420" ht="12.0" customHeight="1">
      <c r="A420" s="333"/>
      <c r="B420" s="147"/>
      <c r="C420" s="147"/>
      <c r="D420" s="334"/>
      <c r="E420" s="334"/>
      <c r="F420" s="69"/>
      <c r="G420" s="59"/>
    </row>
    <row r="421" ht="12.0" customHeight="1">
      <c r="A421" s="333"/>
      <c r="B421" s="147"/>
      <c r="C421" s="147"/>
      <c r="D421" s="334"/>
      <c r="E421" s="334"/>
      <c r="F421" s="69"/>
      <c r="G421" s="59"/>
    </row>
    <row r="422" ht="12.0" customHeight="1">
      <c r="A422" s="333"/>
      <c r="B422" s="147"/>
      <c r="C422" s="147"/>
      <c r="D422" s="334"/>
      <c r="E422" s="334"/>
      <c r="F422" s="69"/>
      <c r="G422" s="59"/>
    </row>
    <row r="423" ht="12.0" customHeight="1">
      <c r="A423" s="333"/>
      <c r="B423" s="147"/>
      <c r="C423" s="147"/>
      <c r="D423" s="334"/>
      <c r="E423" s="334"/>
      <c r="F423" s="69"/>
      <c r="G423" s="59"/>
    </row>
    <row r="424" ht="12.0" customHeight="1">
      <c r="A424" s="333"/>
      <c r="B424" s="147"/>
      <c r="C424" s="147"/>
      <c r="D424" s="334"/>
      <c r="E424" s="334"/>
      <c r="F424" s="69"/>
      <c r="G424" s="59"/>
    </row>
    <row r="425" ht="12.0" customHeight="1">
      <c r="A425" s="333"/>
      <c r="B425" s="147"/>
      <c r="C425" s="147"/>
      <c r="D425" s="334"/>
      <c r="E425" s="334"/>
      <c r="F425" s="69"/>
      <c r="G425" s="59"/>
    </row>
    <row r="426" ht="12.0" customHeight="1">
      <c r="A426" s="333"/>
      <c r="B426" s="147"/>
      <c r="C426" s="147"/>
      <c r="D426" s="334"/>
      <c r="E426" s="334"/>
      <c r="F426" s="69"/>
      <c r="G426" s="59"/>
    </row>
    <row r="427" ht="12.0" customHeight="1">
      <c r="A427" s="333"/>
      <c r="B427" s="147"/>
      <c r="C427" s="147"/>
      <c r="D427" s="334"/>
      <c r="E427" s="334"/>
      <c r="F427" s="69"/>
      <c r="G427" s="59"/>
    </row>
    <row r="428" ht="12.0" customHeight="1">
      <c r="A428" s="333"/>
      <c r="B428" s="147"/>
      <c r="C428" s="147"/>
      <c r="D428" s="334"/>
      <c r="E428" s="334"/>
      <c r="F428" s="69"/>
      <c r="G428" s="59"/>
    </row>
    <row r="429" ht="12.0" customHeight="1">
      <c r="A429" s="333"/>
      <c r="B429" s="147"/>
      <c r="C429" s="147"/>
      <c r="D429" s="334"/>
      <c r="E429" s="334"/>
      <c r="F429" s="69"/>
      <c r="G429" s="59"/>
    </row>
    <row r="430" ht="12.0" customHeight="1">
      <c r="A430" s="333"/>
      <c r="B430" s="147"/>
      <c r="C430" s="147"/>
      <c r="D430" s="334"/>
      <c r="E430" s="334"/>
      <c r="F430" s="69"/>
      <c r="G430" s="59"/>
    </row>
    <row r="431" ht="12.0" customHeight="1">
      <c r="A431" s="333"/>
      <c r="B431" s="147"/>
      <c r="C431" s="147"/>
      <c r="D431" s="334"/>
      <c r="E431" s="334"/>
      <c r="F431" s="69"/>
      <c r="G431" s="59"/>
    </row>
    <row r="432" ht="12.0" customHeight="1">
      <c r="A432" s="333"/>
      <c r="B432" s="147"/>
      <c r="C432" s="147"/>
      <c r="D432" s="334"/>
      <c r="E432" s="334"/>
      <c r="F432" s="69"/>
      <c r="G432" s="59"/>
    </row>
    <row r="433" ht="12.0" customHeight="1">
      <c r="A433" s="333"/>
      <c r="B433" s="147"/>
      <c r="C433" s="147"/>
      <c r="D433" s="334"/>
      <c r="E433" s="334"/>
      <c r="F433" s="69"/>
      <c r="G433" s="59"/>
    </row>
    <row r="434" ht="12.0" customHeight="1">
      <c r="A434" s="333"/>
      <c r="B434" s="147"/>
      <c r="C434" s="147"/>
      <c r="D434" s="334"/>
      <c r="E434" s="334"/>
      <c r="F434" s="69"/>
      <c r="G434" s="59"/>
    </row>
    <row r="435" ht="12.0" customHeight="1">
      <c r="A435" s="333"/>
      <c r="B435" s="147"/>
      <c r="C435" s="147"/>
      <c r="D435" s="334"/>
      <c r="E435" s="334"/>
      <c r="F435" s="69"/>
      <c r="G435" s="59"/>
    </row>
    <row r="436" ht="12.0" customHeight="1">
      <c r="A436" s="333"/>
      <c r="B436" s="147"/>
      <c r="C436" s="147"/>
      <c r="D436" s="334"/>
      <c r="E436" s="334"/>
      <c r="F436" s="69"/>
      <c r="G436" s="59"/>
    </row>
    <row r="437" ht="12.0" customHeight="1">
      <c r="A437" s="333"/>
      <c r="B437" s="147"/>
      <c r="C437" s="147"/>
      <c r="D437" s="334"/>
      <c r="E437" s="334"/>
      <c r="F437" s="69"/>
      <c r="G437" s="59"/>
    </row>
    <row r="438" ht="12.0" customHeight="1">
      <c r="A438" s="333"/>
      <c r="B438" s="147"/>
      <c r="C438" s="147"/>
      <c r="D438" s="334"/>
      <c r="E438" s="334"/>
      <c r="F438" s="69"/>
      <c r="G438" s="59"/>
    </row>
    <row r="439" ht="12.0" customHeight="1">
      <c r="A439" s="333"/>
      <c r="B439" s="147"/>
      <c r="C439" s="147"/>
      <c r="D439" s="334"/>
      <c r="E439" s="334"/>
      <c r="F439" s="69"/>
      <c r="G439" s="59"/>
    </row>
    <row r="440" ht="12.0" customHeight="1">
      <c r="A440" s="333"/>
      <c r="B440" s="147"/>
      <c r="C440" s="147"/>
      <c r="D440" s="334"/>
      <c r="E440" s="334"/>
      <c r="F440" s="69"/>
      <c r="G440" s="59"/>
    </row>
    <row r="441" ht="12.0" customHeight="1">
      <c r="A441" s="333"/>
      <c r="B441" s="147"/>
      <c r="C441" s="147"/>
      <c r="D441" s="334"/>
      <c r="E441" s="334"/>
      <c r="F441" s="69"/>
      <c r="G441" s="59"/>
    </row>
    <row r="442" ht="12.0" customHeight="1">
      <c r="A442" s="333"/>
      <c r="B442" s="147"/>
      <c r="C442" s="147"/>
      <c r="D442" s="334"/>
      <c r="E442" s="334"/>
      <c r="F442" s="69"/>
      <c r="G442" s="59"/>
    </row>
    <row r="443" ht="12.0" customHeight="1">
      <c r="A443" s="333"/>
      <c r="B443" s="147"/>
      <c r="C443" s="147"/>
      <c r="D443" s="334"/>
      <c r="E443" s="334"/>
      <c r="F443" s="69"/>
      <c r="G443" s="59"/>
    </row>
    <row r="444" ht="12.0" customHeight="1">
      <c r="A444" s="333"/>
      <c r="B444" s="147"/>
      <c r="C444" s="147"/>
      <c r="D444" s="334"/>
      <c r="E444" s="334"/>
      <c r="F444" s="69"/>
      <c r="G444" s="59"/>
    </row>
    <row r="445" ht="12.0" customHeight="1">
      <c r="A445" s="333"/>
      <c r="B445" s="147"/>
      <c r="C445" s="147"/>
      <c r="D445" s="334"/>
      <c r="E445" s="334"/>
      <c r="F445" s="69"/>
      <c r="G445" s="59"/>
    </row>
    <row r="446" ht="12.0" customHeight="1">
      <c r="A446" s="333"/>
      <c r="B446" s="147"/>
      <c r="C446" s="147"/>
      <c r="D446" s="334"/>
      <c r="E446" s="334"/>
      <c r="F446" s="69"/>
      <c r="G446" s="59"/>
    </row>
    <row r="447" ht="12.0" customHeight="1">
      <c r="A447" s="333"/>
      <c r="B447" s="147"/>
      <c r="C447" s="147"/>
      <c r="D447" s="334"/>
      <c r="E447" s="334"/>
      <c r="F447" s="69"/>
      <c r="G447" s="59"/>
    </row>
    <row r="448" ht="12.0" customHeight="1">
      <c r="A448" s="333"/>
      <c r="B448" s="147"/>
      <c r="C448" s="147"/>
      <c r="D448" s="334"/>
      <c r="E448" s="334"/>
      <c r="F448" s="69"/>
      <c r="G448" s="59"/>
    </row>
    <row r="449" ht="12.0" customHeight="1">
      <c r="A449" s="333"/>
      <c r="B449" s="147"/>
      <c r="C449" s="147"/>
      <c r="D449" s="334"/>
      <c r="E449" s="334"/>
      <c r="F449" s="69"/>
      <c r="G449" s="59"/>
    </row>
    <row r="450" ht="12.0" customHeight="1">
      <c r="A450" s="333"/>
      <c r="B450" s="147"/>
      <c r="C450" s="147"/>
      <c r="D450" s="334"/>
      <c r="E450" s="334"/>
      <c r="F450" s="69"/>
      <c r="G450" s="59"/>
    </row>
    <row r="451" ht="12.0" customHeight="1">
      <c r="A451" s="333"/>
      <c r="B451" s="147"/>
      <c r="C451" s="147"/>
      <c r="D451" s="334"/>
      <c r="E451" s="334"/>
      <c r="F451" s="69"/>
      <c r="G451" s="59"/>
    </row>
    <row r="452" ht="12.0" customHeight="1">
      <c r="A452" s="333"/>
      <c r="B452" s="147"/>
      <c r="C452" s="147"/>
      <c r="D452" s="334"/>
      <c r="E452" s="334"/>
      <c r="F452" s="69"/>
      <c r="G452" s="59"/>
    </row>
    <row r="453" ht="12.0" customHeight="1">
      <c r="A453" s="333"/>
      <c r="B453" s="147"/>
      <c r="C453" s="147"/>
      <c r="D453" s="334"/>
      <c r="E453" s="334"/>
      <c r="F453" s="69"/>
      <c r="G453" s="59"/>
    </row>
    <row r="454" ht="12.0" customHeight="1">
      <c r="A454" s="333"/>
      <c r="B454" s="147"/>
      <c r="C454" s="147"/>
      <c r="D454" s="334"/>
      <c r="E454" s="334"/>
      <c r="F454" s="69"/>
      <c r="G454" s="59"/>
    </row>
    <row r="455" ht="12.0" customHeight="1">
      <c r="A455" s="333"/>
      <c r="B455" s="147"/>
      <c r="C455" s="147"/>
      <c r="D455" s="334"/>
      <c r="E455" s="334"/>
      <c r="F455" s="69"/>
      <c r="G455" s="59"/>
    </row>
    <row r="456" ht="12.0" customHeight="1">
      <c r="A456" s="333"/>
      <c r="B456" s="147"/>
      <c r="C456" s="147"/>
      <c r="D456" s="334"/>
      <c r="E456" s="334"/>
      <c r="F456" s="69"/>
      <c r="G456" s="59"/>
    </row>
    <row r="457" ht="12.0" customHeight="1">
      <c r="A457" s="333"/>
      <c r="B457" s="147"/>
      <c r="C457" s="147"/>
      <c r="D457" s="334"/>
      <c r="E457" s="334"/>
      <c r="F457" s="69"/>
      <c r="G457" s="59"/>
    </row>
    <row r="458" ht="12.0" customHeight="1">
      <c r="A458" s="333"/>
      <c r="B458" s="147"/>
      <c r="C458" s="147"/>
      <c r="D458" s="334"/>
      <c r="E458" s="334"/>
      <c r="F458" s="69"/>
      <c r="G458" s="59"/>
    </row>
    <row r="459" ht="12.0" customHeight="1">
      <c r="A459" s="333"/>
      <c r="B459" s="147"/>
      <c r="C459" s="147"/>
      <c r="D459" s="334"/>
      <c r="E459" s="334"/>
      <c r="F459" s="69"/>
      <c r="G459" s="59"/>
    </row>
    <row r="460" ht="12.0" customHeight="1">
      <c r="A460" s="333"/>
      <c r="B460" s="147"/>
      <c r="C460" s="147"/>
      <c r="D460" s="334"/>
      <c r="E460" s="334"/>
      <c r="F460" s="69"/>
      <c r="G460" s="59"/>
    </row>
    <row r="461" ht="12.0" customHeight="1">
      <c r="A461" s="333"/>
      <c r="B461" s="147"/>
      <c r="C461" s="147"/>
      <c r="D461" s="334"/>
      <c r="E461" s="334"/>
      <c r="F461" s="69"/>
      <c r="G461" s="59"/>
    </row>
    <row r="462" ht="12.0" customHeight="1">
      <c r="A462" s="333"/>
      <c r="B462" s="147"/>
      <c r="C462" s="147"/>
      <c r="D462" s="334"/>
      <c r="E462" s="334"/>
      <c r="F462" s="69"/>
      <c r="G462" s="59"/>
    </row>
    <row r="463" ht="12.0" customHeight="1">
      <c r="A463" s="333"/>
      <c r="B463" s="147"/>
      <c r="C463" s="147"/>
      <c r="D463" s="334"/>
      <c r="E463" s="334"/>
      <c r="F463" s="69"/>
      <c r="G463" s="59"/>
    </row>
    <row r="464" ht="12.0" customHeight="1">
      <c r="A464" s="333"/>
      <c r="B464" s="147"/>
      <c r="C464" s="147"/>
      <c r="D464" s="334"/>
      <c r="E464" s="334"/>
      <c r="F464" s="69"/>
      <c r="G464" s="59"/>
    </row>
    <row r="465" ht="12.0" customHeight="1">
      <c r="A465" s="333"/>
      <c r="B465" s="147"/>
      <c r="C465" s="147"/>
      <c r="D465" s="334"/>
      <c r="E465" s="334"/>
      <c r="F465" s="69"/>
      <c r="G465" s="59"/>
    </row>
    <row r="466" ht="12.0" customHeight="1">
      <c r="A466" s="333"/>
      <c r="B466" s="147"/>
      <c r="C466" s="147"/>
      <c r="D466" s="334"/>
      <c r="E466" s="334"/>
      <c r="F466" s="69"/>
      <c r="G466" s="59"/>
    </row>
    <row r="467" ht="12.0" customHeight="1">
      <c r="A467" s="333"/>
      <c r="B467" s="147"/>
      <c r="C467" s="147"/>
      <c r="D467" s="334"/>
      <c r="E467" s="334"/>
      <c r="F467" s="69"/>
      <c r="G467" s="59"/>
    </row>
    <row r="468" ht="12.0" customHeight="1">
      <c r="A468" s="333"/>
      <c r="B468" s="147"/>
      <c r="C468" s="147"/>
      <c r="D468" s="334"/>
      <c r="E468" s="334"/>
      <c r="F468" s="69"/>
      <c r="G468" s="59"/>
    </row>
    <row r="469" ht="12.0" customHeight="1">
      <c r="A469" s="333"/>
      <c r="B469" s="147"/>
      <c r="C469" s="147"/>
      <c r="D469" s="334"/>
      <c r="E469" s="334"/>
      <c r="F469" s="69"/>
      <c r="G469" s="59"/>
    </row>
    <row r="470" ht="12.0" customHeight="1">
      <c r="A470" s="333"/>
      <c r="B470" s="147"/>
      <c r="C470" s="147"/>
      <c r="D470" s="334"/>
      <c r="E470" s="334"/>
      <c r="F470" s="69"/>
      <c r="G470" s="59"/>
    </row>
    <row r="471" ht="12.0" customHeight="1">
      <c r="A471" s="333"/>
      <c r="B471" s="147"/>
      <c r="C471" s="147"/>
      <c r="D471" s="334"/>
      <c r="E471" s="334"/>
      <c r="F471" s="69"/>
      <c r="G471" s="59"/>
    </row>
    <row r="472" ht="12.0" customHeight="1">
      <c r="A472" s="333"/>
      <c r="B472" s="147"/>
      <c r="C472" s="147"/>
      <c r="D472" s="334"/>
      <c r="E472" s="334"/>
      <c r="F472" s="69"/>
      <c r="G472" s="59"/>
    </row>
    <row r="473" ht="12.0" customHeight="1">
      <c r="A473" s="333"/>
      <c r="B473" s="147"/>
      <c r="C473" s="147"/>
      <c r="D473" s="334"/>
      <c r="E473" s="334"/>
      <c r="F473" s="69"/>
      <c r="G473" s="59"/>
    </row>
    <row r="474" ht="12.0" customHeight="1">
      <c r="A474" s="333"/>
      <c r="B474" s="147"/>
      <c r="C474" s="147"/>
      <c r="D474" s="334"/>
      <c r="E474" s="334"/>
      <c r="F474" s="69"/>
      <c r="G474" s="59"/>
    </row>
    <row r="475" ht="12.0" customHeight="1">
      <c r="A475" s="333"/>
      <c r="B475" s="147"/>
      <c r="C475" s="147"/>
      <c r="D475" s="334"/>
      <c r="E475" s="334"/>
      <c r="F475" s="69"/>
      <c r="G475" s="59"/>
    </row>
    <row r="476" ht="12.0" customHeight="1">
      <c r="A476" s="333"/>
      <c r="B476" s="147"/>
      <c r="C476" s="147"/>
      <c r="D476" s="334"/>
      <c r="E476" s="334"/>
      <c r="F476" s="69"/>
      <c r="G476" s="59"/>
    </row>
    <row r="477" ht="12.0" customHeight="1">
      <c r="A477" s="333"/>
      <c r="B477" s="147"/>
      <c r="C477" s="147"/>
      <c r="D477" s="334"/>
      <c r="E477" s="334"/>
      <c r="F477" s="69"/>
      <c r="G477" s="59"/>
    </row>
    <row r="478" ht="12.0" customHeight="1">
      <c r="A478" s="333"/>
      <c r="B478" s="147"/>
      <c r="C478" s="147"/>
      <c r="D478" s="334"/>
      <c r="E478" s="334"/>
      <c r="F478" s="69"/>
      <c r="G478" s="59"/>
    </row>
    <row r="479" ht="12.0" customHeight="1">
      <c r="A479" s="333"/>
      <c r="B479" s="147"/>
      <c r="C479" s="147"/>
      <c r="D479" s="334"/>
      <c r="E479" s="334"/>
      <c r="F479" s="69"/>
      <c r="G479" s="59"/>
    </row>
    <row r="480" ht="12.0" customHeight="1">
      <c r="A480" s="333"/>
      <c r="B480" s="147"/>
      <c r="C480" s="147"/>
      <c r="D480" s="334"/>
      <c r="E480" s="334"/>
      <c r="F480" s="69"/>
      <c r="G480" s="59"/>
    </row>
    <row r="481" ht="12.0" customHeight="1">
      <c r="A481" s="333"/>
      <c r="B481" s="147"/>
      <c r="C481" s="147"/>
      <c r="D481" s="334"/>
      <c r="E481" s="334"/>
      <c r="F481" s="69"/>
      <c r="G481" s="59"/>
    </row>
    <row r="482" ht="12.0" customHeight="1">
      <c r="A482" s="333"/>
      <c r="B482" s="147"/>
      <c r="C482" s="147"/>
      <c r="D482" s="334"/>
      <c r="E482" s="334"/>
      <c r="F482" s="69"/>
      <c r="G482" s="59"/>
    </row>
    <row r="483" ht="12.0" customHeight="1">
      <c r="A483" s="333"/>
      <c r="B483" s="147"/>
      <c r="C483" s="147"/>
      <c r="D483" s="334"/>
      <c r="E483" s="334"/>
      <c r="F483" s="69"/>
      <c r="G483" s="59"/>
    </row>
    <row r="484" ht="12.0" customHeight="1">
      <c r="A484" s="333"/>
      <c r="B484" s="147"/>
      <c r="C484" s="147"/>
      <c r="D484" s="334"/>
      <c r="E484" s="334"/>
      <c r="F484" s="69"/>
      <c r="G484" s="59"/>
    </row>
    <row r="485" ht="12.0" customHeight="1">
      <c r="A485" s="333"/>
      <c r="B485" s="147"/>
      <c r="C485" s="147"/>
      <c r="D485" s="334"/>
      <c r="E485" s="334"/>
      <c r="F485" s="69"/>
      <c r="G485" s="59"/>
    </row>
    <row r="486" ht="12.0" customHeight="1">
      <c r="A486" s="333"/>
      <c r="B486" s="147"/>
      <c r="C486" s="147"/>
      <c r="D486" s="334"/>
      <c r="E486" s="334"/>
      <c r="F486" s="69"/>
      <c r="G486" s="59"/>
    </row>
    <row r="487" ht="12.0" customHeight="1">
      <c r="A487" s="333"/>
      <c r="B487" s="147"/>
      <c r="C487" s="147"/>
      <c r="D487" s="334"/>
      <c r="E487" s="334"/>
      <c r="F487" s="69"/>
      <c r="G487" s="59"/>
    </row>
    <row r="488" ht="12.0" customHeight="1">
      <c r="A488" s="333"/>
      <c r="B488" s="147"/>
      <c r="C488" s="147"/>
      <c r="D488" s="334"/>
      <c r="E488" s="334"/>
      <c r="F488" s="69"/>
      <c r="G488" s="59"/>
    </row>
    <row r="489" ht="12.0" customHeight="1">
      <c r="A489" s="333"/>
      <c r="B489" s="147"/>
      <c r="C489" s="147"/>
      <c r="D489" s="334"/>
      <c r="E489" s="334"/>
      <c r="F489" s="69"/>
      <c r="G489" s="59"/>
    </row>
    <row r="490" ht="12.0" customHeight="1">
      <c r="A490" s="333"/>
      <c r="B490" s="147"/>
      <c r="C490" s="147"/>
      <c r="D490" s="334"/>
      <c r="E490" s="334"/>
      <c r="F490" s="69"/>
      <c r="G490" s="59"/>
    </row>
    <row r="491" ht="12.0" customHeight="1">
      <c r="A491" s="333"/>
      <c r="B491" s="147"/>
      <c r="C491" s="147"/>
      <c r="D491" s="334"/>
      <c r="E491" s="334"/>
      <c r="F491" s="69"/>
      <c r="G491" s="59"/>
    </row>
    <row r="492" ht="12.0" customHeight="1">
      <c r="A492" s="333"/>
      <c r="B492" s="147"/>
      <c r="C492" s="147"/>
      <c r="D492" s="334"/>
      <c r="E492" s="334"/>
      <c r="F492" s="69"/>
      <c r="G492" s="59"/>
    </row>
    <row r="493" ht="12.0" customHeight="1">
      <c r="A493" s="333"/>
      <c r="B493" s="147"/>
      <c r="C493" s="147"/>
      <c r="D493" s="334"/>
      <c r="E493" s="334"/>
      <c r="F493" s="69"/>
      <c r="G493" s="59"/>
    </row>
    <row r="494" ht="12.0" customHeight="1">
      <c r="A494" s="333"/>
      <c r="B494" s="147"/>
      <c r="C494" s="147"/>
      <c r="D494" s="334"/>
      <c r="E494" s="334"/>
      <c r="F494" s="69"/>
      <c r="G494" s="59"/>
    </row>
    <row r="495" ht="12.0" customHeight="1">
      <c r="A495" s="333"/>
      <c r="B495" s="147"/>
      <c r="C495" s="147"/>
      <c r="D495" s="334"/>
      <c r="E495" s="334"/>
      <c r="F495" s="69"/>
      <c r="G495" s="59"/>
    </row>
    <row r="496" ht="12.0" customHeight="1">
      <c r="A496" s="333"/>
      <c r="B496" s="147"/>
      <c r="C496" s="147"/>
      <c r="D496" s="334"/>
      <c r="E496" s="334"/>
      <c r="F496" s="69"/>
      <c r="G496" s="59"/>
    </row>
    <row r="497" ht="12.0" customHeight="1">
      <c r="A497" s="333"/>
      <c r="B497" s="147"/>
      <c r="C497" s="147"/>
      <c r="D497" s="334"/>
      <c r="E497" s="334"/>
      <c r="F497" s="69"/>
      <c r="G497" s="59"/>
    </row>
    <row r="498" ht="12.0" customHeight="1">
      <c r="A498" s="333"/>
      <c r="B498" s="147"/>
      <c r="C498" s="147"/>
      <c r="D498" s="334"/>
      <c r="E498" s="334"/>
      <c r="F498" s="69"/>
      <c r="G498" s="59"/>
    </row>
    <row r="499" ht="12.0" customHeight="1">
      <c r="A499" s="333"/>
      <c r="B499" s="147"/>
      <c r="C499" s="147"/>
      <c r="D499" s="334"/>
      <c r="E499" s="334"/>
      <c r="F499" s="69"/>
      <c r="G499" s="59"/>
    </row>
    <row r="500" ht="12.0" customHeight="1">
      <c r="A500" s="333"/>
      <c r="B500" s="147"/>
      <c r="C500" s="147"/>
      <c r="D500" s="334"/>
      <c r="E500" s="334"/>
      <c r="F500" s="69"/>
      <c r="G500" s="59"/>
    </row>
    <row r="501" ht="12.0" customHeight="1">
      <c r="A501" s="333"/>
      <c r="B501" s="147"/>
      <c r="C501" s="147"/>
      <c r="D501" s="334"/>
      <c r="E501" s="334"/>
      <c r="F501" s="69"/>
      <c r="G501" s="59"/>
    </row>
    <row r="502" ht="12.0" customHeight="1">
      <c r="A502" s="333"/>
      <c r="B502" s="147"/>
      <c r="C502" s="147"/>
      <c r="D502" s="334"/>
      <c r="E502" s="334"/>
      <c r="F502" s="69"/>
      <c r="G502" s="59"/>
    </row>
    <row r="503" ht="12.0" customHeight="1">
      <c r="A503" s="333"/>
      <c r="B503" s="147"/>
      <c r="C503" s="147"/>
      <c r="D503" s="334"/>
      <c r="E503" s="334"/>
      <c r="F503" s="69"/>
      <c r="G503" s="59"/>
    </row>
    <row r="504" ht="12.0" customHeight="1">
      <c r="A504" s="333"/>
      <c r="B504" s="147"/>
      <c r="C504" s="147"/>
      <c r="D504" s="334"/>
      <c r="E504" s="334"/>
      <c r="F504" s="69"/>
      <c r="G504" s="59"/>
    </row>
    <row r="505" ht="12.0" customHeight="1">
      <c r="A505" s="333"/>
      <c r="B505" s="147"/>
      <c r="C505" s="147"/>
      <c r="D505" s="334"/>
      <c r="E505" s="334"/>
      <c r="F505" s="69"/>
      <c r="G505" s="59"/>
    </row>
    <row r="506" ht="12.0" customHeight="1">
      <c r="A506" s="333"/>
      <c r="B506" s="147"/>
      <c r="C506" s="147"/>
      <c r="D506" s="334"/>
      <c r="E506" s="334"/>
      <c r="F506" s="69"/>
      <c r="G506" s="59"/>
    </row>
    <row r="507" ht="12.0" customHeight="1">
      <c r="A507" s="333"/>
      <c r="B507" s="147"/>
      <c r="C507" s="147"/>
      <c r="D507" s="334"/>
      <c r="E507" s="334"/>
      <c r="F507" s="69"/>
      <c r="G507" s="59"/>
    </row>
    <row r="508" ht="12.0" customHeight="1">
      <c r="A508" s="333"/>
      <c r="B508" s="147"/>
      <c r="C508" s="147"/>
      <c r="D508" s="334"/>
      <c r="E508" s="334"/>
      <c r="F508" s="69"/>
      <c r="G508" s="59"/>
    </row>
    <row r="509" ht="12.0" customHeight="1">
      <c r="A509" s="333"/>
      <c r="B509" s="147"/>
      <c r="C509" s="147"/>
      <c r="D509" s="334"/>
      <c r="E509" s="334"/>
      <c r="F509" s="69"/>
      <c r="G509" s="59"/>
    </row>
    <row r="510" ht="12.0" customHeight="1">
      <c r="A510" s="333"/>
      <c r="B510" s="147"/>
      <c r="C510" s="147"/>
      <c r="D510" s="334"/>
      <c r="E510" s="334"/>
      <c r="F510" s="69"/>
      <c r="G510" s="59"/>
    </row>
    <row r="511" ht="12.0" customHeight="1">
      <c r="A511" s="333"/>
      <c r="B511" s="147"/>
      <c r="C511" s="147"/>
      <c r="D511" s="334"/>
      <c r="E511" s="334"/>
      <c r="F511" s="69"/>
      <c r="G511" s="59"/>
    </row>
    <row r="512" ht="12.0" customHeight="1">
      <c r="A512" s="333"/>
      <c r="B512" s="147"/>
      <c r="C512" s="147"/>
      <c r="D512" s="334"/>
      <c r="E512" s="334"/>
      <c r="F512" s="69"/>
      <c r="G512" s="59"/>
    </row>
    <row r="513" ht="12.0" customHeight="1">
      <c r="A513" s="333"/>
      <c r="B513" s="147"/>
      <c r="C513" s="147"/>
      <c r="D513" s="334"/>
      <c r="E513" s="334"/>
      <c r="F513" s="69"/>
      <c r="G513" s="59"/>
    </row>
    <row r="514" ht="12.0" customHeight="1">
      <c r="A514" s="333"/>
      <c r="B514" s="147"/>
      <c r="C514" s="147"/>
      <c r="D514" s="334"/>
      <c r="E514" s="334"/>
      <c r="F514" s="69"/>
      <c r="G514" s="59"/>
    </row>
    <row r="515" ht="12.0" customHeight="1">
      <c r="A515" s="333"/>
      <c r="B515" s="147"/>
      <c r="C515" s="147"/>
      <c r="D515" s="334"/>
      <c r="E515" s="334"/>
      <c r="F515" s="69"/>
      <c r="G515" s="59"/>
    </row>
    <row r="516" ht="12.0" customHeight="1">
      <c r="A516" s="333"/>
      <c r="B516" s="147"/>
      <c r="C516" s="147"/>
      <c r="D516" s="334"/>
      <c r="E516" s="334"/>
      <c r="F516" s="69"/>
      <c r="G516" s="59"/>
    </row>
    <row r="517" ht="12.0" customHeight="1">
      <c r="A517" s="333"/>
      <c r="B517" s="147"/>
      <c r="C517" s="147"/>
      <c r="D517" s="334"/>
      <c r="E517" s="334"/>
      <c r="F517" s="69"/>
      <c r="G517" s="59"/>
    </row>
    <row r="518" ht="12.0" customHeight="1">
      <c r="A518" s="333"/>
      <c r="B518" s="147"/>
      <c r="C518" s="147"/>
      <c r="D518" s="334"/>
      <c r="E518" s="334"/>
      <c r="F518" s="69"/>
      <c r="G518" s="59"/>
    </row>
    <row r="519" ht="12.0" customHeight="1">
      <c r="A519" s="333"/>
      <c r="B519" s="147"/>
      <c r="C519" s="147"/>
      <c r="D519" s="334"/>
      <c r="E519" s="334"/>
      <c r="F519" s="69"/>
      <c r="G519" s="59"/>
    </row>
    <row r="520" ht="12.0" customHeight="1">
      <c r="A520" s="333"/>
      <c r="B520" s="147"/>
      <c r="C520" s="147"/>
      <c r="D520" s="334"/>
      <c r="E520" s="334"/>
      <c r="F520" s="69"/>
      <c r="G520" s="59"/>
    </row>
    <row r="521" ht="12.0" customHeight="1">
      <c r="A521" s="333"/>
      <c r="B521" s="147"/>
      <c r="C521" s="147"/>
      <c r="D521" s="334"/>
      <c r="E521" s="334"/>
      <c r="F521" s="69"/>
      <c r="G521" s="59"/>
    </row>
    <row r="522" ht="12.0" customHeight="1">
      <c r="A522" s="333"/>
      <c r="B522" s="147"/>
      <c r="C522" s="147"/>
      <c r="D522" s="334"/>
      <c r="E522" s="334"/>
      <c r="F522" s="69"/>
      <c r="G522" s="59"/>
    </row>
    <row r="523" ht="12.0" customHeight="1">
      <c r="A523" s="333"/>
      <c r="B523" s="147"/>
      <c r="C523" s="147"/>
      <c r="D523" s="334"/>
      <c r="E523" s="334"/>
      <c r="F523" s="69"/>
      <c r="G523" s="59"/>
    </row>
    <row r="524" ht="12.0" customHeight="1">
      <c r="A524" s="333"/>
      <c r="B524" s="147"/>
      <c r="C524" s="147"/>
      <c r="D524" s="334"/>
      <c r="E524" s="334"/>
      <c r="F524" s="69"/>
      <c r="G524" s="59"/>
    </row>
    <row r="525" ht="12.0" customHeight="1">
      <c r="A525" s="333"/>
      <c r="B525" s="147"/>
      <c r="C525" s="147"/>
      <c r="D525" s="334"/>
      <c r="E525" s="334"/>
      <c r="F525" s="69"/>
      <c r="G525" s="59"/>
    </row>
    <row r="526" ht="12.0" customHeight="1">
      <c r="A526" s="333"/>
      <c r="B526" s="147"/>
      <c r="C526" s="147"/>
      <c r="D526" s="334"/>
      <c r="E526" s="334"/>
      <c r="F526" s="69"/>
      <c r="G526" s="59"/>
    </row>
    <row r="527" ht="12.0" customHeight="1">
      <c r="A527" s="333"/>
      <c r="B527" s="147"/>
      <c r="C527" s="147"/>
      <c r="D527" s="334"/>
      <c r="E527" s="334"/>
      <c r="F527" s="69"/>
      <c r="G527" s="59"/>
    </row>
    <row r="528" ht="12.0" customHeight="1">
      <c r="A528" s="333"/>
      <c r="B528" s="147"/>
      <c r="C528" s="147"/>
      <c r="D528" s="334"/>
      <c r="E528" s="334"/>
      <c r="F528" s="69"/>
      <c r="G528" s="59"/>
    </row>
    <row r="529" ht="12.0" customHeight="1">
      <c r="A529" s="333"/>
      <c r="B529" s="147"/>
      <c r="C529" s="147"/>
      <c r="D529" s="334"/>
      <c r="E529" s="334"/>
      <c r="F529" s="69"/>
      <c r="G529" s="59"/>
    </row>
    <row r="530" ht="12.0" customHeight="1">
      <c r="A530" s="333"/>
      <c r="B530" s="147"/>
      <c r="C530" s="147"/>
      <c r="D530" s="334"/>
      <c r="E530" s="334"/>
      <c r="F530" s="69"/>
      <c r="G530" s="59"/>
    </row>
    <row r="531" ht="12.0" customHeight="1">
      <c r="A531" s="333"/>
      <c r="B531" s="147"/>
      <c r="C531" s="147"/>
      <c r="D531" s="334"/>
      <c r="E531" s="334"/>
      <c r="F531" s="69"/>
      <c r="G531" s="59"/>
    </row>
    <row r="532" ht="12.0" customHeight="1">
      <c r="A532" s="333"/>
      <c r="B532" s="147"/>
      <c r="C532" s="147"/>
      <c r="D532" s="334"/>
      <c r="E532" s="334"/>
      <c r="F532" s="69"/>
      <c r="G532" s="59"/>
    </row>
    <row r="533" ht="12.0" customHeight="1">
      <c r="A533" s="333"/>
      <c r="B533" s="147"/>
      <c r="C533" s="147"/>
      <c r="D533" s="334"/>
      <c r="E533" s="334"/>
      <c r="F533" s="69"/>
      <c r="G533" s="59"/>
    </row>
    <row r="534" ht="12.0" customHeight="1">
      <c r="A534" s="333"/>
      <c r="B534" s="147"/>
      <c r="C534" s="147"/>
      <c r="D534" s="334"/>
      <c r="E534" s="334"/>
      <c r="F534" s="69"/>
      <c r="G534" s="59"/>
    </row>
    <row r="535" ht="12.0" customHeight="1">
      <c r="A535" s="333"/>
      <c r="B535" s="147"/>
      <c r="C535" s="147"/>
      <c r="D535" s="334"/>
      <c r="E535" s="334"/>
      <c r="F535" s="69"/>
      <c r="G535" s="59"/>
    </row>
    <row r="536" ht="12.0" customHeight="1">
      <c r="A536" s="333"/>
      <c r="B536" s="147"/>
      <c r="C536" s="147"/>
      <c r="D536" s="334"/>
      <c r="E536" s="334"/>
      <c r="F536" s="69"/>
      <c r="G536" s="59"/>
    </row>
    <row r="537" ht="12.0" customHeight="1">
      <c r="A537" s="333"/>
      <c r="B537" s="147"/>
      <c r="C537" s="147"/>
      <c r="D537" s="334"/>
      <c r="E537" s="334"/>
      <c r="F537" s="69"/>
      <c r="G537" s="59"/>
    </row>
    <row r="538" ht="12.0" customHeight="1">
      <c r="A538" s="333"/>
      <c r="B538" s="147"/>
      <c r="C538" s="147"/>
      <c r="D538" s="334"/>
      <c r="E538" s="334"/>
      <c r="F538" s="69"/>
      <c r="G538" s="59"/>
    </row>
    <row r="539" ht="12.0" customHeight="1">
      <c r="A539" s="333"/>
      <c r="B539" s="147"/>
      <c r="C539" s="147"/>
      <c r="D539" s="334"/>
      <c r="E539" s="334"/>
      <c r="F539" s="69"/>
      <c r="G539" s="59"/>
    </row>
    <row r="540" ht="12.0" customHeight="1">
      <c r="A540" s="333"/>
      <c r="B540" s="147"/>
      <c r="C540" s="147"/>
      <c r="D540" s="334"/>
      <c r="E540" s="334"/>
      <c r="F540" s="69"/>
      <c r="G540" s="59"/>
    </row>
    <row r="541" ht="12.0" customHeight="1">
      <c r="A541" s="333"/>
      <c r="B541" s="147"/>
      <c r="C541" s="147"/>
      <c r="D541" s="334"/>
      <c r="E541" s="334"/>
      <c r="F541" s="69"/>
      <c r="G541" s="59"/>
    </row>
    <row r="542" ht="12.0" customHeight="1">
      <c r="A542" s="333"/>
      <c r="B542" s="147"/>
      <c r="C542" s="147"/>
      <c r="D542" s="334"/>
      <c r="E542" s="334"/>
      <c r="F542" s="69"/>
      <c r="G542" s="59"/>
    </row>
    <row r="543" ht="12.0" customHeight="1">
      <c r="A543" s="333"/>
      <c r="B543" s="147"/>
      <c r="C543" s="147"/>
      <c r="D543" s="334"/>
      <c r="E543" s="334"/>
      <c r="F543" s="69"/>
      <c r="G543" s="59"/>
    </row>
    <row r="544" ht="12.0" customHeight="1">
      <c r="A544" s="333"/>
      <c r="B544" s="147"/>
      <c r="C544" s="147"/>
      <c r="D544" s="334"/>
      <c r="E544" s="334"/>
      <c r="F544" s="69"/>
      <c r="G544" s="59"/>
    </row>
    <row r="545" ht="12.0" customHeight="1">
      <c r="A545" s="333"/>
      <c r="B545" s="147"/>
      <c r="C545" s="147"/>
      <c r="D545" s="334"/>
      <c r="E545" s="334"/>
      <c r="F545" s="69"/>
      <c r="G545" s="59"/>
    </row>
    <row r="546" ht="12.0" customHeight="1">
      <c r="A546" s="333"/>
      <c r="B546" s="147"/>
      <c r="C546" s="147"/>
      <c r="D546" s="334"/>
      <c r="E546" s="334"/>
      <c r="F546" s="69"/>
      <c r="G546" s="59"/>
    </row>
    <row r="547" ht="12.0" customHeight="1">
      <c r="A547" s="333"/>
      <c r="B547" s="147"/>
      <c r="C547" s="147"/>
      <c r="D547" s="334"/>
      <c r="E547" s="334"/>
      <c r="F547" s="69"/>
      <c r="G547" s="59"/>
    </row>
    <row r="548" ht="12.0" customHeight="1">
      <c r="A548" s="333"/>
      <c r="B548" s="147"/>
      <c r="C548" s="147"/>
      <c r="D548" s="334"/>
      <c r="E548" s="334"/>
      <c r="F548" s="69"/>
      <c r="G548" s="59"/>
    </row>
    <row r="549" ht="12.0" customHeight="1">
      <c r="A549" s="333"/>
      <c r="B549" s="147"/>
      <c r="C549" s="147"/>
      <c r="D549" s="334"/>
      <c r="E549" s="334"/>
      <c r="F549" s="69"/>
      <c r="G549" s="59"/>
    </row>
    <row r="550" ht="12.0" customHeight="1">
      <c r="A550" s="333"/>
      <c r="B550" s="147"/>
      <c r="C550" s="147"/>
      <c r="D550" s="334"/>
      <c r="E550" s="334"/>
      <c r="F550" s="69"/>
      <c r="G550" s="59"/>
    </row>
    <row r="551" ht="12.0" customHeight="1">
      <c r="A551" s="333"/>
      <c r="B551" s="147"/>
      <c r="C551" s="147"/>
      <c r="D551" s="334"/>
      <c r="E551" s="334"/>
      <c r="F551" s="69"/>
      <c r="G551" s="59"/>
    </row>
    <row r="552" ht="12.0" customHeight="1">
      <c r="A552" s="333"/>
      <c r="B552" s="147"/>
      <c r="C552" s="147"/>
      <c r="D552" s="334"/>
      <c r="E552" s="334"/>
      <c r="F552" s="69"/>
      <c r="G552" s="59"/>
    </row>
    <row r="553" ht="12.0" customHeight="1">
      <c r="A553" s="333"/>
      <c r="B553" s="147"/>
      <c r="C553" s="147"/>
      <c r="D553" s="334"/>
      <c r="E553" s="334"/>
      <c r="F553" s="69"/>
      <c r="G553" s="59"/>
    </row>
    <row r="554" ht="12.0" customHeight="1">
      <c r="A554" s="333"/>
      <c r="B554" s="147"/>
      <c r="C554" s="147"/>
      <c r="D554" s="334"/>
      <c r="E554" s="334"/>
      <c r="F554" s="69"/>
      <c r="G554" s="59"/>
    </row>
    <row r="555" ht="12.0" customHeight="1">
      <c r="A555" s="333"/>
      <c r="B555" s="147"/>
      <c r="C555" s="147"/>
      <c r="D555" s="334"/>
      <c r="E555" s="334"/>
      <c r="F555" s="69"/>
      <c r="G555" s="59"/>
    </row>
    <row r="556" ht="12.0" customHeight="1">
      <c r="A556" s="333"/>
      <c r="B556" s="147"/>
      <c r="C556" s="147"/>
      <c r="D556" s="334"/>
      <c r="E556" s="334"/>
      <c r="F556" s="69"/>
      <c r="G556" s="59"/>
    </row>
    <row r="557" ht="12.0" customHeight="1">
      <c r="A557" s="333"/>
      <c r="B557" s="147"/>
      <c r="C557" s="147"/>
      <c r="D557" s="334"/>
      <c r="E557" s="334"/>
      <c r="F557" s="69"/>
      <c r="G557" s="59"/>
    </row>
    <row r="558" ht="12.0" customHeight="1">
      <c r="A558" s="333"/>
      <c r="B558" s="147"/>
      <c r="C558" s="147"/>
      <c r="D558" s="334"/>
      <c r="E558" s="334"/>
      <c r="F558" s="69"/>
      <c r="G558" s="59"/>
    </row>
    <row r="559" ht="12.0" customHeight="1">
      <c r="A559" s="333"/>
      <c r="B559" s="147"/>
      <c r="C559" s="147"/>
      <c r="D559" s="334"/>
      <c r="E559" s="334"/>
      <c r="F559" s="69"/>
      <c r="G559" s="59"/>
    </row>
    <row r="560" ht="12.0" customHeight="1">
      <c r="A560" s="333"/>
      <c r="B560" s="147"/>
      <c r="C560" s="147"/>
      <c r="D560" s="334"/>
      <c r="E560" s="334"/>
      <c r="F560" s="69"/>
      <c r="G560" s="59"/>
    </row>
    <row r="561" ht="12.0" customHeight="1">
      <c r="A561" s="333"/>
      <c r="B561" s="147"/>
      <c r="C561" s="147"/>
      <c r="D561" s="334"/>
      <c r="E561" s="334"/>
      <c r="F561" s="69"/>
      <c r="G561" s="59"/>
    </row>
    <row r="562" ht="12.0" customHeight="1">
      <c r="A562" s="333"/>
      <c r="B562" s="147"/>
      <c r="C562" s="147"/>
      <c r="D562" s="334"/>
      <c r="E562" s="334"/>
      <c r="F562" s="69"/>
      <c r="G562" s="59"/>
    </row>
    <row r="563" ht="12.0" customHeight="1">
      <c r="A563" s="333"/>
      <c r="B563" s="147"/>
      <c r="C563" s="147"/>
      <c r="D563" s="334"/>
      <c r="E563" s="334"/>
      <c r="F563" s="69"/>
      <c r="G563" s="59"/>
    </row>
    <row r="564" ht="12.0" customHeight="1">
      <c r="A564" s="333"/>
      <c r="B564" s="147"/>
      <c r="C564" s="147"/>
      <c r="D564" s="334"/>
      <c r="E564" s="334"/>
      <c r="F564" s="69"/>
      <c r="G564" s="59"/>
    </row>
    <row r="565" ht="12.0" customHeight="1">
      <c r="A565" s="333"/>
      <c r="B565" s="147"/>
      <c r="C565" s="147"/>
      <c r="D565" s="334"/>
      <c r="E565" s="334"/>
      <c r="F565" s="69"/>
      <c r="G565" s="59"/>
    </row>
    <row r="566" ht="12.0" customHeight="1">
      <c r="A566" s="333"/>
      <c r="B566" s="147"/>
      <c r="C566" s="147"/>
      <c r="D566" s="334"/>
      <c r="E566" s="334"/>
      <c r="F566" s="69"/>
      <c r="G566" s="59"/>
    </row>
    <row r="567" ht="12.0" customHeight="1">
      <c r="A567" s="333"/>
      <c r="B567" s="147"/>
      <c r="C567" s="147"/>
      <c r="D567" s="334"/>
      <c r="E567" s="334"/>
      <c r="F567" s="69"/>
      <c r="G567" s="59"/>
    </row>
    <row r="568" ht="12.0" customHeight="1">
      <c r="A568" s="333"/>
      <c r="B568" s="147"/>
      <c r="C568" s="147"/>
      <c r="D568" s="334"/>
      <c r="E568" s="334"/>
      <c r="F568" s="69"/>
      <c r="G568" s="59"/>
    </row>
    <row r="569" ht="12.0" customHeight="1">
      <c r="A569" s="333"/>
      <c r="B569" s="147"/>
      <c r="C569" s="147"/>
      <c r="D569" s="334"/>
      <c r="E569" s="334"/>
      <c r="F569" s="69"/>
      <c r="G569" s="59"/>
    </row>
    <row r="570" ht="12.0" customHeight="1">
      <c r="A570" s="333"/>
      <c r="B570" s="147"/>
      <c r="C570" s="147"/>
      <c r="D570" s="334"/>
      <c r="E570" s="334"/>
      <c r="F570" s="69"/>
      <c r="G570" s="59"/>
    </row>
    <row r="571" ht="12.0" customHeight="1">
      <c r="A571" s="333"/>
      <c r="B571" s="147"/>
      <c r="C571" s="147"/>
      <c r="D571" s="334"/>
      <c r="E571" s="334"/>
      <c r="F571" s="69"/>
      <c r="G571" s="59"/>
    </row>
    <row r="572" ht="12.0" customHeight="1">
      <c r="A572" s="333"/>
      <c r="B572" s="147"/>
      <c r="C572" s="147"/>
      <c r="D572" s="334"/>
      <c r="E572" s="334"/>
      <c r="F572" s="69"/>
      <c r="G572" s="59"/>
    </row>
    <row r="573" ht="12.0" customHeight="1">
      <c r="A573" s="333"/>
      <c r="B573" s="147"/>
      <c r="C573" s="147"/>
      <c r="D573" s="334"/>
      <c r="E573" s="334"/>
      <c r="F573" s="69"/>
      <c r="G573" s="59"/>
    </row>
    <row r="574" ht="12.0" customHeight="1">
      <c r="A574" s="333"/>
      <c r="B574" s="147"/>
      <c r="C574" s="147"/>
      <c r="D574" s="334"/>
      <c r="E574" s="334"/>
      <c r="F574" s="69"/>
      <c r="G574" s="59"/>
    </row>
    <row r="575" ht="12.0" customHeight="1">
      <c r="A575" s="333"/>
      <c r="B575" s="147"/>
      <c r="C575" s="147"/>
      <c r="D575" s="334"/>
      <c r="E575" s="334"/>
      <c r="F575" s="69"/>
      <c r="G575" s="59"/>
    </row>
    <row r="576" ht="12.0" customHeight="1">
      <c r="A576" s="333"/>
      <c r="B576" s="147"/>
      <c r="C576" s="147"/>
      <c r="D576" s="334"/>
      <c r="E576" s="334"/>
      <c r="F576" s="69"/>
      <c r="G576" s="59"/>
    </row>
    <row r="577" ht="12.0" customHeight="1">
      <c r="A577" s="333"/>
      <c r="B577" s="147"/>
      <c r="C577" s="147"/>
      <c r="D577" s="334"/>
      <c r="E577" s="334"/>
      <c r="F577" s="69"/>
      <c r="G577" s="59"/>
    </row>
    <row r="578" ht="12.0" customHeight="1">
      <c r="A578" s="333"/>
      <c r="B578" s="147"/>
      <c r="C578" s="147"/>
      <c r="D578" s="334"/>
      <c r="E578" s="334"/>
      <c r="F578" s="69"/>
      <c r="G578" s="59"/>
    </row>
    <row r="579" ht="12.0" customHeight="1">
      <c r="A579" s="333"/>
      <c r="B579" s="147"/>
      <c r="C579" s="147"/>
      <c r="D579" s="334"/>
      <c r="E579" s="334"/>
      <c r="F579" s="69"/>
      <c r="G579" s="59"/>
    </row>
    <row r="580" ht="12.0" customHeight="1">
      <c r="A580" s="333"/>
      <c r="B580" s="147"/>
      <c r="C580" s="147"/>
      <c r="D580" s="334"/>
      <c r="E580" s="334"/>
      <c r="F580" s="69"/>
      <c r="G580" s="59"/>
    </row>
    <row r="581" ht="12.0" customHeight="1">
      <c r="A581" s="333"/>
      <c r="B581" s="147"/>
      <c r="C581" s="147"/>
      <c r="D581" s="334"/>
      <c r="E581" s="334"/>
      <c r="F581" s="69"/>
      <c r="G581" s="59"/>
    </row>
    <row r="582" ht="12.0" customHeight="1">
      <c r="A582" s="333"/>
      <c r="B582" s="147"/>
      <c r="C582" s="147"/>
      <c r="D582" s="334"/>
      <c r="E582" s="334"/>
      <c r="F582" s="69"/>
      <c r="G582" s="59"/>
    </row>
    <row r="583" ht="12.0" customHeight="1">
      <c r="A583" s="333"/>
      <c r="B583" s="147"/>
      <c r="C583" s="147"/>
      <c r="D583" s="334"/>
      <c r="E583" s="334"/>
      <c r="F583" s="69"/>
      <c r="G583" s="59"/>
    </row>
    <row r="584" ht="12.0" customHeight="1">
      <c r="A584" s="333"/>
      <c r="B584" s="147"/>
      <c r="C584" s="147"/>
      <c r="D584" s="334"/>
      <c r="E584" s="334"/>
      <c r="F584" s="69"/>
      <c r="G584" s="59"/>
    </row>
    <row r="585" ht="12.0" customHeight="1">
      <c r="A585" s="333"/>
      <c r="B585" s="147"/>
      <c r="C585" s="147"/>
      <c r="D585" s="334"/>
      <c r="E585" s="334"/>
      <c r="F585" s="69"/>
      <c r="G585" s="59"/>
    </row>
    <row r="586" ht="12.0" customHeight="1">
      <c r="A586" s="333"/>
      <c r="B586" s="147"/>
      <c r="C586" s="147"/>
      <c r="D586" s="334"/>
      <c r="E586" s="334"/>
      <c r="F586" s="69"/>
      <c r="G586" s="59"/>
    </row>
    <row r="587" ht="12.0" customHeight="1">
      <c r="A587" s="333"/>
      <c r="B587" s="147"/>
      <c r="C587" s="147"/>
      <c r="D587" s="334"/>
      <c r="E587" s="334"/>
      <c r="F587" s="69"/>
      <c r="G587" s="59"/>
    </row>
    <row r="588" ht="12.0" customHeight="1">
      <c r="A588" s="333"/>
      <c r="B588" s="147"/>
      <c r="C588" s="147"/>
      <c r="D588" s="334"/>
      <c r="E588" s="334"/>
      <c r="F588" s="69"/>
      <c r="G588" s="59"/>
    </row>
    <row r="589" ht="12.0" customHeight="1">
      <c r="A589" s="333"/>
      <c r="B589" s="147"/>
      <c r="C589" s="147"/>
      <c r="D589" s="334"/>
      <c r="E589" s="334"/>
      <c r="F589" s="69"/>
      <c r="G589" s="59"/>
    </row>
    <row r="590" ht="12.0" customHeight="1">
      <c r="A590" s="333"/>
      <c r="B590" s="147"/>
      <c r="C590" s="147"/>
      <c r="D590" s="334"/>
      <c r="E590" s="334"/>
      <c r="F590" s="69"/>
      <c r="G590" s="59"/>
    </row>
    <row r="591" ht="12.0" customHeight="1">
      <c r="A591" s="333"/>
      <c r="B591" s="147"/>
      <c r="C591" s="147"/>
      <c r="D591" s="334"/>
      <c r="E591" s="334"/>
      <c r="F591" s="69"/>
      <c r="G591" s="59"/>
    </row>
    <row r="592" ht="12.0" customHeight="1">
      <c r="A592" s="333"/>
      <c r="B592" s="147"/>
      <c r="C592" s="147"/>
      <c r="D592" s="334"/>
      <c r="E592" s="334"/>
      <c r="F592" s="69"/>
      <c r="G592" s="59"/>
    </row>
    <row r="593" ht="12.0" customHeight="1">
      <c r="A593" s="333"/>
      <c r="B593" s="147"/>
      <c r="C593" s="147"/>
      <c r="D593" s="334"/>
      <c r="E593" s="334"/>
      <c r="F593" s="69"/>
      <c r="G593" s="59"/>
    </row>
    <row r="594" ht="12.0" customHeight="1">
      <c r="A594" s="333"/>
      <c r="B594" s="147"/>
      <c r="C594" s="147"/>
      <c r="D594" s="334"/>
      <c r="E594" s="334"/>
      <c r="F594" s="69"/>
      <c r="G594" s="59"/>
    </row>
    <row r="595" ht="12.0" customHeight="1">
      <c r="A595" s="333"/>
      <c r="B595" s="147"/>
      <c r="C595" s="147"/>
      <c r="D595" s="334"/>
      <c r="E595" s="334"/>
      <c r="F595" s="69"/>
      <c r="G595" s="59"/>
    </row>
    <row r="596" ht="12.0" customHeight="1">
      <c r="A596" s="333"/>
      <c r="B596" s="147"/>
      <c r="C596" s="147"/>
      <c r="D596" s="334"/>
      <c r="E596" s="334"/>
      <c r="F596" s="69"/>
      <c r="G596" s="59"/>
    </row>
    <row r="597" ht="12.0" customHeight="1">
      <c r="A597" s="333"/>
      <c r="B597" s="147"/>
      <c r="C597" s="147"/>
      <c r="D597" s="334"/>
      <c r="E597" s="334"/>
      <c r="F597" s="69"/>
      <c r="G597" s="59"/>
    </row>
    <row r="598" ht="12.0" customHeight="1">
      <c r="A598" s="333"/>
      <c r="B598" s="147"/>
      <c r="C598" s="147"/>
      <c r="D598" s="334"/>
      <c r="E598" s="334"/>
      <c r="F598" s="69"/>
      <c r="G598" s="59"/>
    </row>
    <row r="599" ht="12.0" customHeight="1">
      <c r="A599" s="333"/>
      <c r="B599" s="147"/>
      <c r="C599" s="147"/>
      <c r="D599" s="334"/>
      <c r="E599" s="334"/>
      <c r="F599" s="69"/>
      <c r="G599" s="59"/>
    </row>
    <row r="600" ht="12.0" customHeight="1">
      <c r="A600" s="333"/>
      <c r="B600" s="147"/>
      <c r="C600" s="147"/>
      <c r="D600" s="334"/>
      <c r="E600" s="334"/>
      <c r="F600" s="69"/>
      <c r="G600" s="59"/>
    </row>
    <row r="601" ht="12.0" customHeight="1">
      <c r="A601" s="333"/>
      <c r="B601" s="147"/>
      <c r="C601" s="147"/>
      <c r="D601" s="334"/>
      <c r="E601" s="334"/>
      <c r="F601" s="69"/>
      <c r="G601" s="59"/>
    </row>
    <row r="602" ht="12.0" customHeight="1">
      <c r="A602" s="333"/>
      <c r="B602" s="147"/>
      <c r="C602" s="147"/>
      <c r="D602" s="334"/>
      <c r="E602" s="334"/>
      <c r="F602" s="69"/>
      <c r="G602" s="59"/>
    </row>
    <row r="603" ht="12.0" customHeight="1">
      <c r="A603" s="333"/>
      <c r="B603" s="147"/>
      <c r="C603" s="147"/>
      <c r="D603" s="334"/>
      <c r="E603" s="334"/>
      <c r="F603" s="69"/>
      <c r="G603" s="59"/>
    </row>
    <row r="604" ht="12.0" customHeight="1">
      <c r="A604" s="333"/>
      <c r="B604" s="147"/>
      <c r="C604" s="147"/>
      <c r="D604" s="334"/>
      <c r="E604" s="334"/>
      <c r="F604" s="69"/>
      <c r="G604" s="59"/>
    </row>
    <row r="605" ht="12.0" customHeight="1">
      <c r="A605" s="333"/>
      <c r="B605" s="147"/>
      <c r="C605" s="147"/>
      <c r="D605" s="334"/>
      <c r="E605" s="334"/>
      <c r="F605" s="69"/>
      <c r="G605" s="59"/>
    </row>
    <row r="606" ht="12.0" customHeight="1">
      <c r="A606" s="333"/>
      <c r="B606" s="147"/>
      <c r="C606" s="147"/>
      <c r="D606" s="334"/>
      <c r="E606" s="334"/>
      <c r="F606" s="69"/>
      <c r="G606" s="59"/>
    </row>
    <row r="607" ht="12.0" customHeight="1">
      <c r="A607" s="333"/>
      <c r="B607" s="147"/>
      <c r="C607" s="147"/>
      <c r="D607" s="334"/>
      <c r="E607" s="334"/>
      <c r="F607" s="69"/>
      <c r="G607" s="59"/>
    </row>
    <row r="608" ht="12.0" customHeight="1">
      <c r="A608" s="333"/>
      <c r="B608" s="147"/>
      <c r="C608" s="147"/>
      <c r="D608" s="334"/>
      <c r="E608" s="334"/>
      <c r="F608" s="69"/>
      <c r="G608" s="59"/>
    </row>
    <row r="609" ht="12.0" customHeight="1">
      <c r="A609" s="333"/>
      <c r="B609" s="147"/>
      <c r="C609" s="147"/>
      <c r="D609" s="334"/>
      <c r="E609" s="334"/>
      <c r="F609" s="69"/>
      <c r="G609" s="59"/>
    </row>
    <row r="610" ht="12.0" customHeight="1">
      <c r="A610" s="333"/>
      <c r="B610" s="147"/>
      <c r="C610" s="147"/>
      <c r="D610" s="334"/>
      <c r="E610" s="334"/>
      <c r="F610" s="69"/>
      <c r="G610" s="59"/>
    </row>
    <row r="611" ht="12.0" customHeight="1">
      <c r="A611" s="333"/>
      <c r="B611" s="147"/>
      <c r="C611" s="147"/>
      <c r="D611" s="334"/>
      <c r="E611" s="334"/>
      <c r="F611" s="69"/>
      <c r="G611" s="59"/>
    </row>
    <row r="612" ht="12.0" customHeight="1">
      <c r="A612" s="333"/>
      <c r="B612" s="147"/>
      <c r="C612" s="147"/>
      <c r="D612" s="334"/>
      <c r="E612" s="334"/>
      <c r="F612" s="69"/>
      <c r="G612" s="59"/>
    </row>
    <row r="613" ht="12.0" customHeight="1">
      <c r="A613" s="333"/>
      <c r="B613" s="147"/>
      <c r="C613" s="147"/>
      <c r="D613" s="334"/>
      <c r="E613" s="334"/>
      <c r="F613" s="69"/>
      <c r="G613" s="59"/>
    </row>
    <row r="614" ht="12.0" customHeight="1">
      <c r="A614" s="333"/>
      <c r="B614" s="147"/>
      <c r="C614" s="147"/>
      <c r="D614" s="334"/>
      <c r="E614" s="334"/>
      <c r="F614" s="69"/>
      <c r="G614" s="59"/>
    </row>
    <row r="615" ht="12.0" customHeight="1">
      <c r="A615" s="333"/>
      <c r="B615" s="147"/>
      <c r="C615" s="147"/>
      <c r="D615" s="334"/>
      <c r="E615" s="334"/>
      <c r="F615" s="69"/>
      <c r="G615" s="59"/>
    </row>
    <row r="616" ht="12.0" customHeight="1">
      <c r="A616" s="333"/>
      <c r="B616" s="147"/>
      <c r="C616" s="147"/>
      <c r="D616" s="334"/>
      <c r="E616" s="334"/>
      <c r="F616" s="69"/>
      <c r="G616" s="59"/>
    </row>
    <row r="617" ht="12.0" customHeight="1">
      <c r="A617" s="333"/>
      <c r="B617" s="147"/>
      <c r="C617" s="147"/>
      <c r="D617" s="334"/>
      <c r="E617" s="334"/>
      <c r="F617" s="69"/>
      <c r="G617" s="59"/>
    </row>
    <row r="618" ht="12.0" customHeight="1">
      <c r="A618" s="333"/>
      <c r="B618" s="147"/>
      <c r="C618" s="147"/>
      <c r="D618" s="334"/>
      <c r="E618" s="334"/>
      <c r="F618" s="69"/>
      <c r="G618" s="59"/>
    </row>
    <row r="619" ht="12.0" customHeight="1">
      <c r="A619" s="333"/>
      <c r="B619" s="147"/>
      <c r="C619" s="147"/>
      <c r="D619" s="334"/>
      <c r="E619" s="334"/>
      <c r="F619" s="69"/>
      <c r="G619" s="59"/>
    </row>
    <row r="620" ht="12.0" customHeight="1">
      <c r="A620" s="333"/>
      <c r="B620" s="147"/>
      <c r="C620" s="147"/>
      <c r="D620" s="334"/>
      <c r="E620" s="334"/>
      <c r="F620" s="69"/>
      <c r="G620" s="59"/>
    </row>
    <row r="621" ht="12.0" customHeight="1">
      <c r="A621" s="333"/>
      <c r="B621" s="147"/>
      <c r="C621" s="147"/>
      <c r="D621" s="334"/>
      <c r="E621" s="334"/>
      <c r="F621" s="69"/>
      <c r="G621" s="59"/>
    </row>
    <row r="622" ht="12.0" customHeight="1">
      <c r="A622" s="333"/>
      <c r="B622" s="147"/>
      <c r="C622" s="147"/>
      <c r="D622" s="334"/>
      <c r="E622" s="334"/>
      <c r="F622" s="69"/>
      <c r="G622" s="59"/>
    </row>
    <row r="623" ht="12.0" customHeight="1">
      <c r="A623" s="333"/>
      <c r="B623" s="147"/>
      <c r="C623" s="147"/>
      <c r="D623" s="334"/>
      <c r="E623" s="334"/>
      <c r="F623" s="69"/>
      <c r="G623" s="59"/>
    </row>
    <row r="624" ht="12.0" customHeight="1">
      <c r="A624" s="333"/>
      <c r="B624" s="147"/>
      <c r="C624" s="147"/>
      <c r="D624" s="334"/>
      <c r="E624" s="334"/>
      <c r="F624" s="69"/>
      <c r="G624" s="59"/>
    </row>
    <row r="625" ht="12.0" customHeight="1">
      <c r="A625" s="333"/>
      <c r="B625" s="147"/>
      <c r="C625" s="147"/>
      <c r="D625" s="334"/>
      <c r="E625" s="334"/>
      <c r="F625" s="69"/>
      <c r="G625" s="59"/>
    </row>
    <row r="626" ht="12.0" customHeight="1">
      <c r="A626" s="333"/>
      <c r="B626" s="147"/>
      <c r="C626" s="147"/>
      <c r="D626" s="334"/>
      <c r="E626" s="334"/>
      <c r="F626" s="69"/>
      <c r="G626" s="59"/>
    </row>
    <row r="627" ht="12.0" customHeight="1">
      <c r="A627" s="333"/>
      <c r="B627" s="147"/>
      <c r="C627" s="147"/>
      <c r="D627" s="334"/>
      <c r="E627" s="334"/>
      <c r="F627" s="69"/>
      <c r="G627" s="59"/>
    </row>
    <row r="628" ht="12.0" customHeight="1">
      <c r="A628" s="333"/>
      <c r="B628" s="147"/>
      <c r="C628" s="147"/>
      <c r="D628" s="334"/>
      <c r="E628" s="334"/>
      <c r="F628" s="69"/>
      <c r="G628" s="59"/>
    </row>
    <row r="629" ht="12.0" customHeight="1">
      <c r="A629" s="333"/>
      <c r="B629" s="147"/>
      <c r="C629" s="147"/>
      <c r="D629" s="334"/>
      <c r="E629" s="334"/>
      <c r="F629" s="69"/>
      <c r="G629" s="59"/>
    </row>
    <row r="630" ht="12.0" customHeight="1">
      <c r="A630" s="333"/>
      <c r="B630" s="147"/>
      <c r="C630" s="147"/>
      <c r="D630" s="334"/>
      <c r="E630" s="334"/>
      <c r="F630" s="69"/>
      <c r="G630" s="59"/>
    </row>
    <row r="631" ht="12.0" customHeight="1">
      <c r="A631" s="333"/>
      <c r="B631" s="147"/>
      <c r="C631" s="147"/>
      <c r="D631" s="334"/>
      <c r="E631" s="334"/>
      <c r="F631" s="69"/>
      <c r="G631" s="59"/>
    </row>
    <row r="632" ht="12.0" customHeight="1">
      <c r="A632" s="333"/>
      <c r="B632" s="147"/>
      <c r="C632" s="147"/>
      <c r="D632" s="334"/>
      <c r="E632" s="334"/>
      <c r="F632" s="69"/>
      <c r="G632" s="59"/>
    </row>
    <row r="633" ht="12.0" customHeight="1">
      <c r="A633" s="333"/>
      <c r="B633" s="147"/>
      <c r="C633" s="147"/>
      <c r="D633" s="334"/>
      <c r="E633" s="334"/>
      <c r="F633" s="69"/>
      <c r="G633" s="59"/>
    </row>
    <row r="634" ht="12.0" customHeight="1">
      <c r="A634" s="333"/>
      <c r="B634" s="147"/>
      <c r="C634" s="147"/>
      <c r="D634" s="334"/>
      <c r="E634" s="334"/>
      <c r="F634" s="69"/>
      <c r="G634" s="59"/>
    </row>
    <row r="635" ht="12.0" customHeight="1">
      <c r="A635" s="333"/>
      <c r="B635" s="147"/>
      <c r="C635" s="147"/>
      <c r="D635" s="334"/>
      <c r="E635" s="334"/>
      <c r="F635" s="69"/>
      <c r="G635" s="59"/>
    </row>
    <row r="636" ht="12.0" customHeight="1">
      <c r="A636" s="333"/>
      <c r="B636" s="147"/>
      <c r="C636" s="147"/>
      <c r="D636" s="334"/>
      <c r="E636" s="334"/>
      <c r="F636" s="69"/>
      <c r="G636" s="59"/>
    </row>
    <row r="637" ht="12.0" customHeight="1">
      <c r="A637" s="333"/>
      <c r="B637" s="147"/>
      <c r="C637" s="147"/>
      <c r="D637" s="334"/>
      <c r="E637" s="334"/>
      <c r="F637" s="69"/>
      <c r="G637" s="59"/>
    </row>
    <row r="638" ht="12.0" customHeight="1">
      <c r="A638" s="333"/>
      <c r="B638" s="147"/>
      <c r="C638" s="147"/>
      <c r="D638" s="334"/>
      <c r="E638" s="334"/>
      <c r="F638" s="69"/>
      <c r="G638" s="59"/>
    </row>
    <row r="639" ht="12.0" customHeight="1">
      <c r="A639" s="333"/>
      <c r="B639" s="147"/>
      <c r="C639" s="147"/>
      <c r="D639" s="334"/>
      <c r="E639" s="334"/>
      <c r="F639" s="69"/>
      <c r="G639" s="59"/>
    </row>
    <row r="640" ht="12.0" customHeight="1">
      <c r="A640" s="333"/>
      <c r="B640" s="147"/>
      <c r="C640" s="147"/>
      <c r="D640" s="334"/>
      <c r="E640" s="334"/>
      <c r="F640" s="69"/>
      <c r="G640" s="59"/>
    </row>
    <row r="641" ht="12.0" customHeight="1">
      <c r="A641" s="333"/>
      <c r="B641" s="147"/>
      <c r="C641" s="147"/>
      <c r="D641" s="334"/>
      <c r="E641" s="334"/>
      <c r="F641" s="69"/>
      <c r="G641" s="59"/>
    </row>
    <row r="642" ht="12.0" customHeight="1">
      <c r="A642" s="333"/>
      <c r="B642" s="147"/>
      <c r="C642" s="147"/>
      <c r="D642" s="334"/>
      <c r="E642" s="334"/>
      <c r="F642" s="69"/>
      <c r="G642" s="59"/>
    </row>
    <row r="643" ht="12.0" customHeight="1">
      <c r="A643" s="333"/>
      <c r="B643" s="147"/>
      <c r="C643" s="147"/>
      <c r="D643" s="334"/>
      <c r="E643" s="334"/>
      <c r="F643" s="69"/>
      <c r="G643" s="59"/>
    </row>
    <row r="644" ht="12.0" customHeight="1">
      <c r="A644" s="333"/>
      <c r="B644" s="147"/>
      <c r="C644" s="147"/>
      <c r="D644" s="334"/>
      <c r="E644" s="334"/>
      <c r="F644" s="69"/>
      <c r="G644" s="59"/>
    </row>
    <row r="645" ht="12.0" customHeight="1">
      <c r="A645" s="333"/>
      <c r="B645" s="147"/>
      <c r="C645" s="147"/>
      <c r="D645" s="334"/>
      <c r="E645" s="334"/>
      <c r="F645" s="69"/>
      <c r="G645" s="59"/>
    </row>
    <row r="646" ht="12.0" customHeight="1">
      <c r="A646" s="333"/>
      <c r="B646" s="147"/>
      <c r="C646" s="147"/>
      <c r="D646" s="334"/>
      <c r="E646" s="334"/>
      <c r="F646" s="69"/>
      <c r="G646" s="59"/>
    </row>
    <row r="647" ht="12.0" customHeight="1">
      <c r="A647" s="333"/>
      <c r="B647" s="147"/>
      <c r="C647" s="147"/>
      <c r="D647" s="334"/>
      <c r="E647" s="334"/>
      <c r="F647" s="69"/>
      <c r="G647" s="59"/>
    </row>
    <row r="648" ht="12.0" customHeight="1">
      <c r="A648" s="333"/>
      <c r="B648" s="147"/>
      <c r="C648" s="147"/>
      <c r="D648" s="334"/>
      <c r="E648" s="334"/>
      <c r="F648" s="69"/>
      <c r="G648" s="59"/>
    </row>
    <row r="649" ht="12.0" customHeight="1">
      <c r="A649" s="333"/>
      <c r="B649" s="147"/>
      <c r="C649" s="147"/>
      <c r="D649" s="334"/>
      <c r="E649" s="334"/>
      <c r="F649" s="69"/>
      <c r="G649" s="59"/>
    </row>
    <row r="650" ht="12.0" customHeight="1">
      <c r="A650" s="333"/>
      <c r="B650" s="147"/>
      <c r="C650" s="147"/>
      <c r="D650" s="334"/>
      <c r="E650" s="334"/>
      <c r="F650" s="69"/>
      <c r="G650" s="59"/>
    </row>
    <row r="651" ht="12.0" customHeight="1">
      <c r="A651" s="333"/>
      <c r="B651" s="147"/>
      <c r="C651" s="147"/>
      <c r="D651" s="334"/>
      <c r="E651" s="334"/>
      <c r="F651" s="69"/>
      <c r="G651" s="59"/>
    </row>
    <row r="652" ht="12.0" customHeight="1">
      <c r="A652" s="333"/>
      <c r="B652" s="147"/>
      <c r="C652" s="147"/>
      <c r="D652" s="334"/>
      <c r="E652" s="334"/>
      <c r="F652" s="69"/>
      <c r="G652" s="59"/>
    </row>
    <row r="653" ht="12.0" customHeight="1">
      <c r="A653" s="333"/>
      <c r="B653" s="147"/>
      <c r="C653" s="147"/>
      <c r="D653" s="334"/>
      <c r="E653" s="334"/>
      <c r="F653" s="69"/>
      <c r="G653" s="59"/>
    </row>
    <row r="654" ht="12.0" customHeight="1">
      <c r="A654" s="333"/>
      <c r="B654" s="147"/>
      <c r="C654" s="147"/>
      <c r="D654" s="334"/>
      <c r="E654" s="334"/>
      <c r="F654" s="69"/>
      <c r="G654" s="59"/>
    </row>
    <row r="655" ht="12.0" customHeight="1">
      <c r="A655" s="333"/>
      <c r="B655" s="147"/>
      <c r="C655" s="147"/>
      <c r="D655" s="334"/>
      <c r="E655" s="334"/>
      <c r="F655" s="69"/>
      <c r="G655" s="59"/>
    </row>
    <row r="656" ht="12.0" customHeight="1">
      <c r="A656" s="333"/>
      <c r="B656" s="147"/>
      <c r="C656" s="147"/>
      <c r="D656" s="334"/>
      <c r="E656" s="334"/>
      <c r="F656" s="69"/>
      <c r="G656" s="59"/>
    </row>
    <row r="657" ht="12.0" customHeight="1">
      <c r="A657" s="333"/>
      <c r="B657" s="147"/>
      <c r="C657" s="147"/>
      <c r="D657" s="334"/>
      <c r="E657" s="334"/>
      <c r="F657" s="69"/>
      <c r="G657" s="59"/>
    </row>
    <row r="658" ht="12.0" customHeight="1">
      <c r="A658" s="333"/>
      <c r="B658" s="147"/>
      <c r="C658" s="147"/>
      <c r="D658" s="334"/>
      <c r="E658" s="334"/>
      <c r="F658" s="69"/>
      <c r="G658" s="59"/>
    </row>
    <row r="659" ht="12.0" customHeight="1">
      <c r="A659" s="333"/>
      <c r="B659" s="147"/>
      <c r="C659" s="147"/>
      <c r="D659" s="334"/>
      <c r="E659" s="334"/>
      <c r="F659" s="69"/>
      <c r="G659" s="59"/>
    </row>
    <row r="660" ht="12.0" customHeight="1">
      <c r="A660" s="333"/>
      <c r="B660" s="147"/>
      <c r="C660" s="147"/>
      <c r="D660" s="334"/>
      <c r="E660" s="334"/>
      <c r="F660" s="69"/>
      <c r="G660" s="59"/>
    </row>
    <row r="661" ht="12.0" customHeight="1">
      <c r="A661" s="333"/>
      <c r="B661" s="147"/>
      <c r="C661" s="147"/>
      <c r="D661" s="334"/>
      <c r="E661" s="334"/>
      <c r="F661" s="69"/>
      <c r="G661" s="59"/>
    </row>
    <row r="662" ht="12.0" customHeight="1">
      <c r="A662" s="333"/>
      <c r="B662" s="147"/>
      <c r="C662" s="147"/>
      <c r="D662" s="334"/>
      <c r="E662" s="334"/>
      <c r="F662" s="69"/>
      <c r="G662" s="59"/>
    </row>
    <row r="663" ht="12.0" customHeight="1">
      <c r="A663" s="333"/>
      <c r="B663" s="147"/>
      <c r="C663" s="147"/>
      <c r="D663" s="334"/>
      <c r="E663" s="334"/>
      <c r="F663" s="69"/>
      <c r="G663" s="59"/>
    </row>
    <row r="664" ht="12.0" customHeight="1">
      <c r="A664" s="333"/>
      <c r="B664" s="147"/>
      <c r="C664" s="147"/>
      <c r="D664" s="334"/>
      <c r="E664" s="334"/>
      <c r="F664" s="69"/>
      <c r="G664" s="59"/>
    </row>
    <row r="665" ht="12.0" customHeight="1">
      <c r="A665" s="333"/>
      <c r="B665" s="147"/>
      <c r="C665" s="147"/>
      <c r="D665" s="334"/>
      <c r="E665" s="334"/>
      <c r="F665" s="69"/>
      <c r="G665" s="59"/>
    </row>
    <row r="666" ht="12.0" customHeight="1">
      <c r="A666" s="333"/>
      <c r="B666" s="147"/>
      <c r="C666" s="147"/>
      <c r="D666" s="334"/>
      <c r="E666" s="334"/>
      <c r="F666" s="69"/>
      <c r="G666" s="59"/>
    </row>
    <row r="667" ht="12.0" customHeight="1">
      <c r="A667" s="333"/>
      <c r="B667" s="147"/>
      <c r="C667" s="147"/>
      <c r="D667" s="334"/>
      <c r="E667" s="334"/>
      <c r="F667" s="69"/>
      <c r="G667" s="59"/>
    </row>
    <row r="668" ht="12.0" customHeight="1">
      <c r="A668" s="333"/>
      <c r="B668" s="147"/>
      <c r="C668" s="147"/>
      <c r="D668" s="334"/>
      <c r="E668" s="334"/>
      <c r="F668" s="69"/>
      <c r="G668" s="59"/>
    </row>
    <row r="669" ht="12.0" customHeight="1">
      <c r="A669" s="333"/>
      <c r="B669" s="147"/>
      <c r="C669" s="147"/>
      <c r="D669" s="334"/>
      <c r="E669" s="334"/>
      <c r="F669" s="69"/>
      <c r="G669" s="59"/>
    </row>
    <row r="670" ht="12.0" customHeight="1">
      <c r="A670" s="333"/>
      <c r="B670" s="147"/>
      <c r="C670" s="147"/>
      <c r="D670" s="334"/>
      <c r="E670" s="334"/>
      <c r="F670" s="69"/>
      <c r="G670" s="59"/>
    </row>
    <row r="671" ht="12.0" customHeight="1">
      <c r="A671" s="333"/>
      <c r="B671" s="147"/>
      <c r="C671" s="147"/>
      <c r="D671" s="334"/>
      <c r="E671" s="334"/>
      <c r="F671" s="69"/>
      <c r="G671" s="59"/>
    </row>
    <row r="672" ht="12.0" customHeight="1">
      <c r="A672" s="333"/>
      <c r="B672" s="147"/>
      <c r="C672" s="147"/>
      <c r="D672" s="334"/>
      <c r="E672" s="334"/>
      <c r="F672" s="69"/>
      <c r="G672" s="59"/>
    </row>
    <row r="673" ht="12.0" customHeight="1">
      <c r="A673" s="333"/>
      <c r="B673" s="147"/>
      <c r="C673" s="147"/>
      <c r="D673" s="334"/>
      <c r="E673" s="334"/>
      <c r="F673" s="69"/>
      <c r="G673" s="59"/>
    </row>
    <row r="674" ht="12.0" customHeight="1">
      <c r="A674" s="333"/>
      <c r="B674" s="147"/>
      <c r="C674" s="147"/>
      <c r="D674" s="334"/>
      <c r="E674" s="334"/>
      <c r="F674" s="69"/>
      <c r="G674" s="59"/>
    </row>
    <row r="675" ht="12.0" customHeight="1">
      <c r="A675" s="333"/>
      <c r="B675" s="147"/>
      <c r="C675" s="147"/>
      <c r="D675" s="334"/>
      <c r="E675" s="334"/>
      <c r="F675" s="69"/>
      <c r="G675" s="59"/>
    </row>
    <row r="676" ht="12.0" customHeight="1">
      <c r="A676" s="333"/>
      <c r="B676" s="147"/>
      <c r="C676" s="147"/>
      <c r="D676" s="334"/>
      <c r="E676" s="334"/>
      <c r="F676" s="69"/>
      <c r="G676" s="59"/>
    </row>
    <row r="677" ht="12.0" customHeight="1">
      <c r="A677" s="333"/>
      <c r="B677" s="147"/>
      <c r="C677" s="147"/>
      <c r="D677" s="334"/>
      <c r="E677" s="334"/>
      <c r="F677" s="69"/>
      <c r="G677" s="59"/>
    </row>
    <row r="678" ht="12.0" customHeight="1">
      <c r="A678" s="333"/>
      <c r="B678" s="147"/>
      <c r="C678" s="147"/>
      <c r="D678" s="334"/>
      <c r="E678" s="334"/>
      <c r="F678" s="69"/>
      <c r="G678" s="59"/>
    </row>
    <row r="679" ht="12.0" customHeight="1">
      <c r="A679" s="333"/>
      <c r="B679" s="147"/>
      <c r="C679" s="147"/>
      <c r="D679" s="334"/>
      <c r="E679" s="334"/>
      <c r="F679" s="69"/>
      <c r="G679" s="59"/>
    </row>
    <row r="680" ht="12.0" customHeight="1">
      <c r="A680" s="333"/>
      <c r="B680" s="147"/>
      <c r="C680" s="147"/>
      <c r="D680" s="334"/>
      <c r="E680" s="334"/>
      <c r="F680" s="69"/>
      <c r="G680" s="59"/>
    </row>
    <row r="681" ht="12.0" customHeight="1">
      <c r="A681" s="333"/>
      <c r="B681" s="147"/>
      <c r="C681" s="147"/>
      <c r="D681" s="334"/>
      <c r="E681" s="334"/>
      <c r="F681" s="69"/>
      <c r="G681" s="59"/>
    </row>
    <row r="682" ht="12.0" customHeight="1">
      <c r="A682" s="333"/>
      <c r="B682" s="147"/>
      <c r="C682" s="147"/>
      <c r="D682" s="334"/>
      <c r="E682" s="334"/>
      <c r="F682" s="69"/>
      <c r="G682" s="59"/>
    </row>
    <row r="683" ht="12.0" customHeight="1">
      <c r="A683" s="333"/>
      <c r="B683" s="147"/>
      <c r="C683" s="147"/>
      <c r="D683" s="334"/>
      <c r="E683" s="334"/>
      <c r="F683" s="69"/>
      <c r="G683" s="59"/>
    </row>
    <row r="684" ht="12.0" customHeight="1">
      <c r="A684" s="333"/>
      <c r="B684" s="147"/>
      <c r="C684" s="147"/>
      <c r="D684" s="334"/>
      <c r="E684" s="334"/>
      <c r="F684" s="69"/>
      <c r="G684" s="59"/>
    </row>
    <row r="685" ht="12.0" customHeight="1">
      <c r="A685" s="333"/>
      <c r="B685" s="147"/>
      <c r="C685" s="147"/>
      <c r="D685" s="334"/>
      <c r="E685" s="334"/>
      <c r="F685" s="69"/>
      <c r="G685" s="59"/>
    </row>
    <row r="686" ht="12.0" customHeight="1">
      <c r="A686" s="333"/>
      <c r="B686" s="147"/>
      <c r="C686" s="147"/>
      <c r="D686" s="334"/>
      <c r="E686" s="334"/>
      <c r="F686" s="69"/>
      <c r="G686" s="59"/>
    </row>
    <row r="687" ht="12.0" customHeight="1">
      <c r="A687" s="333"/>
      <c r="B687" s="147"/>
      <c r="C687" s="147"/>
      <c r="D687" s="334"/>
      <c r="E687" s="334"/>
      <c r="F687" s="69"/>
      <c r="G687" s="59"/>
    </row>
    <row r="688" ht="12.0" customHeight="1">
      <c r="A688" s="333"/>
      <c r="B688" s="147"/>
      <c r="C688" s="147"/>
      <c r="D688" s="334"/>
      <c r="E688" s="334"/>
      <c r="F688" s="69"/>
      <c r="G688" s="59"/>
    </row>
    <row r="689" ht="12.0" customHeight="1">
      <c r="A689" s="333"/>
      <c r="B689" s="147"/>
      <c r="C689" s="147"/>
      <c r="D689" s="334"/>
      <c r="E689" s="334"/>
      <c r="F689" s="69"/>
      <c r="G689" s="59"/>
    </row>
    <row r="690" ht="12.0" customHeight="1">
      <c r="A690" s="333"/>
      <c r="B690" s="147"/>
      <c r="C690" s="147"/>
      <c r="D690" s="334"/>
      <c r="E690" s="334"/>
      <c r="F690" s="69"/>
      <c r="G690" s="59"/>
    </row>
    <row r="691" ht="12.0" customHeight="1">
      <c r="A691" s="333"/>
      <c r="B691" s="147"/>
      <c r="C691" s="147"/>
      <c r="D691" s="334"/>
      <c r="E691" s="334"/>
      <c r="F691" s="69"/>
      <c r="G691" s="59"/>
    </row>
    <row r="692" ht="12.0" customHeight="1">
      <c r="A692" s="333"/>
      <c r="B692" s="147"/>
      <c r="C692" s="147"/>
      <c r="D692" s="334"/>
      <c r="E692" s="334"/>
      <c r="F692" s="69"/>
      <c r="G692" s="59"/>
    </row>
    <row r="693" ht="12.0" customHeight="1">
      <c r="A693" s="333"/>
      <c r="B693" s="147"/>
      <c r="C693" s="147"/>
      <c r="D693" s="334"/>
      <c r="E693" s="334"/>
      <c r="F693" s="69"/>
      <c r="G693" s="59"/>
    </row>
    <row r="694" ht="12.0" customHeight="1">
      <c r="A694" s="333"/>
      <c r="B694" s="147"/>
      <c r="C694" s="147"/>
      <c r="D694" s="334"/>
      <c r="E694" s="334"/>
      <c r="F694" s="69"/>
      <c r="G694" s="59"/>
    </row>
    <row r="695" ht="12.0" customHeight="1">
      <c r="A695" s="333"/>
      <c r="B695" s="147"/>
      <c r="C695" s="147"/>
      <c r="D695" s="334"/>
      <c r="E695" s="334"/>
      <c r="F695" s="69"/>
      <c r="G695" s="59"/>
    </row>
    <row r="696" ht="12.0" customHeight="1">
      <c r="A696" s="333"/>
      <c r="B696" s="147"/>
      <c r="C696" s="147"/>
      <c r="D696" s="334"/>
      <c r="E696" s="334"/>
      <c r="F696" s="69"/>
      <c r="G696" s="59"/>
    </row>
    <row r="697" ht="12.0" customHeight="1">
      <c r="A697" s="333"/>
      <c r="B697" s="147"/>
      <c r="C697" s="147"/>
      <c r="D697" s="334"/>
      <c r="E697" s="334"/>
      <c r="F697" s="69"/>
      <c r="G697" s="59"/>
    </row>
    <row r="698" ht="12.0" customHeight="1">
      <c r="A698" s="333"/>
      <c r="B698" s="147"/>
      <c r="C698" s="147"/>
      <c r="D698" s="334"/>
      <c r="E698" s="334"/>
      <c r="F698" s="69"/>
      <c r="G698" s="59"/>
    </row>
    <row r="699" ht="12.0" customHeight="1">
      <c r="A699" s="333"/>
      <c r="B699" s="147"/>
      <c r="C699" s="147"/>
      <c r="D699" s="334"/>
      <c r="E699" s="334"/>
      <c r="F699" s="69"/>
      <c r="G699" s="59"/>
    </row>
    <row r="700" ht="12.0" customHeight="1">
      <c r="A700" s="333"/>
      <c r="B700" s="147"/>
      <c r="C700" s="147"/>
      <c r="D700" s="334"/>
      <c r="E700" s="334"/>
      <c r="F700" s="69"/>
      <c r="G700" s="59"/>
    </row>
    <row r="701" ht="12.0" customHeight="1">
      <c r="A701" s="333"/>
      <c r="B701" s="147"/>
      <c r="C701" s="147"/>
      <c r="D701" s="334"/>
      <c r="E701" s="334"/>
      <c r="F701" s="69"/>
      <c r="G701" s="59"/>
    </row>
    <row r="702" ht="12.0" customHeight="1">
      <c r="A702" s="333"/>
      <c r="B702" s="147"/>
      <c r="C702" s="147"/>
      <c r="D702" s="334"/>
      <c r="E702" s="334"/>
      <c r="F702" s="69"/>
      <c r="G702" s="59"/>
    </row>
    <row r="703" ht="12.0" customHeight="1">
      <c r="A703" s="333"/>
      <c r="B703" s="147"/>
      <c r="C703" s="147"/>
      <c r="D703" s="334"/>
      <c r="E703" s="334"/>
      <c r="F703" s="69"/>
      <c r="G703" s="59"/>
    </row>
    <row r="704" ht="12.0" customHeight="1">
      <c r="A704" s="333"/>
      <c r="B704" s="147"/>
      <c r="C704" s="147"/>
      <c r="D704" s="334"/>
      <c r="E704" s="334"/>
      <c r="F704" s="69"/>
      <c r="G704" s="59"/>
    </row>
    <row r="705" ht="12.0" customHeight="1">
      <c r="A705" s="333"/>
      <c r="B705" s="147"/>
      <c r="C705" s="147"/>
      <c r="D705" s="334"/>
      <c r="E705" s="334"/>
      <c r="F705" s="69"/>
      <c r="G705" s="59"/>
    </row>
    <row r="706" ht="12.0" customHeight="1">
      <c r="A706" s="333"/>
      <c r="B706" s="147"/>
      <c r="C706" s="147"/>
      <c r="D706" s="334"/>
      <c r="E706" s="334"/>
      <c r="F706" s="69"/>
      <c r="G706" s="59"/>
    </row>
    <row r="707" ht="12.0" customHeight="1">
      <c r="A707" s="333"/>
      <c r="B707" s="147"/>
      <c r="C707" s="147"/>
      <c r="D707" s="334"/>
      <c r="E707" s="334"/>
      <c r="F707" s="69"/>
      <c r="G707" s="59"/>
    </row>
    <row r="708" ht="12.0" customHeight="1">
      <c r="A708" s="333"/>
      <c r="B708" s="147"/>
      <c r="C708" s="147"/>
      <c r="D708" s="334"/>
      <c r="E708" s="334"/>
      <c r="F708" s="69"/>
      <c r="G708" s="59"/>
    </row>
    <row r="709" ht="12.0" customHeight="1">
      <c r="A709" s="333"/>
      <c r="B709" s="147"/>
      <c r="C709" s="147"/>
      <c r="D709" s="334"/>
      <c r="E709" s="334"/>
      <c r="F709" s="69"/>
      <c r="G709" s="59"/>
    </row>
    <row r="710" ht="12.0" customHeight="1">
      <c r="A710" s="333"/>
      <c r="B710" s="147"/>
      <c r="C710" s="147"/>
      <c r="D710" s="334"/>
      <c r="E710" s="334"/>
      <c r="F710" s="69"/>
      <c r="G710" s="59"/>
    </row>
    <row r="711" ht="12.0" customHeight="1">
      <c r="A711" s="333"/>
      <c r="B711" s="147"/>
      <c r="C711" s="147"/>
      <c r="D711" s="334"/>
      <c r="E711" s="334"/>
      <c r="F711" s="69"/>
      <c r="G711" s="59"/>
    </row>
    <row r="712" ht="12.0" customHeight="1">
      <c r="A712" s="333"/>
      <c r="B712" s="147"/>
      <c r="C712" s="147"/>
      <c r="D712" s="334"/>
      <c r="E712" s="334"/>
      <c r="F712" s="69"/>
      <c r="G712" s="59"/>
    </row>
    <row r="713" ht="12.0" customHeight="1">
      <c r="A713" s="333"/>
      <c r="B713" s="147"/>
      <c r="C713" s="147"/>
      <c r="D713" s="334"/>
      <c r="E713" s="334"/>
      <c r="F713" s="69"/>
      <c r="G713" s="59"/>
    </row>
    <row r="714" ht="12.0" customHeight="1">
      <c r="A714" s="333"/>
      <c r="B714" s="147"/>
      <c r="C714" s="147"/>
      <c r="D714" s="334"/>
      <c r="E714" s="334"/>
      <c r="F714" s="69"/>
      <c r="G714" s="59"/>
    </row>
    <row r="715" ht="12.0" customHeight="1">
      <c r="A715" s="333"/>
      <c r="B715" s="147"/>
      <c r="C715" s="147"/>
      <c r="D715" s="334"/>
      <c r="E715" s="334"/>
      <c r="F715" s="69"/>
      <c r="G715" s="59"/>
    </row>
    <row r="716" ht="12.0" customHeight="1">
      <c r="A716" s="333"/>
      <c r="B716" s="147"/>
      <c r="C716" s="147"/>
      <c r="D716" s="334"/>
      <c r="E716" s="334"/>
      <c r="F716" s="69"/>
      <c r="G716" s="59"/>
    </row>
    <row r="717" ht="12.0" customHeight="1">
      <c r="A717" s="333"/>
      <c r="B717" s="147"/>
      <c r="C717" s="147"/>
      <c r="D717" s="334"/>
      <c r="E717" s="334"/>
      <c r="F717" s="69"/>
      <c r="G717" s="59"/>
    </row>
    <row r="718" ht="12.0" customHeight="1">
      <c r="A718" s="333"/>
      <c r="B718" s="147"/>
      <c r="C718" s="147"/>
      <c r="D718" s="334"/>
      <c r="E718" s="334"/>
      <c r="F718" s="69"/>
      <c r="G718" s="59"/>
    </row>
    <row r="719" ht="12.0" customHeight="1">
      <c r="A719" s="333"/>
      <c r="B719" s="147"/>
      <c r="C719" s="147"/>
      <c r="D719" s="334"/>
      <c r="E719" s="334"/>
      <c r="F719" s="69"/>
      <c r="G719" s="59"/>
    </row>
    <row r="720" ht="12.0" customHeight="1">
      <c r="A720" s="333"/>
      <c r="B720" s="147"/>
      <c r="C720" s="147"/>
      <c r="D720" s="334"/>
      <c r="E720" s="334"/>
      <c r="F720" s="69"/>
      <c r="G720" s="59"/>
    </row>
    <row r="721" ht="12.0" customHeight="1">
      <c r="A721" s="333"/>
      <c r="B721" s="147"/>
      <c r="C721" s="147"/>
      <c r="D721" s="334"/>
      <c r="E721" s="334"/>
      <c r="F721" s="69"/>
      <c r="G721" s="59"/>
    </row>
    <row r="722" ht="12.0" customHeight="1">
      <c r="A722" s="333"/>
      <c r="B722" s="147"/>
      <c r="C722" s="147"/>
      <c r="D722" s="334"/>
      <c r="E722" s="334"/>
      <c r="F722" s="69"/>
      <c r="G722" s="59"/>
    </row>
    <row r="723" ht="12.0" customHeight="1">
      <c r="A723" s="333"/>
      <c r="B723" s="147"/>
      <c r="C723" s="147"/>
      <c r="D723" s="334"/>
      <c r="E723" s="334"/>
      <c r="F723" s="69"/>
      <c r="G723" s="59"/>
    </row>
    <row r="724" ht="12.0" customHeight="1">
      <c r="A724" s="333"/>
      <c r="B724" s="147"/>
      <c r="C724" s="147"/>
      <c r="D724" s="334"/>
      <c r="E724" s="334"/>
      <c r="F724" s="69"/>
      <c r="G724" s="59"/>
    </row>
    <row r="725" ht="12.0" customHeight="1">
      <c r="A725" s="333"/>
      <c r="B725" s="147"/>
      <c r="C725" s="147"/>
      <c r="D725" s="334"/>
      <c r="E725" s="334"/>
      <c r="F725" s="69"/>
      <c r="G725" s="59"/>
    </row>
    <row r="726" ht="12.0" customHeight="1">
      <c r="A726" s="333"/>
      <c r="B726" s="147"/>
      <c r="C726" s="147"/>
      <c r="D726" s="334"/>
      <c r="E726" s="334"/>
      <c r="F726" s="69"/>
      <c r="G726" s="59"/>
    </row>
    <row r="727" ht="12.0" customHeight="1">
      <c r="A727" s="333"/>
      <c r="B727" s="147"/>
      <c r="C727" s="147"/>
      <c r="D727" s="334"/>
      <c r="E727" s="334"/>
      <c r="F727" s="69"/>
      <c r="G727" s="59"/>
    </row>
    <row r="728" ht="12.0" customHeight="1">
      <c r="A728" s="333"/>
      <c r="B728" s="147"/>
      <c r="C728" s="147"/>
      <c r="D728" s="334"/>
      <c r="E728" s="334"/>
      <c r="F728" s="69"/>
      <c r="G728" s="59"/>
    </row>
    <row r="729" ht="12.0" customHeight="1">
      <c r="A729" s="333"/>
      <c r="B729" s="147"/>
      <c r="C729" s="147"/>
      <c r="D729" s="334"/>
      <c r="E729" s="334"/>
      <c r="F729" s="69"/>
      <c r="G729" s="59"/>
    </row>
    <row r="730" ht="12.0" customHeight="1">
      <c r="A730" s="333"/>
      <c r="B730" s="147"/>
      <c r="C730" s="147"/>
      <c r="D730" s="334"/>
      <c r="E730" s="334"/>
      <c r="F730" s="69"/>
      <c r="G730" s="59"/>
    </row>
    <row r="731" ht="12.0" customHeight="1">
      <c r="A731" s="333"/>
      <c r="B731" s="147"/>
      <c r="C731" s="147"/>
      <c r="D731" s="334"/>
      <c r="E731" s="334"/>
      <c r="F731" s="69"/>
      <c r="G731" s="59"/>
    </row>
    <row r="732" ht="12.0" customHeight="1">
      <c r="A732" s="333"/>
      <c r="B732" s="147"/>
      <c r="C732" s="147"/>
      <c r="D732" s="334"/>
      <c r="E732" s="334"/>
      <c r="F732" s="69"/>
      <c r="G732" s="59"/>
    </row>
    <row r="733" ht="12.0" customHeight="1">
      <c r="A733" s="333"/>
      <c r="B733" s="147"/>
      <c r="C733" s="147"/>
      <c r="D733" s="334"/>
      <c r="E733" s="334"/>
      <c r="F733" s="69"/>
      <c r="G733" s="59"/>
    </row>
    <row r="734" ht="12.0" customHeight="1">
      <c r="A734" s="333"/>
      <c r="B734" s="147"/>
      <c r="C734" s="147"/>
      <c r="D734" s="334"/>
      <c r="E734" s="334"/>
      <c r="F734" s="69"/>
      <c r="G734" s="59"/>
    </row>
    <row r="735" ht="12.0" customHeight="1">
      <c r="A735" s="333"/>
      <c r="B735" s="147"/>
      <c r="C735" s="147"/>
      <c r="D735" s="334"/>
      <c r="E735" s="334"/>
      <c r="F735" s="69"/>
      <c r="G735" s="59"/>
    </row>
    <row r="736" ht="12.0" customHeight="1">
      <c r="A736" s="333"/>
      <c r="B736" s="147"/>
      <c r="C736" s="147"/>
      <c r="D736" s="334"/>
      <c r="E736" s="334"/>
      <c r="F736" s="69"/>
      <c r="G736" s="59"/>
    </row>
    <row r="737" ht="12.0" customHeight="1">
      <c r="A737" s="333"/>
      <c r="B737" s="147"/>
      <c r="C737" s="147"/>
      <c r="D737" s="334"/>
      <c r="E737" s="334"/>
      <c r="F737" s="69"/>
      <c r="G737" s="59"/>
    </row>
    <row r="738" ht="12.0" customHeight="1">
      <c r="A738" s="333"/>
      <c r="B738" s="147"/>
      <c r="C738" s="147"/>
      <c r="D738" s="334"/>
      <c r="E738" s="334"/>
      <c r="F738" s="69"/>
      <c r="G738" s="59"/>
    </row>
    <row r="739" ht="12.0" customHeight="1">
      <c r="A739" s="333"/>
      <c r="B739" s="147"/>
      <c r="C739" s="147"/>
      <c r="D739" s="334"/>
      <c r="E739" s="334"/>
      <c r="F739" s="69"/>
      <c r="G739" s="59"/>
    </row>
    <row r="740" ht="12.0" customHeight="1">
      <c r="A740" s="333"/>
      <c r="B740" s="147"/>
      <c r="C740" s="147"/>
      <c r="D740" s="334"/>
      <c r="E740" s="334"/>
      <c r="F740" s="69"/>
      <c r="G740" s="59"/>
    </row>
    <row r="741" ht="12.0" customHeight="1">
      <c r="A741" s="333"/>
      <c r="B741" s="147"/>
      <c r="C741" s="147"/>
      <c r="D741" s="334"/>
      <c r="E741" s="334"/>
      <c r="F741" s="69"/>
      <c r="G741" s="59"/>
    </row>
    <row r="742" ht="12.0" customHeight="1">
      <c r="A742" s="333"/>
      <c r="B742" s="147"/>
      <c r="C742" s="147"/>
      <c r="D742" s="334"/>
      <c r="E742" s="334"/>
      <c r="F742" s="69"/>
      <c r="G742" s="59"/>
    </row>
    <row r="743" ht="12.0" customHeight="1">
      <c r="A743" s="333"/>
      <c r="B743" s="147"/>
      <c r="C743" s="147"/>
      <c r="D743" s="334"/>
      <c r="E743" s="334"/>
      <c r="F743" s="69"/>
      <c r="G743" s="59"/>
    </row>
    <row r="744" ht="12.0" customHeight="1">
      <c r="A744" s="333"/>
      <c r="B744" s="147"/>
      <c r="C744" s="147"/>
      <c r="D744" s="334"/>
      <c r="E744" s="334"/>
      <c r="F744" s="69"/>
      <c r="G744" s="59"/>
    </row>
    <row r="745" ht="12.0" customHeight="1">
      <c r="A745" s="333"/>
      <c r="B745" s="147"/>
      <c r="C745" s="147"/>
      <c r="D745" s="334"/>
      <c r="E745" s="334"/>
      <c r="F745" s="69"/>
      <c r="G745" s="59"/>
    </row>
    <row r="746" ht="12.0" customHeight="1">
      <c r="A746" s="333"/>
      <c r="B746" s="147"/>
      <c r="C746" s="147"/>
      <c r="D746" s="334"/>
      <c r="E746" s="334"/>
      <c r="F746" s="69"/>
      <c r="G746" s="59"/>
    </row>
    <row r="747" ht="12.0" customHeight="1">
      <c r="A747" s="333"/>
      <c r="B747" s="147"/>
      <c r="C747" s="147"/>
      <c r="D747" s="334"/>
      <c r="E747" s="334"/>
      <c r="F747" s="69"/>
      <c r="G747" s="59"/>
    </row>
    <row r="748" ht="12.0" customHeight="1">
      <c r="A748" s="333"/>
      <c r="B748" s="147"/>
      <c r="C748" s="147"/>
      <c r="D748" s="334"/>
      <c r="E748" s="334"/>
      <c r="F748" s="69"/>
      <c r="G748" s="59"/>
    </row>
    <row r="749" ht="12.0" customHeight="1">
      <c r="A749" s="333"/>
      <c r="B749" s="147"/>
      <c r="C749" s="147"/>
      <c r="D749" s="334"/>
      <c r="E749" s="334"/>
      <c r="F749" s="69"/>
      <c r="G749" s="59"/>
    </row>
    <row r="750" ht="12.0" customHeight="1">
      <c r="A750" s="333"/>
      <c r="B750" s="147"/>
      <c r="C750" s="147"/>
      <c r="D750" s="334"/>
      <c r="E750" s="334"/>
      <c r="F750" s="69"/>
      <c r="G750" s="59"/>
    </row>
    <row r="751" ht="12.0" customHeight="1">
      <c r="A751" s="333"/>
      <c r="B751" s="147"/>
      <c r="C751" s="147"/>
      <c r="D751" s="334"/>
      <c r="E751" s="334"/>
      <c r="F751" s="69"/>
      <c r="G751" s="59"/>
    </row>
    <row r="752" ht="12.0" customHeight="1">
      <c r="A752" s="333"/>
      <c r="B752" s="147"/>
      <c r="C752" s="147"/>
      <c r="D752" s="334"/>
      <c r="E752" s="334"/>
      <c r="F752" s="69"/>
      <c r="G752" s="59"/>
    </row>
    <row r="753" ht="12.0" customHeight="1">
      <c r="A753" s="333"/>
      <c r="B753" s="147"/>
      <c r="C753" s="147"/>
      <c r="D753" s="334"/>
      <c r="E753" s="334"/>
      <c r="F753" s="69"/>
      <c r="G753" s="59"/>
    </row>
    <row r="754" ht="12.0" customHeight="1">
      <c r="A754" s="333"/>
      <c r="B754" s="147"/>
      <c r="C754" s="147"/>
      <c r="D754" s="334"/>
      <c r="E754" s="334"/>
      <c r="F754" s="69"/>
      <c r="G754" s="59"/>
    </row>
    <row r="755" ht="12.0" customHeight="1">
      <c r="A755" s="333"/>
      <c r="B755" s="147"/>
      <c r="C755" s="147"/>
      <c r="D755" s="334"/>
      <c r="E755" s="334"/>
      <c r="F755" s="69"/>
      <c r="G755" s="59"/>
    </row>
    <row r="756" ht="12.0" customHeight="1">
      <c r="A756" s="333"/>
      <c r="B756" s="147"/>
      <c r="C756" s="147"/>
      <c r="D756" s="334"/>
      <c r="E756" s="334"/>
      <c r="F756" s="69"/>
      <c r="G756" s="59"/>
    </row>
    <row r="757" ht="12.0" customHeight="1">
      <c r="A757" s="333"/>
      <c r="B757" s="147"/>
      <c r="C757" s="147"/>
      <c r="D757" s="334"/>
      <c r="E757" s="334"/>
      <c r="F757" s="69"/>
      <c r="G757" s="59"/>
    </row>
    <row r="758" ht="12.0" customHeight="1">
      <c r="A758" s="333"/>
      <c r="B758" s="147"/>
      <c r="C758" s="147"/>
      <c r="D758" s="334"/>
      <c r="E758" s="334"/>
      <c r="F758" s="69"/>
      <c r="G758" s="59"/>
    </row>
    <row r="759" ht="12.0" customHeight="1">
      <c r="A759" s="333"/>
      <c r="B759" s="147"/>
      <c r="C759" s="147"/>
      <c r="D759" s="334"/>
      <c r="E759" s="334"/>
      <c r="F759" s="69"/>
      <c r="G759" s="59"/>
    </row>
    <row r="760" ht="12.0" customHeight="1">
      <c r="A760" s="333"/>
      <c r="B760" s="147"/>
      <c r="C760" s="147"/>
      <c r="D760" s="334"/>
      <c r="E760" s="334"/>
      <c r="F760" s="69"/>
      <c r="G760" s="59"/>
    </row>
    <row r="761" ht="12.0" customHeight="1">
      <c r="A761" s="333"/>
      <c r="B761" s="147"/>
      <c r="C761" s="147"/>
      <c r="D761" s="334"/>
      <c r="E761" s="334"/>
      <c r="F761" s="69"/>
      <c r="G761" s="59"/>
    </row>
    <row r="762" ht="12.0" customHeight="1">
      <c r="A762" s="333"/>
      <c r="B762" s="147"/>
      <c r="C762" s="147"/>
      <c r="D762" s="334"/>
      <c r="E762" s="334"/>
      <c r="F762" s="69"/>
      <c r="G762" s="59"/>
    </row>
    <row r="763" ht="12.0" customHeight="1">
      <c r="A763" s="333"/>
      <c r="B763" s="147"/>
      <c r="C763" s="147"/>
      <c r="D763" s="334"/>
      <c r="E763" s="334"/>
      <c r="F763" s="69"/>
      <c r="G763" s="59"/>
    </row>
    <row r="764" ht="12.0" customHeight="1">
      <c r="A764" s="333"/>
      <c r="B764" s="147"/>
      <c r="C764" s="147"/>
      <c r="D764" s="334"/>
      <c r="E764" s="334"/>
      <c r="F764" s="69"/>
      <c r="G764" s="59"/>
    </row>
    <row r="765" ht="12.0" customHeight="1">
      <c r="A765" s="333"/>
      <c r="B765" s="147"/>
      <c r="C765" s="147"/>
      <c r="D765" s="334"/>
      <c r="E765" s="334"/>
      <c r="F765" s="69"/>
      <c r="G765" s="59"/>
    </row>
    <row r="766" ht="12.0" customHeight="1">
      <c r="A766" s="333"/>
      <c r="B766" s="147"/>
      <c r="C766" s="147"/>
      <c r="D766" s="334"/>
      <c r="E766" s="334"/>
      <c r="F766" s="69"/>
      <c r="G766" s="59"/>
    </row>
    <row r="767" ht="12.0" customHeight="1">
      <c r="A767" s="333"/>
      <c r="B767" s="147"/>
      <c r="C767" s="147"/>
      <c r="D767" s="334"/>
      <c r="E767" s="334"/>
      <c r="F767" s="69"/>
      <c r="G767" s="59"/>
    </row>
    <row r="768" ht="12.0" customHeight="1">
      <c r="A768" s="333"/>
      <c r="B768" s="147"/>
      <c r="C768" s="147"/>
      <c r="D768" s="334"/>
      <c r="E768" s="334"/>
      <c r="F768" s="69"/>
      <c r="G768" s="59"/>
    </row>
    <row r="769" ht="12.0" customHeight="1">
      <c r="A769" s="333"/>
      <c r="B769" s="147"/>
      <c r="C769" s="147"/>
      <c r="D769" s="334"/>
      <c r="E769" s="334"/>
      <c r="F769" s="69"/>
      <c r="G769" s="59"/>
    </row>
    <row r="770" ht="12.0" customHeight="1">
      <c r="A770" s="333"/>
      <c r="B770" s="147"/>
      <c r="C770" s="147"/>
      <c r="D770" s="334"/>
      <c r="E770" s="334"/>
      <c r="F770" s="69"/>
      <c r="G770" s="59"/>
    </row>
    <row r="771" ht="12.0" customHeight="1">
      <c r="A771" s="333"/>
      <c r="B771" s="147"/>
      <c r="C771" s="147"/>
      <c r="D771" s="334"/>
      <c r="E771" s="334"/>
      <c r="F771" s="69"/>
      <c r="G771" s="59"/>
    </row>
    <row r="772" ht="12.0" customHeight="1">
      <c r="A772" s="333"/>
      <c r="B772" s="147"/>
      <c r="C772" s="147"/>
      <c r="D772" s="334"/>
      <c r="E772" s="334"/>
      <c r="F772" s="69"/>
      <c r="G772" s="59"/>
    </row>
    <row r="773" ht="12.0" customHeight="1">
      <c r="A773" s="333"/>
      <c r="B773" s="147"/>
      <c r="C773" s="147"/>
      <c r="D773" s="334"/>
      <c r="E773" s="334"/>
      <c r="F773" s="69"/>
      <c r="G773" s="59"/>
    </row>
    <row r="774" ht="12.0" customHeight="1">
      <c r="A774" s="333"/>
      <c r="B774" s="147"/>
      <c r="C774" s="147"/>
      <c r="D774" s="334"/>
      <c r="E774" s="334"/>
      <c r="F774" s="69"/>
      <c r="G774" s="59"/>
    </row>
    <row r="775" ht="12.0" customHeight="1">
      <c r="A775" s="333"/>
      <c r="B775" s="147"/>
      <c r="C775" s="147"/>
      <c r="D775" s="334"/>
      <c r="E775" s="334"/>
      <c r="F775" s="69"/>
      <c r="G775" s="59"/>
    </row>
    <row r="776" ht="12.0" customHeight="1">
      <c r="A776" s="333"/>
      <c r="B776" s="147"/>
      <c r="C776" s="147"/>
      <c r="D776" s="334"/>
      <c r="E776" s="334"/>
      <c r="F776" s="69"/>
      <c r="G776" s="59"/>
    </row>
    <row r="777" ht="12.0" customHeight="1">
      <c r="A777" s="333"/>
      <c r="B777" s="147"/>
      <c r="C777" s="147"/>
      <c r="D777" s="334"/>
      <c r="E777" s="334"/>
      <c r="F777" s="69"/>
      <c r="G777" s="59"/>
    </row>
    <row r="778" ht="12.0" customHeight="1">
      <c r="A778" s="333"/>
      <c r="B778" s="147"/>
      <c r="C778" s="147"/>
      <c r="D778" s="334"/>
      <c r="E778" s="334"/>
      <c r="F778" s="69"/>
      <c r="G778" s="59"/>
    </row>
    <row r="779" ht="12.0" customHeight="1">
      <c r="A779" s="333"/>
      <c r="B779" s="147"/>
      <c r="C779" s="147"/>
      <c r="D779" s="334"/>
      <c r="E779" s="334"/>
      <c r="F779" s="69"/>
      <c r="G779" s="59"/>
    </row>
    <row r="780" ht="12.0" customHeight="1">
      <c r="A780" s="333"/>
      <c r="B780" s="147"/>
      <c r="C780" s="147"/>
      <c r="D780" s="334"/>
      <c r="E780" s="334"/>
      <c r="F780" s="69"/>
      <c r="G780" s="59"/>
    </row>
    <row r="781" ht="12.0" customHeight="1">
      <c r="A781" s="333"/>
      <c r="B781" s="147"/>
      <c r="C781" s="147"/>
      <c r="D781" s="334"/>
      <c r="E781" s="334"/>
      <c r="F781" s="69"/>
      <c r="G781" s="59"/>
    </row>
    <row r="782" ht="12.0" customHeight="1">
      <c r="A782" s="333"/>
      <c r="B782" s="147"/>
      <c r="C782" s="147"/>
      <c r="D782" s="334"/>
      <c r="E782" s="334"/>
      <c r="F782" s="69"/>
      <c r="G782" s="59"/>
    </row>
    <row r="783" ht="12.0" customHeight="1">
      <c r="A783" s="333"/>
      <c r="B783" s="147"/>
      <c r="C783" s="147"/>
      <c r="D783" s="334"/>
      <c r="E783" s="334"/>
      <c r="F783" s="69"/>
      <c r="G783" s="59"/>
    </row>
    <row r="784" ht="12.0" customHeight="1">
      <c r="A784" s="333"/>
      <c r="B784" s="147"/>
      <c r="C784" s="147"/>
      <c r="D784" s="334"/>
      <c r="E784" s="334"/>
      <c r="F784" s="69"/>
      <c r="G784" s="59"/>
    </row>
    <row r="785" ht="12.0" customHeight="1">
      <c r="A785" s="333"/>
      <c r="B785" s="147"/>
      <c r="C785" s="147"/>
      <c r="D785" s="334"/>
      <c r="E785" s="334"/>
      <c r="F785" s="69"/>
      <c r="G785" s="59"/>
    </row>
    <row r="786" ht="12.0" customHeight="1">
      <c r="A786" s="333"/>
      <c r="B786" s="147"/>
      <c r="C786" s="147"/>
      <c r="D786" s="334"/>
      <c r="E786" s="334"/>
      <c r="F786" s="69"/>
      <c r="G786" s="59"/>
    </row>
    <row r="787" ht="12.0" customHeight="1">
      <c r="A787" s="333"/>
      <c r="B787" s="147"/>
      <c r="C787" s="147"/>
      <c r="D787" s="334"/>
      <c r="E787" s="334"/>
      <c r="F787" s="69"/>
      <c r="G787" s="59"/>
    </row>
    <row r="788" ht="12.0" customHeight="1">
      <c r="A788" s="333"/>
      <c r="B788" s="147"/>
      <c r="C788" s="147"/>
      <c r="D788" s="334"/>
      <c r="E788" s="334"/>
      <c r="F788" s="69"/>
      <c r="G788" s="59"/>
    </row>
    <row r="789" ht="12.0" customHeight="1">
      <c r="A789" s="333"/>
      <c r="B789" s="147"/>
      <c r="C789" s="147"/>
      <c r="D789" s="334"/>
      <c r="E789" s="334"/>
      <c r="F789" s="69"/>
      <c r="G789" s="59"/>
    </row>
    <row r="790" ht="12.0" customHeight="1">
      <c r="A790" s="333"/>
      <c r="B790" s="147"/>
      <c r="C790" s="147"/>
      <c r="D790" s="334"/>
      <c r="E790" s="334"/>
      <c r="F790" s="69"/>
      <c r="G790" s="59"/>
    </row>
    <row r="791" ht="12.0" customHeight="1">
      <c r="A791" s="333"/>
      <c r="B791" s="147"/>
      <c r="C791" s="147"/>
      <c r="D791" s="334"/>
      <c r="E791" s="334"/>
      <c r="F791" s="69"/>
      <c r="G791" s="59"/>
    </row>
    <row r="792" ht="12.0" customHeight="1">
      <c r="A792" s="333"/>
      <c r="B792" s="147"/>
      <c r="C792" s="147"/>
      <c r="D792" s="334"/>
      <c r="E792" s="334"/>
      <c r="F792" s="69"/>
      <c r="G792" s="59"/>
    </row>
    <row r="793" ht="12.0" customHeight="1">
      <c r="A793" s="333"/>
      <c r="B793" s="147"/>
      <c r="C793" s="147"/>
      <c r="D793" s="334"/>
      <c r="E793" s="334"/>
      <c r="F793" s="69"/>
      <c r="G793" s="59"/>
    </row>
    <row r="794" ht="12.0" customHeight="1">
      <c r="A794" s="333"/>
      <c r="B794" s="147"/>
      <c r="C794" s="147"/>
      <c r="D794" s="334"/>
      <c r="E794" s="334"/>
      <c r="F794" s="69"/>
      <c r="G794" s="59"/>
    </row>
    <row r="795" ht="12.0" customHeight="1">
      <c r="A795" s="333"/>
      <c r="B795" s="147"/>
      <c r="C795" s="147"/>
      <c r="D795" s="334"/>
      <c r="E795" s="334"/>
      <c r="F795" s="69"/>
      <c r="G795" s="59"/>
    </row>
    <row r="796" ht="12.0" customHeight="1">
      <c r="A796" s="333"/>
      <c r="B796" s="147"/>
      <c r="C796" s="147"/>
      <c r="D796" s="334"/>
      <c r="E796" s="334"/>
      <c r="F796" s="69"/>
      <c r="G796" s="59"/>
    </row>
    <row r="797" ht="12.0" customHeight="1">
      <c r="A797" s="333"/>
      <c r="B797" s="147"/>
      <c r="C797" s="147"/>
      <c r="D797" s="334"/>
      <c r="E797" s="334"/>
      <c r="F797" s="69"/>
      <c r="G797" s="59"/>
    </row>
    <row r="798" ht="12.0" customHeight="1">
      <c r="A798" s="333"/>
      <c r="B798" s="147"/>
      <c r="C798" s="147"/>
      <c r="D798" s="334"/>
      <c r="E798" s="334"/>
      <c r="F798" s="69"/>
      <c r="G798" s="59"/>
    </row>
    <row r="799" ht="12.0" customHeight="1">
      <c r="A799" s="333"/>
      <c r="B799" s="147"/>
      <c r="C799" s="147"/>
      <c r="D799" s="334"/>
      <c r="E799" s="334"/>
      <c r="F799" s="69"/>
      <c r="G799" s="59"/>
    </row>
    <row r="800" ht="12.0" customHeight="1">
      <c r="A800" s="333"/>
      <c r="B800" s="147"/>
      <c r="C800" s="147"/>
      <c r="D800" s="334"/>
      <c r="E800" s="334"/>
      <c r="F800" s="69"/>
      <c r="G800" s="59"/>
    </row>
    <row r="801" ht="12.0" customHeight="1">
      <c r="A801" s="333"/>
      <c r="B801" s="147"/>
      <c r="C801" s="147"/>
      <c r="D801" s="334"/>
      <c r="E801" s="334"/>
      <c r="F801" s="69"/>
      <c r="G801" s="59"/>
    </row>
    <row r="802" ht="12.0" customHeight="1">
      <c r="A802" s="333"/>
      <c r="B802" s="147"/>
      <c r="C802" s="147"/>
      <c r="D802" s="334"/>
      <c r="E802" s="334"/>
      <c r="F802" s="69"/>
      <c r="G802" s="59"/>
    </row>
    <row r="803" ht="12.0" customHeight="1">
      <c r="A803" s="333"/>
      <c r="B803" s="147"/>
      <c r="C803" s="147"/>
      <c r="D803" s="334"/>
      <c r="E803" s="334"/>
      <c r="F803" s="69"/>
      <c r="G803" s="59"/>
    </row>
    <row r="804" ht="12.0" customHeight="1">
      <c r="A804" s="333"/>
      <c r="B804" s="147"/>
      <c r="C804" s="147"/>
      <c r="D804" s="334"/>
      <c r="E804" s="334"/>
      <c r="F804" s="69"/>
      <c r="G804" s="59"/>
    </row>
    <row r="805" ht="12.0" customHeight="1">
      <c r="A805" s="333"/>
      <c r="B805" s="147"/>
      <c r="C805" s="147"/>
      <c r="D805" s="334"/>
      <c r="E805" s="334"/>
      <c r="F805" s="69"/>
      <c r="G805" s="59"/>
    </row>
    <row r="806" ht="12.0" customHeight="1">
      <c r="A806" s="333"/>
      <c r="B806" s="147"/>
      <c r="C806" s="147"/>
      <c r="D806" s="334"/>
      <c r="E806" s="334"/>
      <c r="F806" s="69"/>
      <c r="G806" s="59"/>
    </row>
    <row r="807" ht="12.0" customHeight="1">
      <c r="A807" s="333"/>
      <c r="B807" s="147"/>
      <c r="C807" s="147"/>
      <c r="D807" s="334"/>
      <c r="E807" s="334"/>
      <c r="F807" s="69"/>
      <c r="G807" s="59"/>
    </row>
    <row r="808" ht="12.0" customHeight="1">
      <c r="A808" s="333"/>
      <c r="B808" s="147"/>
      <c r="C808" s="147"/>
      <c r="D808" s="334"/>
      <c r="E808" s="334"/>
      <c r="F808" s="69"/>
      <c r="G808" s="59"/>
    </row>
    <row r="809" ht="12.0" customHeight="1">
      <c r="A809" s="333"/>
      <c r="B809" s="147"/>
      <c r="C809" s="147"/>
      <c r="D809" s="334"/>
      <c r="E809" s="334"/>
      <c r="F809" s="69"/>
      <c r="G809" s="59"/>
    </row>
    <row r="810" ht="12.0" customHeight="1">
      <c r="A810" s="333"/>
      <c r="B810" s="147"/>
      <c r="C810" s="147"/>
      <c r="D810" s="334"/>
      <c r="E810" s="334"/>
      <c r="F810" s="69"/>
      <c r="G810" s="59"/>
    </row>
    <row r="811" ht="12.0" customHeight="1">
      <c r="A811" s="333"/>
      <c r="B811" s="147"/>
      <c r="C811" s="147"/>
      <c r="D811" s="334"/>
      <c r="E811" s="334"/>
      <c r="F811" s="69"/>
      <c r="G811" s="59"/>
    </row>
    <row r="812" ht="12.0" customHeight="1">
      <c r="A812" s="333"/>
      <c r="B812" s="147"/>
      <c r="C812" s="147"/>
      <c r="D812" s="334"/>
      <c r="E812" s="334"/>
      <c r="F812" s="69"/>
      <c r="G812" s="59"/>
    </row>
    <row r="813" ht="12.0" customHeight="1">
      <c r="A813" s="333"/>
      <c r="B813" s="147"/>
      <c r="C813" s="147"/>
      <c r="D813" s="334"/>
      <c r="E813" s="334"/>
      <c r="F813" s="69"/>
      <c r="G813" s="59"/>
    </row>
    <row r="814" ht="12.0" customHeight="1">
      <c r="A814" s="333"/>
      <c r="B814" s="147"/>
      <c r="C814" s="147"/>
      <c r="D814" s="334"/>
      <c r="E814" s="334"/>
      <c r="F814" s="69"/>
      <c r="G814" s="59"/>
    </row>
    <row r="815" ht="12.0" customHeight="1">
      <c r="A815" s="333"/>
      <c r="B815" s="147"/>
      <c r="C815" s="147"/>
      <c r="D815" s="334"/>
      <c r="E815" s="334"/>
      <c r="F815" s="69"/>
      <c r="G815" s="59"/>
    </row>
    <row r="816" ht="12.0" customHeight="1">
      <c r="A816" s="333"/>
      <c r="B816" s="147"/>
      <c r="C816" s="147"/>
      <c r="D816" s="334"/>
      <c r="E816" s="334"/>
      <c r="F816" s="69"/>
      <c r="G816" s="59"/>
    </row>
    <row r="817" ht="12.0" customHeight="1">
      <c r="A817" s="333"/>
      <c r="B817" s="147"/>
      <c r="C817" s="147"/>
      <c r="D817" s="334"/>
      <c r="E817" s="334"/>
      <c r="F817" s="69"/>
      <c r="G817" s="59"/>
    </row>
    <row r="818" ht="12.0" customHeight="1">
      <c r="A818" s="333"/>
      <c r="B818" s="147"/>
      <c r="C818" s="147"/>
      <c r="D818" s="334"/>
      <c r="E818" s="334"/>
      <c r="F818" s="69"/>
      <c r="G818" s="59"/>
    </row>
    <row r="819" ht="12.0" customHeight="1">
      <c r="A819" s="333"/>
      <c r="B819" s="147"/>
      <c r="C819" s="147"/>
      <c r="D819" s="334"/>
      <c r="E819" s="334"/>
      <c r="F819" s="69"/>
      <c r="G819" s="59"/>
    </row>
    <row r="820" ht="12.0" customHeight="1">
      <c r="A820" s="333"/>
      <c r="B820" s="147"/>
      <c r="C820" s="147"/>
      <c r="D820" s="334"/>
      <c r="E820" s="334"/>
      <c r="F820" s="69"/>
      <c r="G820" s="59"/>
    </row>
    <row r="821" ht="12.0" customHeight="1">
      <c r="A821" s="333"/>
      <c r="B821" s="147"/>
      <c r="C821" s="147"/>
      <c r="D821" s="334"/>
      <c r="E821" s="334"/>
      <c r="F821" s="69"/>
      <c r="G821" s="59"/>
    </row>
    <row r="822" ht="12.0" customHeight="1">
      <c r="A822" s="333"/>
      <c r="B822" s="147"/>
      <c r="C822" s="147"/>
      <c r="D822" s="334"/>
      <c r="E822" s="334"/>
      <c r="F822" s="69"/>
      <c r="G822" s="59"/>
    </row>
    <row r="823" ht="12.0" customHeight="1">
      <c r="A823" s="333"/>
      <c r="B823" s="147"/>
      <c r="C823" s="147"/>
      <c r="D823" s="334"/>
      <c r="E823" s="334"/>
      <c r="F823" s="69"/>
      <c r="G823" s="59"/>
    </row>
    <row r="824" ht="12.0" customHeight="1">
      <c r="A824" s="333"/>
      <c r="B824" s="147"/>
      <c r="C824" s="147"/>
      <c r="D824" s="334"/>
      <c r="E824" s="334"/>
      <c r="F824" s="69"/>
      <c r="G824" s="59"/>
    </row>
    <row r="825" ht="12.0" customHeight="1">
      <c r="A825" s="333"/>
      <c r="B825" s="147"/>
      <c r="C825" s="147"/>
      <c r="D825" s="334"/>
      <c r="E825" s="334"/>
      <c r="F825" s="69"/>
      <c r="G825" s="59"/>
    </row>
    <row r="826" ht="12.0" customHeight="1">
      <c r="A826" s="333"/>
      <c r="B826" s="147"/>
      <c r="C826" s="147"/>
      <c r="D826" s="334"/>
      <c r="E826" s="334"/>
      <c r="F826" s="69"/>
      <c r="G826" s="59"/>
    </row>
    <row r="827" ht="12.0" customHeight="1">
      <c r="A827" s="333"/>
      <c r="B827" s="147"/>
      <c r="C827" s="147"/>
      <c r="D827" s="334"/>
      <c r="E827" s="334"/>
      <c r="F827" s="69"/>
      <c r="G827" s="59"/>
    </row>
    <row r="828" ht="12.0" customHeight="1">
      <c r="A828" s="333"/>
      <c r="B828" s="147"/>
      <c r="C828" s="147"/>
      <c r="D828" s="334"/>
      <c r="E828" s="334"/>
      <c r="F828" s="69"/>
      <c r="G828" s="59"/>
    </row>
    <row r="829" ht="12.0" customHeight="1">
      <c r="A829" s="333"/>
      <c r="B829" s="147"/>
      <c r="C829" s="147"/>
      <c r="D829" s="334"/>
      <c r="E829" s="334"/>
      <c r="F829" s="69"/>
      <c r="G829" s="59"/>
    </row>
    <row r="830" ht="12.0" customHeight="1">
      <c r="A830" s="333"/>
      <c r="B830" s="147"/>
      <c r="C830" s="147"/>
      <c r="D830" s="334"/>
      <c r="E830" s="334"/>
      <c r="F830" s="69"/>
      <c r="G830" s="59"/>
    </row>
    <row r="831" ht="12.0" customHeight="1">
      <c r="A831" s="333"/>
      <c r="B831" s="147"/>
      <c r="C831" s="147"/>
      <c r="D831" s="334"/>
      <c r="E831" s="334"/>
      <c r="F831" s="69"/>
      <c r="G831" s="59"/>
    </row>
    <row r="832" ht="12.0" customHeight="1">
      <c r="A832" s="333"/>
      <c r="B832" s="147"/>
      <c r="C832" s="147"/>
      <c r="D832" s="334"/>
      <c r="E832" s="334"/>
      <c r="F832" s="69"/>
      <c r="G832" s="59"/>
    </row>
    <row r="833" ht="12.0" customHeight="1">
      <c r="A833" s="333"/>
      <c r="B833" s="147"/>
      <c r="C833" s="147"/>
      <c r="D833" s="334"/>
      <c r="E833" s="334"/>
      <c r="F833" s="69"/>
      <c r="G833" s="59"/>
    </row>
    <row r="834" ht="12.0" customHeight="1">
      <c r="A834" s="333"/>
      <c r="B834" s="147"/>
      <c r="C834" s="147"/>
      <c r="D834" s="334"/>
      <c r="E834" s="334"/>
      <c r="F834" s="69"/>
      <c r="G834" s="59"/>
    </row>
    <row r="835" ht="12.0" customHeight="1">
      <c r="A835" s="333"/>
      <c r="B835" s="147"/>
      <c r="C835" s="147"/>
      <c r="D835" s="334"/>
      <c r="E835" s="334"/>
      <c r="F835" s="69"/>
      <c r="G835" s="59"/>
    </row>
    <row r="836" ht="12.0" customHeight="1">
      <c r="A836" s="333"/>
      <c r="B836" s="147"/>
      <c r="C836" s="147"/>
      <c r="D836" s="334"/>
      <c r="E836" s="334"/>
      <c r="F836" s="69"/>
      <c r="G836" s="59"/>
    </row>
    <row r="837" ht="12.0" customHeight="1">
      <c r="A837" s="333"/>
      <c r="B837" s="147"/>
      <c r="C837" s="147"/>
      <c r="D837" s="334"/>
      <c r="E837" s="334"/>
      <c r="F837" s="69"/>
      <c r="G837" s="59"/>
    </row>
    <row r="838" ht="12.0" customHeight="1">
      <c r="A838" s="333"/>
      <c r="B838" s="147"/>
      <c r="C838" s="147"/>
      <c r="D838" s="334"/>
      <c r="E838" s="334"/>
      <c r="F838" s="69"/>
      <c r="G838" s="59"/>
    </row>
    <row r="839" ht="12.0" customHeight="1">
      <c r="A839" s="333"/>
      <c r="B839" s="147"/>
      <c r="C839" s="147"/>
      <c r="D839" s="334"/>
      <c r="E839" s="334"/>
      <c r="F839" s="69"/>
      <c r="G839" s="59"/>
    </row>
    <row r="840" ht="12.0" customHeight="1">
      <c r="A840" s="333"/>
      <c r="B840" s="147"/>
      <c r="C840" s="147"/>
      <c r="D840" s="334"/>
      <c r="E840" s="334"/>
      <c r="F840" s="69"/>
      <c r="G840" s="59"/>
    </row>
    <row r="841" ht="12.0" customHeight="1">
      <c r="A841" s="333"/>
      <c r="B841" s="147"/>
      <c r="C841" s="147"/>
      <c r="D841" s="334"/>
      <c r="E841" s="334"/>
      <c r="F841" s="69"/>
      <c r="G841" s="59"/>
    </row>
    <row r="842" ht="12.0" customHeight="1">
      <c r="A842" s="333"/>
      <c r="B842" s="147"/>
      <c r="C842" s="147"/>
      <c r="D842" s="334"/>
      <c r="E842" s="334"/>
      <c r="F842" s="69"/>
      <c r="G842" s="59"/>
    </row>
    <row r="843" ht="12.0" customHeight="1">
      <c r="A843" s="333"/>
      <c r="B843" s="147"/>
      <c r="C843" s="147"/>
      <c r="D843" s="334"/>
      <c r="E843" s="334"/>
      <c r="F843" s="69"/>
      <c r="G843" s="59"/>
    </row>
    <row r="844" ht="12.0" customHeight="1">
      <c r="A844" s="333"/>
      <c r="B844" s="147"/>
      <c r="C844" s="147"/>
      <c r="D844" s="334"/>
      <c r="E844" s="334"/>
      <c r="F844" s="69"/>
      <c r="G844" s="59"/>
    </row>
    <row r="845" ht="12.0" customHeight="1">
      <c r="A845" s="333"/>
      <c r="B845" s="147"/>
      <c r="C845" s="147"/>
      <c r="D845" s="334"/>
      <c r="E845" s="334"/>
      <c r="F845" s="69"/>
      <c r="G845" s="59"/>
    </row>
    <row r="846" ht="12.0" customHeight="1">
      <c r="A846" s="333"/>
      <c r="B846" s="147"/>
      <c r="C846" s="147"/>
      <c r="D846" s="334"/>
      <c r="E846" s="334"/>
      <c r="F846" s="69"/>
      <c r="G846" s="59"/>
    </row>
    <row r="847" ht="12.0" customHeight="1">
      <c r="A847" s="333"/>
      <c r="B847" s="147"/>
      <c r="C847" s="147"/>
      <c r="D847" s="334"/>
      <c r="E847" s="334"/>
      <c r="F847" s="69"/>
      <c r="G847" s="59"/>
    </row>
    <row r="848" ht="12.0" customHeight="1">
      <c r="A848" s="333"/>
      <c r="B848" s="147"/>
      <c r="C848" s="147"/>
      <c r="D848" s="334"/>
      <c r="E848" s="334"/>
      <c r="F848" s="69"/>
      <c r="G848" s="59"/>
    </row>
    <row r="849" ht="12.0" customHeight="1">
      <c r="A849" s="333"/>
      <c r="B849" s="147"/>
      <c r="C849" s="147"/>
      <c r="D849" s="334"/>
      <c r="E849" s="334"/>
      <c r="F849" s="69"/>
      <c r="G849" s="59"/>
    </row>
    <row r="850" ht="12.0" customHeight="1">
      <c r="A850" s="333"/>
      <c r="B850" s="147"/>
      <c r="C850" s="147"/>
      <c r="D850" s="334"/>
      <c r="E850" s="334"/>
      <c r="F850" s="69"/>
      <c r="G850" s="59"/>
    </row>
    <row r="851" ht="12.0" customHeight="1">
      <c r="A851" s="333"/>
      <c r="B851" s="147"/>
      <c r="C851" s="147"/>
      <c r="D851" s="334"/>
      <c r="E851" s="334"/>
      <c r="F851" s="69"/>
      <c r="G851" s="59"/>
    </row>
    <row r="852" ht="12.0" customHeight="1">
      <c r="A852" s="333"/>
      <c r="B852" s="147"/>
      <c r="C852" s="147"/>
      <c r="D852" s="334"/>
      <c r="E852" s="334"/>
      <c r="F852" s="69"/>
      <c r="G852" s="59"/>
    </row>
    <row r="853" ht="12.0" customHeight="1">
      <c r="A853" s="333"/>
      <c r="B853" s="147"/>
      <c r="C853" s="147"/>
      <c r="D853" s="334"/>
      <c r="E853" s="334"/>
      <c r="F853" s="69"/>
      <c r="G853" s="59"/>
    </row>
    <row r="854" ht="12.0" customHeight="1">
      <c r="A854" s="333"/>
      <c r="B854" s="147"/>
      <c r="C854" s="147"/>
      <c r="D854" s="334"/>
      <c r="E854" s="334"/>
      <c r="F854" s="69"/>
      <c r="G854" s="59"/>
    </row>
    <row r="855" ht="12.0" customHeight="1">
      <c r="A855" s="333"/>
      <c r="B855" s="147"/>
      <c r="C855" s="147"/>
      <c r="D855" s="334"/>
      <c r="E855" s="334"/>
      <c r="F855" s="69"/>
      <c r="G855" s="59"/>
    </row>
    <row r="856" ht="12.0" customHeight="1">
      <c r="A856" s="333"/>
      <c r="B856" s="147"/>
      <c r="C856" s="147"/>
      <c r="D856" s="334"/>
      <c r="E856" s="334"/>
      <c r="F856" s="69"/>
      <c r="G856" s="59"/>
    </row>
    <row r="857" ht="12.0" customHeight="1">
      <c r="A857" s="333"/>
      <c r="B857" s="147"/>
      <c r="C857" s="147"/>
      <c r="D857" s="334"/>
      <c r="E857" s="334"/>
      <c r="F857" s="69"/>
      <c r="G857" s="59"/>
    </row>
    <row r="858" ht="12.0" customHeight="1">
      <c r="A858" s="333"/>
      <c r="B858" s="147"/>
      <c r="C858" s="147"/>
      <c r="D858" s="334"/>
      <c r="E858" s="334"/>
      <c r="F858" s="69"/>
      <c r="G858" s="59"/>
    </row>
    <row r="859" ht="12.0" customHeight="1">
      <c r="A859" s="333"/>
      <c r="B859" s="147"/>
      <c r="C859" s="147"/>
      <c r="D859" s="334"/>
      <c r="E859" s="334"/>
      <c r="F859" s="69"/>
      <c r="G859" s="59"/>
    </row>
    <row r="860" ht="12.0" customHeight="1">
      <c r="A860" s="333"/>
      <c r="B860" s="147"/>
      <c r="C860" s="147"/>
      <c r="D860" s="334"/>
      <c r="E860" s="334"/>
      <c r="F860" s="69"/>
      <c r="G860" s="59"/>
    </row>
    <row r="861" ht="12.0" customHeight="1">
      <c r="A861" s="333"/>
      <c r="B861" s="147"/>
      <c r="C861" s="147"/>
      <c r="D861" s="334"/>
      <c r="E861" s="334"/>
      <c r="F861" s="69"/>
      <c r="G861" s="59"/>
    </row>
    <row r="862" ht="12.0" customHeight="1">
      <c r="A862" s="333"/>
      <c r="B862" s="147"/>
      <c r="C862" s="147"/>
      <c r="D862" s="334"/>
      <c r="E862" s="334"/>
      <c r="F862" s="69"/>
      <c r="G862" s="59"/>
    </row>
    <row r="863" ht="12.0" customHeight="1">
      <c r="A863" s="333"/>
      <c r="B863" s="147"/>
      <c r="C863" s="147"/>
      <c r="D863" s="334"/>
      <c r="E863" s="334"/>
      <c r="F863" s="69"/>
      <c r="G863" s="59"/>
    </row>
    <row r="864" ht="12.0" customHeight="1">
      <c r="A864" s="333"/>
      <c r="B864" s="147"/>
      <c r="C864" s="147"/>
      <c r="D864" s="334"/>
      <c r="E864" s="334"/>
      <c r="F864" s="69"/>
      <c r="G864" s="59"/>
    </row>
    <row r="865" ht="12.0" customHeight="1">
      <c r="A865" s="333"/>
      <c r="B865" s="147"/>
      <c r="C865" s="147"/>
      <c r="D865" s="334"/>
      <c r="E865" s="334"/>
      <c r="F865" s="69"/>
      <c r="G865" s="59"/>
    </row>
    <row r="866" ht="12.0" customHeight="1">
      <c r="A866" s="333"/>
      <c r="B866" s="147"/>
      <c r="C866" s="147"/>
      <c r="D866" s="334"/>
      <c r="E866" s="334"/>
      <c r="F866" s="69"/>
      <c r="G866" s="59"/>
    </row>
    <row r="867" ht="12.0" customHeight="1">
      <c r="A867" s="333"/>
      <c r="B867" s="147"/>
      <c r="C867" s="147"/>
      <c r="D867" s="334"/>
      <c r="E867" s="334"/>
      <c r="F867" s="69"/>
      <c r="G867" s="59"/>
    </row>
    <row r="868" ht="12.0" customHeight="1">
      <c r="A868" s="333"/>
      <c r="B868" s="147"/>
      <c r="C868" s="147"/>
      <c r="D868" s="334"/>
      <c r="E868" s="334"/>
      <c r="F868" s="69"/>
      <c r="G868" s="59"/>
    </row>
    <row r="869" ht="12.0" customHeight="1">
      <c r="A869" s="333"/>
      <c r="B869" s="147"/>
      <c r="C869" s="147"/>
      <c r="D869" s="334"/>
      <c r="E869" s="334"/>
      <c r="F869" s="69"/>
      <c r="G869" s="59"/>
    </row>
    <row r="870" ht="12.0" customHeight="1">
      <c r="A870" s="333"/>
      <c r="B870" s="147"/>
      <c r="C870" s="147"/>
      <c r="D870" s="334"/>
      <c r="E870" s="334"/>
      <c r="F870" s="69"/>
      <c r="G870" s="59"/>
    </row>
    <row r="871" ht="12.0" customHeight="1">
      <c r="A871" s="333"/>
      <c r="B871" s="147"/>
      <c r="C871" s="147"/>
      <c r="D871" s="334"/>
      <c r="E871" s="334"/>
      <c r="F871" s="69"/>
      <c r="G871" s="59"/>
    </row>
    <row r="872" ht="12.0" customHeight="1">
      <c r="A872" s="333"/>
      <c r="B872" s="147"/>
      <c r="C872" s="147"/>
      <c r="D872" s="334"/>
      <c r="E872" s="334"/>
      <c r="F872" s="69"/>
      <c r="G872" s="59"/>
    </row>
    <row r="873" ht="12.0" customHeight="1">
      <c r="A873" s="333"/>
      <c r="B873" s="147"/>
      <c r="C873" s="147"/>
      <c r="D873" s="334"/>
      <c r="E873" s="334"/>
      <c r="F873" s="69"/>
      <c r="G873" s="59"/>
    </row>
    <row r="874" ht="12.0" customHeight="1">
      <c r="A874" s="333"/>
      <c r="B874" s="147"/>
      <c r="C874" s="147"/>
      <c r="D874" s="334"/>
      <c r="E874" s="334"/>
      <c r="F874" s="69"/>
      <c r="G874" s="59"/>
    </row>
    <row r="875" ht="12.0" customHeight="1">
      <c r="A875" s="333"/>
      <c r="B875" s="147"/>
      <c r="C875" s="147"/>
      <c r="D875" s="334"/>
      <c r="E875" s="334"/>
      <c r="F875" s="69"/>
      <c r="G875" s="59"/>
    </row>
    <row r="876" ht="12.0" customHeight="1">
      <c r="A876" s="333"/>
      <c r="B876" s="147"/>
      <c r="C876" s="147"/>
      <c r="D876" s="334"/>
      <c r="E876" s="334"/>
      <c r="F876" s="69"/>
      <c r="G876" s="59"/>
    </row>
    <row r="877" ht="12.0" customHeight="1">
      <c r="A877" s="333"/>
      <c r="B877" s="147"/>
      <c r="C877" s="147"/>
      <c r="D877" s="334"/>
      <c r="E877" s="334"/>
      <c r="F877" s="69"/>
      <c r="G877" s="59"/>
    </row>
    <row r="878" ht="12.0" customHeight="1">
      <c r="A878" s="333"/>
      <c r="B878" s="147"/>
      <c r="C878" s="147"/>
      <c r="D878" s="334"/>
      <c r="E878" s="334"/>
      <c r="F878" s="69"/>
      <c r="G878" s="59"/>
    </row>
    <row r="879" ht="12.0" customHeight="1">
      <c r="A879" s="333"/>
      <c r="B879" s="147"/>
      <c r="C879" s="147"/>
      <c r="D879" s="334"/>
      <c r="E879" s="334"/>
      <c r="F879" s="69"/>
      <c r="G879" s="59"/>
    </row>
    <row r="880" ht="12.0" customHeight="1">
      <c r="A880" s="333"/>
      <c r="B880" s="147"/>
      <c r="C880" s="147"/>
      <c r="D880" s="334"/>
      <c r="E880" s="334"/>
      <c r="F880" s="69"/>
      <c r="G880" s="59"/>
    </row>
    <row r="881" ht="12.0" customHeight="1">
      <c r="A881" s="333"/>
      <c r="B881" s="147"/>
      <c r="C881" s="147"/>
      <c r="D881" s="334"/>
      <c r="E881" s="334"/>
      <c r="F881" s="69"/>
      <c r="G881" s="59"/>
    </row>
    <row r="882" ht="12.0" customHeight="1">
      <c r="A882" s="333"/>
      <c r="B882" s="147"/>
      <c r="C882" s="147"/>
      <c r="D882" s="334"/>
      <c r="E882" s="334"/>
      <c r="F882" s="69"/>
      <c r="G882" s="59"/>
    </row>
    <row r="883" ht="12.0" customHeight="1">
      <c r="A883" s="333"/>
      <c r="B883" s="147"/>
      <c r="C883" s="147"/>
      <c r="D883" s="334"/>
      <c r="E883" s="334"/>
      <c r="F883" s="69"/>
      <c r="G883" s="59"/>
    </row>
    <row r="884" ht="12.0" customHeight="1">
      <c r="A884" s="333"/>
      <c r="B884" s="147"/>
      <c r="C884" s="147"/>
      <c r="D884" s="334"/>
      <c r="E884" s="334"/>
      <c r="F884" s="69"/>
      <c r="G884" s="59"/>
    </row>
    <row r="885" ht="12.0" customHeight="1">
      <c r="A885" s="333"/>
      <c r="B885" s="147"/>
      <c r="C885" s="147"/>
      <c r="D885" s="334"/>
      <c r="E885" s="334"/>
      <c r="F885" s="69"/>
      <c r="G885" s="59"/>
    </row>
    <row r="886" ht="12.0" customHeight="1">
      <c r="A886" s="333"/>
      <c r="B886" s="147"/>
      <c r="C886" s="147"/>
      <c r="D886" s="334"/>
      <c r="E886" s="334"/>
      <c r="F886" s="69"/>
      <c r="G886" s="59"/>
    </row>
    <row r="887" ht="12.0" customHeight="1">
      <c r="A887" s="333"/>
      <c r="B887" s="147"/>
      <c r="C887" s="147"/>
      <c r="D887" s="334"/>
      <c r="E887" s="334"/>
      <c r="F887" s="69"/>
      <c r="G887" s="59"/>
    </row>
    <row r="888" ht="12.0" customHeight="1">
      <c r="A888" s="333"/>
      <c r="B888" s="147"/>
      <c r="C888" s="147"/>
      <c r="D888" s="334"/>
      <c r="E888" s="334"/>
      <c r="F888" s="69"/>
      <c r="G888" s="59"/>
    </row>
    <row r="889" ht="12.0" customHeight="1">
      <c r="A889" s="333"/>
      <c r="B889" s="147"/>
      <c r="C889" s="147"/>
      <c r="D889" s="334"/>
      <c r="E889" s="334"/>
      <c r="F889" s="69"/>
      <c r="G889" s="59"/>
    </row>
    <row r="890" ht="12.0" customHeight="1">
      <c r="A890" s="333"/>
      <c r="B890" s="147"/>
      <c r="C890" s="147"/>
      <c r="D890" s="334"/>
      <c r="E890" s="334"/>
      <c r="F890" s="69"/>
      <c r="G890" s="59"/>
    </row>
    <row r="891" ht="12.0" customHeight="1">
      <c r="A891" s="333"/>
      <c r="B891" s="147"/>
      <c r="C891" s="147"/>
      <c r="D891" s="334"/>
      <c r="E891" s="334"/>
      <c r="F891" s="69"/>
      <c r="G891" s="59"/>
    </row>
    <row r="892" ht="12.0" customHeight="1">
      <c r="A892" s="333"/>
      <c r="B892" s="147"/>
      <c r="C892" s="147"/>
      <c r="D892" s="334"/>
      <c r="E892" s="334"/>
      <c r="F892" s="69"/>
      <c r="G892" s="59"/>
    </row>
    <row r="893" ht="12.0" customHeight="1">
      <c r="A893" s="333"/>
      <c r="B893" s="147"/>
      <c r="C893" s="147"/>
      <c r="D893" s="334"/>
      <c r="E893" s="334"/>
      <c r="F893" s="69"/>
      <c r="G893" s="59"/>
    </row>
    <row r="894" ht="12.0" customHeight="1">
      <c r="A894" s="333"/>
      <c r="B894" s="147"/>
      <c r="C894" s="147"/>
      <c r="D894" s="334"/>
      <c r="E894" s="334"/>
      <c r="F894" s="69"/>
      <c r="G894" s="59"/>
    </row>
    <row r="895" ht="12.0" customHeight="1">
      <c r="A895" s="333"/>
      <c r="B895" s="147"/>
      <c r="C895" s="147"/>
      <c r="D895" s="334"/>
      <c r="E895" s="334"/>
      <c r="F895" s="69"/>
      <c r="G895" s="59"/>
    </row>
    <row r="896" ht="12.0" customHeight="1">
      <c r="A896" s="333"/>
      <c r="B896" s="147"/>
      <c r="C896" s="147"/>
      <c r="D896" s="334"/>
      <c r="E896" s="334"/>
      <c r="F896" s="69"/>
      <c r="G896" s="59"/>
    </row>
    <row r="897" ht="12.0" customHeight="1">
      <c r="A897" s="333"/>
      <c r="B897" s="147"/>
      <c r="C897" s="147"/>
      <c r="D897" s="334"/>
      <c r="E897" s="334"/>
      <c r="F897" s="69"/>
      <c r="G897" s="59"/>
    </row>
    <row r="898" ht="12.0" customHeight="1">
      <c r="A898" s="333"/>
      <c r="B898" s="147"/>
      <c r="C898" s="147"/>
      <c r="D898" s="334"/>
      <c r="E898" s="334"/>
      <c r="F898" s="69"/>
      <c r="G898" s="59"/>
    </row>
    <row r="899" ht="12.0" customHeight="1">
      <c r="A899" s="333"/>
      <c r="B899" s="147"/>
      <c r="C899" s="147"/>
      <c r="D899" s="334"/>
      <c r="E899" s="334"/>
      <c r="F899" s="69"/>
      <c r="G899" s="59"/>
    </row>
    <row r="900" ht="12.0" customHeight="1">
      <c r="A900" s="333"/>
      <c r="B900" s="147"/>
      <c r="C900" s="147"/>
      <c r="D900" s="334"/>
      <c r="E900" s="334"/>
      <c r="F900" s="69"/>
      <c r="G900" s="59"/>
    </row>
    <row r="901" ht="12.0" customHeight="1">
      <c r="A901" s="333"/>
      <c r="B901" s="147"/>
      <c r="C901" s="147"/>
      <c r="D901" s="334"/>
      <c r="E901" s="334"/>
      <c r="F901" s="69"/>
      <c r="G901" s="59"/>
    </row>
    <row r="902" ht="12.0" customHeight="1">
      <c r="A902" s="333"/>
      <c r="B902" s="147"/>
      <c r="C902" s="147"/>
      <c r="D902" s="334"/>
      <c r="E902" s="334"/>
      <c r="F902" s="69"/>
      <c r="G902" s="59"/>
    </row>
    <row r="903" ht="12.0" customHeight="1">
      <c r="A903" s="333"/>
      <c r="B903" s="147"/>
      <c r="C903" s="147"/>
      <c r="D903" s="334"/>
      <c r="E903" s="334"/>
      <c r="F903" s="69"/>
      <c r="G903" s="59"/>
    </row>
    <row r="904" ht="12.0" customHeight="1">
      <c r="A904" s="333"/>
      <c r="B904" s="147"/>
      <c r="C904" s="147"/>
      <c r="D904" s="334"/>
      <c r="E904" s="334"/>
      <c r="F904" s="69"/>
      <c r="G904" s="59"/>
    </row>
    <row r="905" ht="12.0" customHeight="1">
      <c r="A905" s="333"/>
      <c r="B905" s="147"/>
      <c r="C905" s="147"/>
      <c r="D905" s="334"/>
      <c r="E905" s="334"/>
      <c r="F905" s="69"/>
      <c r="G905" s="59"/>
    </row>
    <row r="906" ht="12.0" customHeight="1">
      <c r="A906" s="333"/>
      <c r="B906" s="147"/>
      <c r="C906" s="147"/>
      <c r="D906" s="334"/>
      <c r="E906" s="334"/>
      <c r="F906" s="69"/>
      <c r="G906" s="59"/>
    </row>
    <row r="907" ht="12.0" customHeight="1">
      <c r="A907" s="333"/>
      <c r="B907" s="147"/>
      <c r="C907" s="147"/>
      <c r="D907" s="334"/>
      <c r="E907" s="334"/>
      <c r="F907" s="69"/>
      <c r="G907" s="59"/>
    </row>
    <row r="908" ht="12.0" customHeight="1">
      <c r="A908" s="333"/>
      <c r="B908" s="147"/>
      <c r="C908" s="147"/>
      <c r="D908" s="334"/>
      <c r="E908" s="334"/>
      <c r="F908" s="69"/>
      <c r="G908" s="59"/>
    </row>
    <row r="909" ht="12.0" customHeight="1">
      <c r="A909" s="333"/>
      <c r="B909" s="147"/>
      <c r="C909" s="147"/>
      <c r="D909" s="334"/>
      <c r="E909" s="334"/>
      <c r="F909" s="69"/>
      <c r="G909" s="59"/>
    </row>
    <row r="910" ht="12.0" customHeight="1">
      <c r="A910" s="333"/>
      <c r="B910" s="147"/>
      <c r="C910" s="147"/>
      <c r="D910" s="334"/>
      <c r="E910" s="334"/>
      <c r="F910" s="69"/>
      <c r="G910" s="59"/>
    </row>
    <row r="911" ht="12.0" customHeight="1">
      <c r="A911" s="333"/>
      <c r="B911" s="147"/>
      <c r="C911" s="147"/>
      <c r="D911" s="334"/>
      <c r="E911" s="334"/>
      <c r="F911" s="69"/>
      <c r="G911" s="59"/>
    </row>
    <row r="912" ht="12.0" customHeight="1">
      <c r="A912" s="333"/>
      <c r="B912" s="147"/>
      <c r="C912" s="147"/>
      <c r="D912" s="334"/>
      <c r="E912" s="334"/>
      <c r="F912" s="69"/>
      <c r="G912" s="59"/>
    </row>
    <row r="913" ht="12.0" customHeight="1">
      <c r="A913" s="333"/>
      <c r="B913" s="147"/>
      <c r="C913" s="147"/>
      <c r="D913" s="334"/>
      <c r="E913" s="334"/>
      <c r="F913" s="69"/>
      <c r="G913" s="59"/>
    </row>
    <row r="914" ht="12.0" customHeight="1">
      <c r="A914" s="333"/>
      <c r="B914" s="147"/>
      <c r="C914" s="147"/>
      <c r="D914" s="334"/>
      <c r="E914" s="334"/>
      <c r="F914" s="69"/>
      <c r="G914" s="59"/>
    </row>
    <row r="915" ht="12.0" customHeight="1">
      <c r="A915" s="333"/>
      <c r="B915" s="147"/>
      <c r="C915" s="147"/>
      <c r="D915" s="334"/>
      <c r="E915" s="334"/>
      <c r="F915" s="69"/>
      <c r="G915" s="59"/>
    </row>
    <row r="916" ht="12.0" customHeight="1">
      <c r="A916" s="333"/>
      <c r="B916" s="147"/>
      <c r="C916" s="147"/>
      <c r="D916" s="334"/>
      <c r="E916" s="334"/>
      <c r="F916" s="69"/>
      <c r="G916" s="59"/>
    </row>
    <row r="917" ht="12.0" customHeight="1">
      <c r="A917" s="333"/>
      <c r="B917" s="147"/>
      <c r="C917" s="147"/>
      <c r="D917" s="334"/>
      <c r="E917" s="334"/>
      <c r="F917" s="69"/>
      <c r="G917" s="59"/>
    </row>
    <row r="918" ht="12.0" customHeight="1">
      <c r="A918" s="333"/>
      <c r="B918" s="147"/>
      <c r="C918" s="147"/>
      <c r="D918" s="334"/>
      <c r="E918" s="334"/>
      <c r="F918" s="69"/>
      <c r="G918" s="59"/>
    </row>
    <row r="919" ht="12.0" customHeight="1">
      <c r="A919" s="333"/>
      <c r="B919" s="147"/>
      <c r="C919" s="147"/>
      <c r="D919" s="334"/>
      <c r="E919" s="334"/>
      <c r="F919" s="69"/>
      <c r="G919" s="59"/>
    </row>
    <row r="920" ht="12.0" customHeight="1">
      <c r="A920" s="333"/>
      <c r="B920" s="147"/>
      <c r="C920" s="147"/>
      <c r="D920" s="334"/>
      <c r="E920" s="334"/>
      <c r="F920" s="69"/>
      <c r="G920" s="59"/>
    </row>
    <row r="921" ht="12.0" customHeight="1">
      <c r="A921" s="333"/>
      <c r="B921" s="147"/>
      <c r="C921" s="147"/>
      <c r="D921" s="334"/>
      <c r="E921" s="334"/>
      <c r="F921" s="69"/>
      <c r="G921" s="59"/>
    </row>
    <row r="922" ht="12.0" customHeight="1">
      <c r="A922" s="333"/>
      <c r="B922" s="147"/>
      <c r="C922" s="147"/>
      <c r="D922" s="334"/>
      <c r="E922" s="334"/>
      <c r="F922" s="69"/>
      <c r="G922" s="59"/>
    </row>
    <row r="923" ht="12.0" customHeight="1">
      <c r="A923" s="333"/>
      <c r="B923" s="147"/>
      <c r="C923" s="147"/>
      <c r="D923" s="334"/>
      <c r="E923" s="334"/>
      <c r="F923" s="69"/>
      <c r="G923" s="59"/>
    </row>
    <row r="924" ht="12.0" customHeight="1">
      <c r="A924" s="333"/>
      <c r="B924" s="147"/>
      <c r="C924" s="147"/>
      <c r="D924" s="334"/>
      <c r="E924" s="334"/>
      <c r="F924" s="69"/>
      <c r="G924" s="59"/>
    </row>
    <row r="925" ht="12.0" customHeight="1">
      <c r="A925" s="333"/>
      <c r="B925" s="147"/>
      <c r="C925" s="147"/>
      <c r="D925" s="334"/>
      <c r="E925" s="334"/>
      <c r="F925" s="69"/>
      <c r="G925" s="59"/>
    </row>
    <row r="926" ht="12.0" customHeight="1">
      <c r="A926" s="333"/>
      <c r="B926" s="147"/>
      <c r="C926" s="147"/>
      <c r="D926" s="334"/>
      <c r="E926" s="334"/>
      <c r="F926" s="69"/>
      <c r="G926" s="59"/>
    </row>
    <row r="927" ht="12.0" customHeight="1">
      <c r="A927" s="333"/>
      <c r="B927" s="147"/>
      <c r="C927" s="147"/>
      <c r="D927" s="334"/>
      <c r="E927" s="334"/>
      <c r="F927" s="69"/>
      <c r="G927" s="59"/>
    </row>
    <row r="928" ht="12.0" customHeight="1">
      <c r="A928" s="333"/>
      <c r="B928" s="147"/>
      <c r="C928" s="147"/>
      <c r="D928" s="334"/>
      <c r="E928" s="334"/>
      <c r="F928" s="69"/>
      <c r="G928" s="59"/>
    </row>
    <row r="929" ht="12.0" customHeight="1">
      <c r="A929" s="333"/>
      <c r="B929" s="147"/>
      <c r="C929" s="147"/>
      <c r="D929" s="334"/>
      <c r="E929" s="334"/>
      <c r="F929" s="69"/>
      <c r="G929" s="59"/>
    </row>
    <row r="930" ht="12.0" customHeight="1">
      <c r="A930" s="333"/>
      <c r="B930" s="147"/>
      <c r="C930" s="147"/>
      <c r="D930" s="334"/>
      <c r="E930" s="334"/>
      <c r="F930" s="69"/>
      <c r="G930" s="59"/>
    </row>
    <row r="931" ht="12.0" customHeight="1">
      <c r="A931" s="333"/>
      <c r="B931" s="147"/>
      <c r="C931" s="147"/>
      <c r="D931" s="334"/>
      <c r="E931" s="334"/>
      <c r="F931" s="69"/>
      <c r="G931" s="59"/>
    </row>
    <row r="932" ht="12.0" customHeight="1">
      <c r="A932" s="333"/>
      <c r="B932" s="147"/>
      <c r="C932" s="147"/>
      <c r="D932" s="334"/>
      <c r="E932" s="334"/>
      <c r="F932" s="69"/>
      <c r="G932" s="59"/>
    </row>
    <row r="933" ht="12.0" customHeight="1">
      <c r="A933" s="333"/>
      <c r="B933" s="147"/>
      <c r="C933" s="147"/>
      <c r="D933" s="334"/>
      <c r="E933" s="334"/>
      <c r="F933" s="69"/>
      <c r="G933" s="59"/>
    </row>
    <row r="934" ht="12.0" customHeight="1">
      <c r="A934" s="333"/>
      <c r="B934" s="147"/>
      <c r="C934" s="147"/>
      <c r="D934" s="334"/>
      <c r="E934" s="334"/>
      <c r="F934" s="69"/>
      <c r="G934" s="59"/>
    </row>
    <row r="935" ht="12.0" customHeight="1">
      <c r="A935" s="333"/>
      <c r="B935" s="147"/>
      <c r="C935" s="147"/>
      <c r="D935" s="334"/>
      <c r="E935" s="334"/>
      <c r="F935" s="69"/>
      <c r="G935" s="59"/>
    </row>
    <row r="936" ht="12.0" customHeight="1">
      <c r="A936" s="333"/>
      <c r="B936" s="147"/>
      <c r="C936" s="147"/>
      <c r="D936" s="334"/>
      <c r="E936" s="334"/>
      <c r="F936" s="69"/>
      <c r="G936" s="59"/>
    </row>
    <row r="937" ht="12.0" customHeight="1">
      <c r="A937" s="333"/>
      <c r="B937" s="147"/>
      <c r="C937" s="147"/>
      <c r="D937" s="334"/>
      <c r="E937" s="334"/>
      <c r="F937" s="69"/>
      <c r="G937" s="59"/>
    </row>
    <row r="938" ht="12.0" customHeight="1">
      <c r="A938" s="333"/>
      <c r="B938" s="147"/>
      <c r="C938" s="147"/>
      <c r="D938" s="334"/>
      <c r="E938" s="334"/>
      <c r="F938" s="69"/>
      <c r="G938" s="59"/>
    </row>
    <row r="939" ht="12.0" customHeight="1">
      <c r="A939" s="333"/>
      <c r="B939" s="147"/>
      <c r="C939" s="147"/>
      <c r="D939" s="334"/>
      <c r="E939" s="334"/>
      <c r="F939" s="69"/>
      <c r="G939" s="59"/>
    </row>
    <row r="940" ht="12.0" customHeight="1">
      <c r="A940" s="333"/>
      <c r="B940" s="147"/>
      <c r="C940" s="147"/>
      <c r="D940" s="334"/>
      <c r="E940" s="334"/>
      <c r="F940" s="69"/>
      <c r="G940" s="59"/>
    </row>
    <row r="941" ht="12.0" customHeight="1">
      <c r="A941" s="333"/>
      <c r="B941" s="147"/>
      <c r="C941" s="147"/>
      <c r="D941" s="334"/>
      <c r="E941" s="334"/>
      <c r="F941" s="69"/>
      <c r="G941" s="59"/>
    </row>
    <row r="942" ht="12.0" customHeight="1">
      <c r="A942" s="333"/>
      <c r="B942" s="147"/>
      <c r="C942" s="147"/>
      <c r="D942" s="334"/>
      <c r="E942" s="334"/>
      <c r="F942" s="69"/>
      <c r="G942" s="59"/>
    </row>
    <row r="943" ht="12.0" customHeight="1">
      <c r="A943" s="333"/>
      <c r="B943" s="147"/>
      <c r="C943" s="147"/>
      <c r="D943" s="334"/>
      <c r="E943" s="334"/>
      <c r="F943" s="69"/>
      <c r="G943" s="59"/>
    </row>
    <row r="944" ht="12.0" customHeight="1">
      <c r="A944" s="333"/>
      <c r="B944" s="147"/>
      <c r="C944" s="147"/>
      <c r="D944" s="334"/>
      <c r="E944" s="334"/>
      <c r="F944" s="69"/>
      <c r="G944" s="59"/>
    </row>
    <row r="945" ht="12.0" customHeight="1">
      <c r="A945" s="333"/>
      <c r="B945" s="147"/>
      <c r="C945" s="147"/>
      <c r="D945" s="334"/>
      <c r="E945" s="334"/>
      <c r="F945" s="69"/>
      <c r="G945" s="59"/>
    </row>
    <row r="946" ht="12.0" customHeight="1">
      <c r="A946" s="333"/>
      <c r="B946" s="147"/>
      <c r="C946" s="147"/>
      <c r="D946" s="334"/>
      <c r="E946" s="334"/>
      <c r="F946" s="69"/>
      <c r="G946" s="59"/>
    </row>
    <row r="947" ht="12.0" customHeight="1">
      <c r="A947" s="333"/>
      <c r="B947" s="147"/>
      <c r="C947" s="147"/>
      <c r="D947" s="334"/>
      <c r="E947" s="334"/>
      <c r="F947" s="69"/>
      <c r="G947" s="59"/>
    </row>
    <row r="948" ht="12.0" customHeight="1">
      <c r="A948" s="333"/>
      <c r="B948" s="147"/>
      <c r="C948" s="147"/>
      <c r="D948" s="334"/>
      <c r="E948" s="334"/>
      <c r="F948" s="69"/>
      <c r="G948" s="59"/>
    </row>
    <row r="949" ht="12.0" customHeight="1">
      <c r="A949" s="333"/>
      <c r="B949" s="147"/>
      <c r="C949" s="147"/>
      <c r="D949" s="334"/>
      <c r="E949" s="334"/>
      <c r="F949" s="69"/>
      <c r="G949" s="59"/>
    </row>
    <row r="950" ht="12.0" customHeight="1">
      <c r="A950" s="333"/>
      <c r="B950" s="147"/>
      <c r="C950" s="147"/>
      <c r="D950" s="334"/>
      <c r="E950" s="334"/>
      <c r="F950" s="69"/>
      <c r="G950" s="59"/>
    </row>
    <row r="951" ht="12.0" customHeight="1">
      <c r="A951" s="333"/>
      <c r="B951" s="147"/>
      <c r="C951" s="147"/>
      <c r="D951" s="334"/>
      <c r="E951" s="334"/>
      <c r="F951" s="69"/>
      <c r="G951" s="59"/>
    </row>
    <row r="952" ht="12.0" customHeight="1">
      <c r="A952" s="333"/>
      <c r="B952" s="147"/>
      <c r="C952" s="147"/>
      <c r="D952" s="334"/>
      <c r="E952" s="334"/>
      <c r="F952" s="69"/>
      <c r="G952" s="59"/>
    </row>
    <row r="953" ht="12.0" customHeight="1">
      <c r="A953" s="333"/>
      <c r="B953" s="147"/>
      <c r="C953" s="147"/>
      <c r="D953" s="334"/>
      <c r="E953" s="334"/>
      <c r="F953" s="69"/>
      <c r="G953" s="59"/>
    </row>
    <row r="954" ht="12.0" customHeight="1">
      <c r="A954" s="333"/>
      <c r="B954" s="147"/>
      <c r="C954" s="147"/>
      <c r="D954" s="334"/>
      <c r="E954" s="334"/>
      <c r="F954" s="69"/>
      <c r="G954" s="59"/>
    </row>
    <row r="955" ht="12.0" customHeight="1">
      <c r="A955" s="333"/>
      <c r="B955" s="147"/>
      <c r="C955" s="147"/>
      <c r="D955" s="334"/>
      <c r="E955" s="334"/>
      <c r="F955" s="69"/>
      <c r="G955" s="59"/>
    </row>
    <row r="956" ht="12.0" customHeight="1">
      <c r="A956" s="333"/>
      <c r="B956" s="147"/>
      <c r="C956" s="147"/>
      <c r="D956" s="334"/>
      <c r="E956" s="334"/>
      <c r="F956" s="69"/>
      <c r="G956" s="59"/>
    </row>
    <row r="957" ht="12.0" customHeight="1">
      <c r="A957" s="333"/>
      <c r="B957" s="147"/>
      <c r="C957" s="147"/>
      <c r="D957" s="334"/>
      <c r="E957" s="334"/>
      <c r="F957" s="69"/>
      <c r="G957" s="59"/>
    </row>
    <row r="958" ht="12.0" customHeight="1">
      <c r="A958" s="333"/>
      <c r="B958" s="147"/>
      <c r="C958" s="147"/>
      <c r="D958" s="334"/>
      <c r="E958" s="334"/>
      <c r="F958" s="69"/>
      <c r="G958" s="59"/>
    </row>
    <row r="959" ht="12.0" customHeight="1">
      <c r="A959" s="333"/>
      <c r="B959" s="147"/>
      <c r="C959" s="147"/>
      <c r="D959" s="334"/>
      <c r="E959" s="334"/>
      <c r="F959" s="69"/>
      <c r="G959" s="59"/>
    </row>
    <row r="960" ht="12.0" customHeight="1">
      <c r="A960" s="333"/>
      <c r="B960" s="147"/>
      <c r="C960" s="147"/>
      <c r="D960" s="334"/>
      <c r="E960" s="334"/>
      <c r="F960" s="69"/>
      <c r="G960" s="59"/>
    </row>
    <row r="961" ht="12.0" customHeight="1">
      <c r="A961" s="333"/>
      <c r="B961" s="147"/>
      <c r="C961" s="147"/>
      <c r="D961" s="334"/>
      <c r="E961" s="334"/>
      <c r="F961" s="69"/>
      <c r="G961" s="59"/>
    </row>
    <row r="962" ht="12.0" customHeight="1">
      <c r="A962" s="333"/>
      <c r="B962" s="147"/>
      <c r="C962" s="147"/>
      <c r="D962" s="334"/>
      <c r="E962" s="334"/>
      <c r="F962" s="69"/>
      <c r="G962" s="59"/>
    </row>
    <row r="963" ht="12.0" customHeight="1">
      <c r="A963" s="333"/>
      <c r="B963" s="147"/>
      <c r="C963" s="147"/>
      <c r="D963" s="334"/>
      <c r="E963" s="334"/>
      <c r="F963" s="69"/>
      <c r="G963" s="59"/>
    </row>
    <row r="964" ht="12.0" customHeight="1">
      <c r="A964" s="333"/>
      <c r="B964" s="147"/>
      <c r="C964" s="147"/>
      <c r="D964" s="334"/>
      <c r="E964" s="334"/>
      <c r="F964" s="69"/>
      <c r="G964" s="59"/>
    </row>
    <row r="965" ht="12.0" customHeight="1">
      <c r="A965" s="333"/>
      <c r="B965" s="147"/>
      <c r="C965" s="147"/>
      <c r="D965" s="334"/>
      <c r="E965" s="334"/>
      <c r="F965" s="69"/>
      <c r="G965" s="59"/>
    </row>
    <row r="966" ht="12.0" customHeight="1">
      <c r="A966" s="333"/>
      <c r="B966" s="147"/>
      <c r="C966" s="147"/>
      <c r="D966" s="334"/>
      <c r="E966" s="334"/>
      <c r="F966" s="69"/>
      <c r="G966" s="59"/>
    </row>
    <row r="967" ht="12.0" customHeight="1">
      <c r="A967" s="333"/>
      <c r="B967" s="147"/>
      <c r="C967" s="147"/>
      <c r="D967" s="334"/>
      <c r="E967" s="334"/>
      <c r="F967" s="69"/>
      <c r="G967" s="59"/>
    </row>
    <row r="968" ht="12.0" customHeight="1">
      <c r="A968" s="333"/>
      <c r="B968" s="147"/>
      <c r="C968" s="147"/>
      <c r="D968" s="334"/>
      <c r="E968" s="334"/>
      <c r="F968" s="69"/>
      <c r="G968" s="59"/>
    </row>
    <row r="969" ht="12.0" customHeight="1">
      <c r="A969" s="333"/>
      <c r="B969" s="147"/>
      <c r="C969" s="147"/>
      <c r="D969" s="334"/>
      <c r="E969" s="334"/>
      <c r="F969" s="69"/>
      <c r="G969" s="59"/>
    </row>
    <row r="970" ht="12.0" customHeight="1">
      <c r="A970" s="333"/>
      <c r="B970" s="147"/>
      <c r="C970" s="147"/>
      <c r="D970" s="334"/>
      <c r="E970" s="334"/>
      <c r="F970" s="69"/>
      <c r="G970" s="59"/>
    </row>
    <row r="971" ht="12.0" customHeight="1">
      <c r="A971" s="333"/>
      <c r="B971" s="147"/>
      <c r="C971" s="147"/>
      <c r="D971" s="334"/>
      <c r="E971" s="334"/>
      <c r="F971" s="69"/>
      <c r="G971" s="59"/>
    </row>
    <row r="972" ht="12.0" customHeight="1">
      <c r="A972" s="333"/>
      <c r="B972" s="147"/>
      <c r="C972" s="147"/>
      <c r="D972" s="334"/>
      <c r="E972" s="334"/>
      <c r="F972" s="69"/>
      <c r="G972" s="59"/>
    </row>
    <row r="973" ht="12.0" customHeight="1">
      <c r="A973" s="333"/>
      <c r="B973" s="147"/>
      <c r="C973" s="147"/>
      <c r="D973" s="334"/>
      <c r="E973" s="334"/>
      <c r="F973" s="69"/>
      <c r="G973" s="59"/>
    </row>
    <row r="974" ht="12.0" customHeight="1">
      <c r="A974" s="333"/>
      <c r="B974" s="147"/>
      <c r="C974" s="147"/>
      <c r="D974" s="334"/>
      <c r="E974" s="334"/>
      <c r="F974" s="69"/>
      <c r="G974" s="59"/>
    </row>
    <row r="975" ht="12.0" customHeight="1">
      <c r="A975" s="333"/>
      <c r="B975" s="147"/>
      <c r="C975" s="147"/>
      <c r="D975" s="334"/>
      <c r="E975" s="334"/>
      <c r="F975" s="69"/>
      <c r="G975" s="59"/>
    </row>
    <row r="976" ht="12.0" customHeight="1">
      <c r="A976" s="333"/>
      <c r="B976" s="147"/>
      <c r="C976" s="147"/>
      <c r="D976" s="334"/>
      <c r="E976" s="334"/>
      <c r="F976" s="69"/>
      <c r="G976" s="59"/>
    </row>
    <row r="977" ht="12.0" customHeight="1">
      <c r="A977" s="333"/>
      <c r="B977" s="147"/>
      <c r="C977" s="147"/>
      <c r="D977" s="334"/>
      <c r="E977" s="334"/>
      <c r="F977" s="69"/>
      <c r="G977" s="59"/>
    </row>
    <row r="978" ht="12.0" customHeight="1">
      <c r="A978" s="333"/>
      <c r="B978" s="147"/>
      <c r="C978" s="147"/>
      <c r="D978" s="334"/>
      <c r="E978" s="334"/>
      <c r="F978" s="69"/>
      <c r="G978" s="59"/>
    </row>
    <row r="979" ht="12.0" customHeight="1">
      <c r="A979" s="333"/>
      <c r="B979" s="147"/>
      <c r="C979" s="147"/>
      <c r="D979" s="334"/>
      <c r="E979" s="334"/>
      <c r="F979" s="69"/>
      <c r="G979" s="59"/>
    </row>
    <row r="980" ht="12.0" customHeight="1">
      <c r="A980" s="333"/>
      <c r="B980" s="147"/>
      <c r="C980" s="147"/>
      <c r="D980" s="334"/>
      <c r="E980" s="334"/>
      <c r="F980" s="69"/>
      <c r="G980" s="59"/>
    </row>
    <row r="981" ht="12.0" customHeight="1">
      <c r="A981" s="333"/>
      <c r="B981" s="147"/>
      <c r="C981" s="147"/>
      <c r="D981" s="334"/>
      <c r="E981" s="334"/>
      <c r="F981" s="69"/>
      <c r="G981" s="59"/>
    </row>
    <row r="982" ht="12.0" customHeight="1">
      <c r="A982" s="333"/>
      <c r="B982" s="147"/>
      <c r="C982" s="147"/>
      <c r="D982" s="334"/>
      <c r="E982" s="334"/>
      <c r="F982" s="69"/>
      <c r="G982" s="59"/>
    </row>
    <row r="983" ht="12.0" customHeight="1">
      <c r="A983" s="333"/>
      <c r="B983" s="147"/>
      <c r="C983" s="147"/>
      <c r="D983" s="334"/>
      <c r="E983" s="334"/>
      <c r="F983" s="69"/>
      <c r="G983" s="59"/>
    </row>
    <row r="984" ht="12.0" customHeight="1">
      <c r="A984" s="333"/>
      <c r="B984" s="147"/>
      <c r="C984" s="147"/>
      <c r="D984" s="334"/>
      <c r="E984" s="334"/>
      <c r="F984" s="69"/>
      <c r="G984" s="59"/>
    </row>
    <row r="985" ht="12.0" customHeight="1">
      <c r="A985" s="333"/>
      <c r="B985" s="147"/>
      <c r="C985" s="147"/>
      <c r="D985" s="334"/>
      <c r="E985" s="334"/>
      <c r="F985" s="69"/>
      <c r="G985" s="59"/>
    </row>
    <row r="986" ht="12.0" customHeight="1">
      <c r="A986" s="333"/>
      <c r="B986" s="147"/>
      <c r="C986" s="147"/>
      <c r="D986" s="334"/>
      <c r="E986" s="334"/>
      <c r="F986" s="69"/>
      <c r="G986" s="59"/>
    </row>
    <row r="987" ht="12.0" customHeight="1">
      <c r="A987" s="333"/>
      <c r="B987" s="147"/>
      <c r="C987" s="147"/>
      <c r="D987" s="334"/>
      <c r="E987" s="334"/>
      <c r="F987" s="69"/>
      <c r="G987" s="59"/>
    </row>
    <row r="988" ht="12.0" customHeight="1">
      <c r="A988" s="333"/>
      <c r="B988" s="147"/>
      <c r="C988" s="147"/>
      <c r="D988" s="334"/>
      <c r="E988" s="334"/>
      <c r="F988" s="69"/>
      <c r="G988" s="59"/>
    </row>
    <row r="989" ht="12.0" customHeight="1">
      <c r="A989" s="333"/>
      <c r="B989" s="147"/>
      <c r="C989" s="147"/>
      <c r="D989" s="334"/>
      <c r="E989" s="334"/>
      <c r="F989" s="69"/>
      <c r="G989" s="59"/>
    </row>
    <row r="990" ht="12.0" customHeight="1">
      <c r="A990" s="333"/>
      <c r="B990" s="147"/>
      <c r="C990" s="147"/>
      <c r="D990" s="334"/>
      <c r="E990" s="334"/>
      <c r="F990" s="69"/>
      <c r="G990" s="59"/>
    </row>
    <row r="991" ht="12.0" customHeight="1">
      <c r="A991" s="333"/>
      <c r="B991" s="147"/>
      <c r="C991" s="147"/>
      <c r="D991" s="334"/>
      <c r="E991" s="334"/>
      <c r="F991" s="69"/>
      <c r="G991" s="59"/>
    </row>
    <row r="992" ht="12.0" customHeight="1">
      <c r="A992" s="333"/>
      <c r="B992" s="147"/>
      <c r="C992" s="147"/>
      <c r="D992" s="334"/>
      <c r="E992" s="334"/>
      <c r="F992" s="69"/>
      <c r="G992" s="59"/>
    </row>
    <row r="993" ht="12.0" customHeight="1">
      <c r="A993" s="333"/>
      <c r="B993" s="147"/>
      <c r="C993" s="147"/>
      <c r="D993" s="334"/>
      <c r="E993" s="334"/>
      <c r="F993" s="69"/>
      <c r="G993" s="59"/>
    </row>
    <row r="994" ht="12.0" customHeight="1">
      <c r="A994" s="333"/>
      <c r="B994" s="147"/>
      <c r="C994" s="147"/>
      <c r="D994" s="334"/>
      <c r="E994" s="334"/>
      <c r="F994" s="69"/>
      <c r="G994" s="59"/>
    </row>
    <row r="995" ht="12.0" customHeight="1">
      <c r="A995" s="333"/>
      <c r="B995" s="147"/>
      <c r="C995" s="147"/>
      <c r="D995" s="334"/>
      <c r="E995" s="334"/>
      <c r="F995" s="69"/>
      <c r="G995" s="59"/>
    </row>
    <row r="996" ht="12.0" customHeight="1">
      <c r="A996" s="333"/>
      <c r="B996" s="147"/>
      <c r="C996" s="147"/>
      <c r="D996" s="334"/>
      <c r="E996" s="334"/>
      <c r="F996" s="69"/>
      <c r="G996" s="59"/>
    </row>
    <row r="997" ht="12.0" customHeight="1">
      <c r="A997" s="333"/>
      <c r="B997" s="147"/>
      <c r="C997" s="147"/>
      <c r="D997" s="334"/>
      <c r="E997" s="334"/>
      <c r="F997" s="69"/>
      <c r="G997" s="59"/>
    </row>
    <row r="998" ht="12.0" customHeight="1">
      <c r="A998" s="333"/>
      <c r="B998" s="147"/>
      <c r="C998" s="147"/>
      <c r="D998" s="334"/>
      <c r="E998" s="334"/>
      <c r="F998" s="69"/>
      <c r="G998" s="59"/>
    </row>
    <row r="999" ht="12.0" customHeight="1">
      <c r="A999" s="333"/>
      <c r="B999" s="147"/>
      <c r="C999" s="147"/>
      <c r="D999" s="334"/>
      <c r="E999" s="334"/>
      <c r="F999" s="69"/>
      <c r="G999" s="59"/>
    </row>
    <row r="1000" ht="12.0" customHeight="1">
      <c r="A1000" s="333"/>
      <c r="B1000" s="147"/>
      <c r="C1000" s="147"/>
      <c r="D1000" s="334"/>
      <c r="E1000" s="334"/>
      <c r="F1000" s="69"/>
      <c r="G1000" s="59"/>
    </row>
  </sheetData>
  <autoFilter ref="$A$1:$G$64">
    <sortState ref="A1:G64">
      <sortCondition ref="A1:A64"/>
    </sortState>
  </autoFilter>
  <printOptions/>
  <pageMargins bottom="0.75" footer="0.0" header="0.0" left="0.7" right="0.7" top="0.75"/>
  <pageSetup paperSize="9"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showGridLines="0" workbookViewId="0"/>
  </sheetViews>
  <sheetFormatPr customHeight="1" defaultColWidth="14.43" defaultRowHeight="15.0"/>
  <cols>
    <col customWidth="1" min="1" max="1" width="5.14"/>
    <col customWidth="1" min="2" max="2" width="18.0"/>
    <col customWidth="1" min="3" max="4" width="9.86"/>
    <col customWidth="1" min="5" max="5" width="6.86"/>
    <col customWidth="1" min="6" max="26" width="9.0"/>
  </cols>
  <sheetData>
    <row r="1" ht="12.0" customHeight="1">
      <c r="A1" s="12"/>
      <c r="B1" s="12" t="s">
        <v>3</v>
      </c>
      <c r="C1" s="335" t="s">
        <v>1169</v>
      </c>
      <c r="D1" s="335" t="s">
        <v>1170</v>
      </c>
      <c r="E1" s="336" t="s">
        <v>1171</v>
      </c>
    </row>
    <row r="2" ht="12.0" customHeight="1">
      <c r="A2" s="337" t="s">
        <v>1172</v>
      </c>
      <c r="B2" s="337" t="s">
        <v>1173</v>
      </c>
      <c r="C2" s="338">
        <v>37500.0</v>
      </c>
      <c r="D2" s="338">
        <v>42000.0</v>
      </c>
      <c r="E2" s="339">
        <f t="shared" ref="E2:E31" si="1">D2/C2-1</f>
        <v>0.12</v>
      </c>
    </row>
    <row r="3" ht="12.0" customHeight="1">
      <c r="A3" s="337" t="s">
        <v>1172</v>
      </c>
      <c r="B3" s="337" t="s">
        <v>1174</v>
      </c>
      <c r="C3" s="338">
        <v>38000.0</v>
      </c>
      <c r="D3" s="338">
        <v>44000.0</v>
      </c>
      <c r="E3" s="339">
        <f t="shared" si="1"/>
        <v>0.1578947368</v>
      </c>
    </row>
    <row r="4" ht="12.0" customHeight="1">
      <c r="A4" s="21" t="s">
        <v>1172</v>
      </c>
      <c r="B4" s="21" t="s">
        <v>1175</v>
      </c>
      <c r="C4" s="4">
        <v>41500.0</v>
      </c>
      <c r="D4" s="4">
        <v>50000.0</v>
      </c>
      <c r="E4" s="340">
        <f t="shared" si="1"/>
        <v>0.2048192771</v>
      </c>
    </row>
    <row r="5" ht="12.0" customHeight="1">
      <c r="A5" s="21" t="s">
        <v>1176</v>
      </c>
      <c r="B5" s="21" t="s">
        <v>1177</v>
      </c>
      <c r="C5" s="4">
        <v>35000.0</v>
      </c>
      <c r="D5" s="4">
        <v>41000.0</v>
      </c>
      <c r="E5" s="340">
        <f t="shared" si="1"/>
        <v>0.1714285714</v>
      </c>
    </row>
    <row r="6" ht="12.0" customHeight="1">
      <c r="A6" s="21" t="s">
        <v>1176</v>
      </c>
      <c r="B6" s="21" t="s">
        <v>1178</v>
      </c>
      <c r="C6" s="4">
        <v>43000.0</v>
      </c>
      <c r="D6" s="4">
        <v>53000.0</v>
      </c>
      <c r="E6" s="340">
        <f t="shared" si="1"/>
        <v>0.2325581395</v>
      </c>
    </row>
    <row r="7" ht="12.0" customHeight="1">
      <c r="A7" s="21" t="s">
        <v>1176</v>
      </c>
      <c r="B7" s="21" t="s">
        <v>1179</v>
      </c>
      <c r="C7" s="4">
        <v>36500.0</v>
      </c>
      <c r="D7" s="4">
        <v>46000.0</v>
      </c>
      <c r="E7" s="340">
        <f t="shared" si="1"/>
        <v>0.2602739726</v>
      </c>
    </row>
    <row r="8" ht="12.0" customHeight="1">
      <c r="A8" s="21" t="s">
        <v>1180</v>
      </c>
      <c r="B8" s="21" t="s">
        <v>1181</v>
      </c>
      <c r="C8" s="4">
        <v>52500.0</v>
      </c>
      <c r="D8" s="4">
        <v>67000.0</v>
      </c>
      <c r="E8" s="340">
        <f t="shared" si="1"/>
        <v>0.2761904762</v>
      </c>
    </row>
    <row r="9" ht="12.0" customHeight="1">
      <c r="A9" s="21" t="s">
        <v>1182</v>
      </c>
      <c r="B9" s="21" t="s">
        <v>1183</v>
      </c>
      <c r="C9" s="4">
        <v>51500.0</v>
      </c>
      <c r="D9" s="4">
        <v>64000.0</v>
      </c>
      <c r="E9" s="340">
        <f t="shared" si="1"/>
        <v>0.2427184466</v>
      </c>
    </row>
    <row r="10" ht="12.0" customHeight="1">
      <c r="A10" s="21" t="s">
        <v>1184</v>
      </c>
      <c r="B10" s="21" t="s">
        <v>1185</v>
      </c>
      <c r="C10" s="4">
        <v>46000.0</v>
      </c>
      <c r="D10" s="4">
        <v>57000.0</v>
      </c>
      <c r="E10" s="340">
        <f t="shared" si="1"/>
        <v>0.2391304348</v>
      </c>
    </row>
    <row r="11" ht="12.0" customHeight="1">
      <c r="A11" s="21" t="s">
        <v>1186</v>
      </c>
      <c r="B11" s="21" t="s">
        <v>1187</v>
      </c>
      <c r="C11" s="4">
        <v>47000.0</v>
      </c>
      <c r="D11" s="4">
        <v>61000.0</v>
      </c>
      <c r="E11" s="340">
        <f t="shared" si="1"/>
        <v>0.2978723404</v>
      </c>
    </row>
    <row r="12" ht="12.0" customHeight="1">
      <c r="A12" s="21" t="s">
        <v>1188</v>
      </c>
      <c r="B12" s="21" t="s">
        <v>1189</v>
      </c>
      <c r="C12" s="4">
        <v>38000.0</v>
      </c>
      <c r="D12" s="4">
        <v>50000.0</v>
      </c>
      <c r="E12" s="340">
        <f t="shared" si="1"/>
        <v>0.3157894737</v>
      </c>
    </row>
    <row r="13" ht="12.0" customHeight="1">
      <c r="A13" s="21" t="s">
        <v>1188</v>
      </c>
      <c r="B13" s="21" t="s">
        <v>1190</v>
      </c>
      <c r="C13" s="4">
        <v>45000.0</v>
      </c>
      <c r="D13" s="4">
        <v>53000.0</v>
      </c>
      <c r="E13" s="340">
        <f t="shared" si="1"/>
        <v>0.1777777778</v>
      </c>
    </row>
    <row r="14" ht="12.0" customHeight="1">
      <c r="A14" s="21" t="s">
        <v>1188</v>
      </c>
      <c r="B14" s="21" t="s">
        <v>1191</v>
      </c>
      <c r="C14" s="4">
        <v>31000.0</v>
      </c>
      <c r="D14" s="4">
        <v>37000.0</v>
      </c>
      <c r="E14" s="340">
        <f t="shared" si="1"/>
        <v>0.1935483871</v>
      </c>
    </row>
    <row r="15" ht="12.0" customHeight="1">
      <c r="A15" s="21" t="s">
        <v>1192</v>
      </c>
      <c r="B15" s="21" t="s">
        <v>1193</v>
      </c>
      <c r="C15" s="4">
        <v>61000.0</v>
      </c>
      <c r="D15" s="4">
        <v>90000.0</v>
      </c>
      <c r="E15" s="340">
        <f t="shared" si="1"/>
        <v>0.4754098361</v>
      </c>
    </row>
    <row r="16" ht="12.0" customHeight="1">
      <c r="A16" s="21" t="s">
        <v>1192</v>
      </c>
      <c r="B16" s="21" t="s">
        <v>1194</v>
      </c>
      <c r="C16" s="4">
        <v>88000.0</v>
      </c>
      <c r="D16" s="4">
        <v>110000.0</v>
      </c>
      <c r="E16" s="340">
        <f t="shared" si="1"/>
        <v>0.25</v>
      </c>
    </row>
    <row r="17" ht="12.0" customHeight="1">
      <c r="A17" s="21" t="s">
        <v>1195</v>
      </c>
      <c r="B17" s="21" t="s">
        <v>1196</v>
      </c>
      <c r="C17" s="4">
        <v>107500.0</v>
      </c>
      <c r="D17" s="4">
        <v>130000.0</v>
      </c>
      <c r="E17" s="340">
        <f t="shared" si="1"/>
        <v>0.2093023256</v>
      </c>
    </row>
    <row r="18" ht="12.0" customHeight="1">
      <c r="A18" s="21" t="s">
        <v>1195</v>
      </c>
      <c r="B18" s="21" t="s">
        <v>1197</v>
      </c>
      <c r="C18" s="4">
        <v>150000.0</v>
      </c>
      <c r="D18" s="4">
        <v>200000.0</v>
      </c>
      <c r="E18" s="340">
        <f t="shared" si="1"/>
        <v>0.3333333333</v>
      </c>
    </row>
    <row r="19" ht="12.0" customHeight="1">
      <c r="A19" s="21" t="s">
        <v>1195</v>
      </c>
      <c r="B19" s="21" t="s">
        <v>1198</v>
      </c>
      <c r="C19" s="4">
        <v>165000.0</v>
      </c>
      <c r="D19" s="4">
        <v>210000.0</v>
      </c>
      <c r="E19" s="340">
        <f t="shared" si="1"/>
        <v>0.2727272727</v>
      </c>
    </row>
    <row r="20" ht="12.0" customHeight="1">
      <c r="A20" s="21" t="s">
        <v>1199</v>
      </c>
      <c r="B20" s="21" t="s">
        <v>1200</v>
      </c>
      <c r="C20" s="4">
        <v>136000.0</v>
      </c>
      <c r="D20" s="4">
        <v>180000.0</v>
      </c>
      <c r="E20" s="340">
        <f t="shared" si="1"/>
        <v>0.3235294118</v>
      </c>
    </row>
    <row r="21" ht="12.0" customHeight="1">
      <c r="A21" s="21" t="s">
        <v>1201</v>
      </c>
      <c r="B21" s="21" t="s">
        <v>1202</v>
      </c>
      <c r="C21" s="4">
        <v>46000.0</v>
      </c>
      <c r="D21" s="4">
        <v>70000.0</v>
      </c>
      <c r="E21" s="340">
        <f t="shared" si="1"/>
        <v>0.5217391304</v>
      </c>
    </row>
    <row r="22" ht="12.0" customHeight="1">
      <c r="A22" s="21" t="s">
        <v>1203</v>
      </c>
      <c r="B22" s="21" t="s">
        <v>1204</v>
      </c>
      <c r="C22" s="4">
        <v>32000.0</v>
      </c>
      <c r="D22" s="4">
        <v>42000.0</v>
      </c>
      <c r="E22" s="340">
        <f t="shared" si="1"/>
        <v>0.3125</v>
      </c>
    </row>
    <row r="23" ht="12.0" customHeight="1">
      <c r="A23" s="21" t="s">
        <v>1205</v>
      </c>
      <c r="B23" s="21" t="s">
        <v>1206</v>
      </c>
      <c r="C23" s="4">
        <v>49000.0</v>
      </c>
      <c r="D23" s="4">
        <v>59000.0</v>
      </c>
      <c r="E23" s="340">
        <f t="shared" si="1"/>
        <v>0.2040816327</v>
      </c>
    </row>
    <row r="24" ht="12.0" customHeight="1">
      <c r="A24" s="21" t="s">
        <v>1207</v>
      </c>
      <c r="B24" s="21" t="s">
        <v>1208</v>
      </c>
      <c r="C24" s="4">
        <v>36500.0</v>
      </c>
      <c r="D24" s="4">
        <v>41000.0</v>
      </c>
      <c r="E24" s="340">
        <f t="shared" si="1"/>
        <v>0.1232876712</v>
      </c>
    </row>
    <row r="25" ht="12.0" customHeight="1">
      <c r="A25" s="21" t="s">
        <v>1207</v>
      </c>
      <c r="B25" s="21" t="s">
        <v>1209</v>
      </c>
      <c r="C25" s="4">
        <v>55000.0</v>
      </c>
      <c r="D25" s="4">
        <v>68000.0</v>
      </c>
      <c r="E25" s="340">
        <f t="shared" si="1"/>
        <v>0.2363636364</v>
      </c>
    </row>
    <row r="26" ht="12.0" customHeight="1">
      <c r="A26" s="21" t="s">
        <v>34</v>
      </c>
      <c r="B26" s="21" t="s">
        <v>1210</v>
      </c>
      <c r="C26" s="4">
        <v>22700.0</v>
      </c>
      <c r="D26" s="4">
        <v>25000.0</v>
      </c>
      <c r="E26" s="340">
        <f t="shared" si="1"/>
        <v>0.1013215859</v>
      </c>
    </row>
    <row r="27" ht="12.0" customHeight="1">
      <c r="A27" s="21" t="s">
        <v>1172</v>
      </c>
      <c r="B27" s="21" t="s">
        <v>1211</v>
      </c>
      <c r="C27" s="4">
        <v>52000.0</v>
      </c>
      <c r="D27" s="4">
        <v>67000.0</v>
      </c>
      <c r="E27" s="340">
        <f t="shared" si="1"/>
        <v>0.2884615385</v>
      </c>
    </row>
    <row r="28" ht="12.0" customHeight="1">
      <c r="A28" s="21" t="s">
        <v>1172</v>
      </c>
      <c r="B28" s="21" t="s">
        <v>1206</v>
      </c>
      <c r="C28" s="4">
        <v>36000.0</v>
      </c>
      <c r="D28" s="4">
        <v>42000.0</v>
      </c>
      <c r="E28" s="340">
        <f t="shared" si="1"/>
        <v>0.1666666667</v>
      </c>
    </row>
    <row r="29" ht="12.0" customHeight="1">
      <c r="A29" s="21" t="s">
        <v>1212</v>
      </c>
      <c r="B29" s="21" t="s">
        <v>1213</v>
      </c>
      <c r="C29" s="4">
        <v>42000.0</v>
      </c>
      <c r="D29" s="4">
        <v>55000.0</v>
      </c>
      <c r="E29" s="340">
        <f t="shared" si="1"/>
        <v>0.3095238095</v>
      </c>
    </row>
    <row r="30" ht="12.0" customHeight="1">
      <c r="A30" s="21" t="s">
        <v>1182</v>
      </c>
      <c r="B30" s="21" t="s">
        <v>1214</v>
      </c>
      <c r="C30" s="4">
        <v>50500.0</v>
      </c>
      <c r="D30" s="4">
        <v>68000.0</v>
      </c>
      <c r="E30" s="340">
        <f t="shared" si="1"/>
        <v>0.3465346535</v>
      </c>
    </row>
    <row r="31" ht="12.0" customHeight="1">
      <c r="A31" s="21" t="s">
        <v>1215</v>
      </c>
      <c r="B31" s="21" t="s">
        <v>1216</v>
      </c>
      <c r="C31" s="4">
        <v>60000.0</v>
      </c>
      <c r="D31" s="4">
        <v>78000.0</v>
      </c>
      <c r="E31" s="340">
        <f t="shared" si="1"/>
        <v>0.3</v>
      </c>
    </row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2018-04-22T09:12:48Z</dcterms:created>
  <dc:creator>Piece</dc:creator>
</cp:coreProperties>
</file>